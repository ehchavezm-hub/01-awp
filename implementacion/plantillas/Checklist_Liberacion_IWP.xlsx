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hecklist" sheetId="2" state="visible" r:id="rId2"/>
    <sheet xmlns:r="http://schemas.openxmlformats.org/officeDocument/2006/relationships" name="Registro de liberaciones" sheetId="3" state="visible" r:id="rId3"/>
    <sheet xmlns:r="http://schemas.openxmlformats.org/officeDocument/2006/relationships" name="Listas" sheetId="4" state="visible" r:id="rId4"/>
  </sheets>
  <definedNames>
    <definedName name="Fases">Listas!$A$3:$A$5</definedName>
    <definedName name="SiNo">Listas!$B$3:$B$4</definedName>
    <definedName name="Roles">Listas!$C$3:$C$18</definedName>
    <definedName name="_xlnm.Print_Area" localSheetId="0">'Instrucciones'!$A$1:$C$38</definedName>
    <definedName name="_xlnm._FilterDatabase" localSheetId="1" hidden="1">'Checklist'!$A$5:$H$35</definedName>
    <definedName name="_xlnm.Print_Titles" localSheetId="1">'Checklist'!$5:$5</definedName>
    <definedName name="_xlnm.Print_Area" localSheetId="1">'Checklist'!$A$1:$H$35</definedName>
    <definedName name="_xlnm._FilterDatabase" localSheetId="2" hidden="1">'Registro de liberaciones'!$A$5:$L$305</definedName>
    <definedName name="_xlnm.Print_Titles" localSheetId="2">'Registro de liberaciones'!$5:$5</definedName>
    <definedName name="_xlnm.Print_Area" localSheetId="2">'Registro de liberaciones'!$A$1:$L$55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5">
    <font>
      <name val="Calibri"/>
      <family val="2"/>
      <color theme="1"/>
      <sz val="11"/>
      <scheme val="minor"/>
    </font>
    <font>
      <name val="Calibri"/>
      <b val="1"/>
      <color rgb="001F3864"/>
      <sz val="15"/>
    </font>
    <font>
      <name val="Calibri"/>
      <i val="1"/>
      <color rgb="00595959"/>
      <sz val="10"/>
    </font>
    <font>
      <name val="Calibri"/>
      <b val="1"/>
      <sz val="10"/>
    </font>
    <font>
      <name val="Calibri"/>
      <b val="1"/>
      <color rgb="00FFFFFF"/>
      <sz val="10"/>
    </font>
    <font>
      <name val="Calibri"/>
      <color rgb="00000000"/>
      <sz val="10"/>
    </font>
    <font>
      <name val="Calibri"/>
      <b val="1"/>
    </font>
    <font>
      <name val="Calibri"/>
      <b val="1"/>
      <sz val="11"/>
    </font>
    <font>
      <name val="Calibri"/>
      <color rgb="00404040"/>
      <sz val="10"/>
    </font>
    <font>
      <name val="Calibri"/>
      <b val="1"/>
      <color rgb="001F3864"/>
      <sz val="16"/>
    </font>
    <font>
      <name val="Calibri"/>
      <b val="1"/>
      <color rgb="001F3864"/>
      <sz val="11"/>
    </font>
    <font>
      <name val="Calibri"/>
      <sz val="10"/>
    </font>
    <font>
      <name val="Calibri"/>
      <b val="1"/>
      <color rgb="001F3864"/>
      <sz val="12"/>
    </font>
    <font>
      <name val="Calibri"/>
      <b val="1"/>
      <color rgb="00FFFFFF"/>
    </font>
    <font>
      <name val="Calibri"/>
      <i val="1"/>
      <sz val="9"/>
    </font>
  </fonts>
  <fills count="7">
    <fill>
      <patternFill/>
    </fill>
    <fill>
      <patternFill patternType="gray125"/>
    </fill>
    <fill>
      <patternFill patternType="solid">
        <fgColor rgb="00DCE6F2"/>
        <bgColor rgb="00DCE6F2"/>
      </patternFill>
    </fill>
    <fill>
      <patternFill patternType="solid">
        <fgColor rgb="001F3864"/>
        <bgColor rgb="001F3864"/>
      </patternFill>
    </fill>
    <fill>
      <patternFill patternType="solid">
        <fgColor rgb="00FFF2CC"/>
        <bgColor rgb="00FFF2CC"/>
      </patternFill>
    </fill>
    <fill>
      <patternFill patternType="solid">
        <fgColor rgb="002F5597"/>
        <bgColor rgb="002F5597"/>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9" fillId="0" borderId="0" pivotButton="0" quotePrefix="0" xfId="0"/>
    <xf numFmtId="0" fontId="2" fillId="0" borderId="0" pivotButton="0" quotePrefix="0" xfId="0"/>
    <xf numFmtId="0" fontId="10" fillId="0" borderId="0" applyAlignment="1" pivotButton="0" quotePrefix="0" xfId="0">
      <alignment vertical="top"/>
    </xf>
    <xf numFmtId="0" fontId="11" fillId="0" borderId="0" applyAlignment="1" pivotButton="0" quotePrefix="0" xfId="0">
      <alignment vertical="top" wrapText="1"/>
    </xf>
    <xf numFmtId="0" fontId="12" fillId="0" borderId="0" pivotButton="0" quotePrefix="0" xfId="0"/>
    <xf numFmtId="0" fontId="13" fillId="3" borderId="1" pivotButton="0" quotePrefix="0" xfId="0"/>
    <xf numFmtId="0" fontId="3" fillId="0" borderId="1" applyAlignment="1" pivotButton="0" quotePrefix="0" xfId="0">
      <alignment vertical="top" wrapText="1"/>
    </xf>
    <xf numFmtId="0" fontId="11" fillId="0" borderId="1" applyAlignment="1" pivotButton="0" quotePrefix="0" xfId="0">
      <alignment vertical="top" wrapText="1"/>
    </xf>
    <xf numFmtId="0" fontId="3" fillId="6" borderId="1" applyAlignment="1" pivotButton="0" quotePrefix="0" xfId="0">
      <alignment vertical="top" wrapText="1"/>
    </xf>
    <xf numFmtId="0" fontId="11" fillId="6" borderId="1" applyAlignment="1" pivotButton="0" quotePrefix="0" xfId="0">
      <alignment vertical="top" wrapText="1"/>
    </xf>
    <xf numFmtId="0" fontId="1" fillId="0" borderId="0" pivotButton="0" quotePrefix="0" xfId="0"/>
    <xf numFmtId="0" fontId="3" fillId="0" borderId="0" applyAlignment="1" pivotButton="0" quotePrefix="0" xfId="0">
      <alignment horizontal="right"/>
    </xf>
    <xf numFmtId="0" fontId="3" fillId="2" borderId="1" pivotButton="0" quotePrefix="0" xfId="0"/>
    <xf numFmtId="165" fontId="3" fillId="2" borderId="1" pivotButton="0" quotePrefix="0" xfId="0"/>
    <xf numFmtId="0" fontId="6" fillId="0" borderId="0" applyAlignment="1" pivotButton="0" quotePrefix="0" xfId="0">
      <alignment horizontal="right"/>
    </xf>
    <xf numFmtId="0" fontId="7" fillId="2" borderId="1" pivotButton="0" quotePrefix="0" xfId="0"/>
    <xf numFmtId="9" fontId="7" fillId="2" borderId="1" pivotButton="0" quotePrefix="0" xfId="0"/>
    <xf numFmtId="0" fontId="4" fillId="3" borderId="1" applyAlignment="1" pivotButton="0" quotePrefix="0" xfId="0">
      <alignment horizontal="center" vertical="center" wrapText="1"/>
    </xf>
    <xf numFmtId="3" fontId="5" fillId="4" borderId="1" applyAlignment="1" pivotButton="0" quotePrefix="0" xfId="0">
      <alignment vertical="top"/>
    </xf>
    <xf numFmtId="0" fontId="5" fillId="4" borderId="1" applyAlignment="1" pivotButton="0" quotePrefix="0" xfId="0">
      <alignment vertical="top"/>
    </xf>
    <xf numFmtId="0" fontId="5" fillId="4" borderId="1" applyAlignment="1" pivotButton="0" quotePrefix="0" xfId="0">
      <alignment vertical="top" wrapText="1"/>
    </xf>
    <xf numFmtId="3" fontId="5"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5" borderId="1" applyAlignment="1" pivotButton="0" quotePrefix="0" xfId="0">
      <alignment horizontal="center" vertical="center" wrapText="1"/>
    </xf>
    <xf numFmtId="0" fontId="5" fillId="4" borderId="1" applyAlignment="1" pivotButton="0" quotePrefix="0" xfId="0">
      <alignment horizontal="center" vertical="top"/>
    </xf>
    <xf numFmtId="0" fontId="8" fillId="4" borderId="1" applyAlignment="1" pivotButton="0" quotePrefix="0" xfId="0">
      <alignment vertical="top"/>
    </xf>
    <xf numFmtId="165" fontId="5" fillId="4" borderId="1" applyAlignment="1" pivotButton="0" quotePrefix="0" xfId="0">
      <alignment horizontal="center" vertical="top"/>
    </xf>
    <xf numFmtId="9" fontId="8" fillId="4" borderId="1" applyAlignment="1" pivotButton="0" quotePrefix="0" xfId="0">
      <alignment horizontal="center" vertical="top"/>
    </xf>
    <xf numFmtId="0" fontId="5" fillId="0" borderId="1" applyAlignment="1" pivotButton="0" quotePrefix="0" xfId="0">
      <alignment horizontal="center" vertical="top"/>
    </xf>
    <xf numFmtId="0" fontId="8" fillId="6" borderId="1" applyAlignment="1" pivotButton="0" quotePrefix="0" xfId="0">
      <alignment vertical="top"/>
    </xf>
    <xf numFmtId="165" fontId="5" fillId="0" borderId="1" applyAlignment="1" pivotButton="0" quotePrefix="0" xfId="0">
      <alignment horizontal="center" vertical="top"/>
    </xf>
    <xf numFmtId="9" fontId="8" fillId="6" borderId="1" applyAlignment="1" pivotButton="0" quotePrefix="0" xfId="0">
      <alignment horizontal="center" vertical="top"/>
    </xf>
    <xf numFmtId="0" fontId="14" fillId="0" borderId="0" pivotButton="0" quotePrefix="0" xfId="0"/>
    <xf numFmtId="0" fontId="13" fillId="3" borderId="0" pivotButton="0" quotePrefix="0" xfId="0"/>
    <xf numFmtId="0" fontId="11"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0006"/>
      </font>
      <fill>
        <patternFill patternType="solid">
          <fgColor rgb="00F8CBAD"/>
          <bgColor rgb="00F8CBAD"/>
        </patternFill>
      </fill>
    </dxf>
    <dxf>
      <font>
        <color rgb="009C0006"/>
      </font>
      <fill>
        <patternFill patternType="solid">
          <fgColor rgb="00F8CBAD"/>
          <bgColor rgb="00F8CBAD"/>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36"/>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Checklist de liberación de IWP</t>
        </is>
      </c>
    </row>
    <row r="2">
      <c r="A2" s="2" t="inlineStr">
        <is>
          <t>Kit de implementación AWP · Proyecto Tipo (PT) – Complejo de instalaciones en tres fases</t>
        </is>
      </c>
    </row>
    <row r="4" ht="28" customHeight="1">
      <c r="A4" s="3" t="inlineStr">
        <is>
          <t>Propósito</t>
        </is>
      </c>
      <c r="B4" s="4" t="inlineStr">
        <is>
          <t>Verificar, criterio por criterio, que un IWP está libre de restricciones antes de entregarlo a campo, y dejar registro de cada liberación.</t>
        </is>
      </c>
    </row>
    <row r="5" ht="42" customHeight="1">
      <c r="A5" s="3" t="inlineStr">
        <is>
          <t>Por qué se incluye</t>
        </is>
      </c>
      <c r="B5" s="4" t="inlineStr">
        <is>
          <t>Las guías de inicio rápido y el procedimiento 3.0 exigen que el IWP llegue a campo libre de restricciones; el checklist hace verificable esa regla y alimenta el KPI de IWP liberados sin restricciones.</t>
        </is>
      </c>
    </row>
    <row r="6" ht="28" customHeight="1">
      <c r="A6" s="3" t="inlineStr">
        <is>
          <t>Cuándo se usa</t>
        </is>
      </c>
      <c r="B6" s="4" t="inlineStr">
        <is>
          <t>Antes de pasar cada IWP al backlog (liberación). Se repite si el IWP vuelve de campo por una restricción no detectada.</t>
        </is>
      </c>
    </row>
    <row r="7" ht="28" customHeight="1">
      <c r="A7" s="3" t="inlineStr">
        <is>
          <t>Quién la llena</t>
        </is>
      </c>
      <c r="B7" s="4" t="inlineStr">
        <is>
          <t>El planificador de frente de trabajo completa el checklist con los responsables de cada criterio; el superintendente revisa y el Líder de WFP aprueba.</t>
        </is>
      </c>
    </row>
    <row r="8" ht="98" customHeight="1">
      <c r="A8" s="3" t="inlineStr">
        <is>
          <t>Cómo llenarla</t>
        </is>
      </c>
      <c r="B8" s="4" t="inlineStr">
        <is>
          <t>1. Haga una copia de la hoja «Checklist» por cada IWP (clic derecho en la pestaña &gt; Mover o copiar &gt; Crear una copia).
2. Escriba el código del IWP, la fase y la fecha en la fila 3, y el planificador en la fila 4.
3. Para cada criterio, indique si aplica y si cumple, con la evidencia.
4. El resultado (H4) es «LIBERAR» solo si todos los criterios aplicables cumplen.
5. Registre el resultado en la hoja «Registro de liberaciones».
6. Las filas amarillas son de ejemplo: bórrelas o reemplácelas.</t>
        </is>
      </c>
    </row>
    <row r="9" ht="42" customHeight="1">
      <c r="A9" s="3" t="inlineStr">
        <is>
          <t>Colores</t>
        </is>
      </c>
      <c r="B9"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10" ht="42" customHeight="1">
      <c r="A10" s="3" t="inlineStr">
        <is>
          <t>Impresión</t>
        </is>
      </c>
      <c r="B10"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2">
      <c r="A12" s="5" t="inlineStr">
        <is>
          <t>Columnas de la hoja «Checklist»</t>
        </is>
      </c>
    </row>
    <row r="13">
      <c r="A13" s="6" t="inlineStr">
        <is>
          <t>Columna</t>
        </is>
      </c>
      <c r="B13" s="6" t="inlineStr">
        <is>
          <t>Significado</t>
        </is>
      </c>
      <c r="C13" s="6" t="inlineStr">
        <is>
          <t>Tipo de dato</t>
        </is>
      </c>
    </row>
    <row r="14" ht="15" customHeight="1">
      <c r="A14" s="7" t="inlineStr">
        <is>
          <t>N.°</t>
        </is>
      </c>
      <c r="B14" s="8" t="inlineStr">
        <is>
          <t>Número del criterio.</t>
        </is>
      </c>
      <c r="C14" s="8" t="inlineStr">
        <is>
          <t>Manual</t>
        </is>
      </c>
    </row>
    <row r="15" ht="15" customHeight="1">
      <c r="A15" s="7" t="inlineStr">
        <is>
          <t>Categoría</t>
        </is>
      </c>
      <c r="B15" s="8" t="inlineStr">
        <is>
          <t>Grupo del criterio.</t>
        </is>
      </c>
      <c r="C15" s="8" t="inlineStr">
        <is>
          <t>Manual</t>
        </is>
      </c>
    </row>
    <row r="16" ht="15" customHeight="1">
      <c r="A16" s="7" t="inlineStr">
        <is>
          <t>Criterio de liberación</t>
        </is>
      </c>
      <c r="B16" s="8" t="inlineStr">
        <is>
          <t>Condición que debe cumplirse antes de liberar el IWP.</t>
        </is>
      </c>
      <c r="C16" s="8" t="inlineStr">
        <is>
          <t>Manual</t>
        </is>
      </c>
    </row>
    <row r="17" ht="15" customHeight="1">
      <c r="A17" s="7" t="inlineStr">
        <is>
          <t>Aplica</t>
        </is>
      </c>
      <c r="B17" s="8" t="inlineStr">
        <is>
          <t>«No» si el criterio no aplica a este IWP.</t>
        </is>
      </c>
      <c r="C17" s="8" t="inlineStr">
        <is>
          <t>Lista</t>
        </is>
      </c>
    </row>
    <row r="18" ht="15" customHeight="1">
      <c r="A18" s="7" t="inlineStr">
        <is>
          <t>Cumple</t>
        </is>
      </c>
      <c r="B18" s="8" t="inlineStr">
        <is>
          <t>Sí, No, Pendiente o No aplica.</t>
        </is>
      </c>
      <c r="C18" s="8" t="inlineStr">
        <is>
          <t>Lista</t>
        </is>
      </c>
    </row>
    <row r="19" ht="15" customHeight="1">
      <c r="A19" s="7" t="inlineStr">
        <is>
          <t>Evidencia / referencia</t>
        </is>
      </c>
      <c r="B19" s="8" t="inlineStr">
        <is>
          <t>Documento, transmittal, vale de almacén, permiso, etc.</t>
        </is>
      </c>
      <c r="C19" s="8" t="inlineStr">
        <is>
          <t>Manual</t>
        </is>
      </c>
    </row>
    <row r="20" ht="15" customHeight="1">
      <c r="A20" s="7" t="inlineStr">
        <is>
          <t>Responsable (rol)</t>
        </is>
      </c>
      <c r="B20" s="8" t="inlineStr">
        <is>
          <t>Rol que confirma el criterio.</t>
        </is>
      </c>
      <c r="C20" s="8" t="inlineStr">
        <is>
          <t>Lista</t>
        </is>
      </c>
    </row>
    <row r="21" ht="15" customHeight="1">
      <c r="A21" s="7" t="inlineStr">
        <is>
          <t>Observaciones</t>
        </is>
      </c>
      <c r="B21" s="8" t="inlineStr">
        <is>
          <t>Comentarios.</t>
        </is>
      </c>
      <c r="C21" s="8" t="inlineStr">
        <is>
          <t>Manual</t>
        </is>
      </c>
    </row>
    <row r="23">
      <c r="A23" s="5" t="inlineStr">
        <is>
          <t>Columnas de la hoja «Registro de liberaciones»</t>
        </is>
      </c>
    </row>
    <row r="24">
      <c r="A24" s="6" t="inlineStr">
        <is>
          <t>Columna</t>
        </is>
      </c>
      <c r="B24" s="6" t="inlineStr">
        <is>
          <t>Significado</t>
        </is>
      </c>
      <c r="C24" s="6" t="inlineStr">
        <is>
          <t>Tipo de dato</t>
        </is>
      </c>
    </row>
    <row r="25" ht="15" customHeight="1">
      <c r="A25" s="7" t="inlineStr">
        <is>
          <t>Ejemplo</t>
        </is>
      </c>
      <c r="B25" s="8" t="inlineStr">
        <is>
          <t>Contiene «EJEMPLO» en las filas de ejemplo. Déjela vacía en las filas reales.</t>
        </is>
      </c>
      <c r="C25" s="8" t="inlineStr">
        <is>
          <t>Manual</t>
        </is>
      </c>
    </row>
    <row r="26" ht="15" customHeight="1">
      <c r="A26" s="7" t="inlineStr">
        <is>
          <t>IWP</t>
        </is>
      </c>
      <c r="B26" s="8" t="inlineStr">
        <is>
          <t>Código del IWP revisado.</t>
        </is>
      </c>
      <c r="C26" s="8" t="inlineStr">
        <is>
          <t>Manual</t>
        </is>
      </c>
    </row>
    <row r="27" ht="15" customHeight="1">
      <c r="A27" s="7" t="inlineStr">
        <is>
          <t>Fase del proyecto</t>
        </is>
      </c>
      <c r="B27" s="8" t="inlineStr">
        <is>
          <t>Fase del proyecto.</t>
        </is>
      </c>
      <c r="C27" s="8" t="inlineStr">
        <is>
          <t>Lista</t>
        </is>
      </c>
    </row>
    <row r="28" ht="15" customHeight="1">
      <c r="A28" s="9" t="inlineStr">
        <is>
          <t>CWP</t>
        </is>
      </c>
      <c r="B28" s="10" t="inlineStr">
        <is>
          <t>Calculado a partir del código del IWP.</t>
        </is>
      </c>
      <c r="C28" s="10" t="inlineStr">
        <is>
          <t>Calculado</t>
        </is>
      </c>
    </row>
    <row r="29" ht="15" customHeight="1">
      <c r="A29" s="7" t="inlineStr">
        <is>
          <t>Fecha de revisión</t>
        </is>
      </c>
      <c r="B29" s="8" t="inlineStr">
        <is>
          <t>Fecha en que se aplicó el checklist.</t>
        </is>
      </c>
      <c r="C29" s="8" t="inlineStr">
        <is>
          <t>Manual</t>
        </is>
      </c>
    </row>
    <row r="30" ht="15" customHeight="1">
      <c r="A30" s="7" t="inlineStr">
        <is>
          <t>Criterios aplicables</t>
        </is>
      </c>
      <c r="B30" s="8" t="inlineStr">
        <is>
          <t>Cantidad de criterios con «Aplica = Sí».</t>
        </is>
      </c>
      <c r="C30" s="8" t="inlineStr">
        <is>
          <t>Manual</t>
        </is>
      </c>
    </row>
    <row r="31" ht="15" customHeight="1">
      <c r="A31" s="7" t="inlineStr">
        <is>
          <t>Criterios cumplidos</t>
        </is>
      </c>
      <c r="B31" s="8" t="inlineStr">
        <is>
          <t>Cantidad de criterios aplicables con «Cumple = Sí».</t>
        </is>
      </c>
      <c r="C31" s="8" t="inlineStr">
        <is>
          <t>Manual</t>
        </is>
      </c>
    </row>
    <row r="32" ht="15" customHeight="1">
      <c r="A32" s="9" t="inlineStr">
        <is>
          <t>% cumplimiento</t>
        </is>
      </c>
      <c r="B32" s="10" t="inlineStr">
        <is>
          <t>Calculado.</t>
        </is>
      </c>
      <c r="C32" s="10" t="inlineStr">
        <is>
          <t>Calculado</t>
        </is>
      </c>
    </row>
    <row r="33" ht="15" customHeight="1">
      <c r="A33" s="9" t="inlineStr">
        <is>
          <t>Resultado</t>
        </is>
      </c>
      <c r="B33" s="10" t="inlineStr">
        <is>
          <t>Calculado: LIBERAR solo con 100 % de cumplimiento.</t>
        </is>
      </c>
      <c r="C33" s="10" t="inlineStr">
        <is>
          <t>Calculado</t>
        </is>
      </c>
    </row>
    <row r="34" ht="15" customHeight="1">
      <c r="A34" s="7" t="inlineStr">
        <is>
          <t>Liberado por (rol)</t>
        </is>
      </c>
      <c r="B34" s="8" t="inlineStr">
        <is>
          <t>Rol que firmó la liberación.</t>
        </is>
      </c>
      <c r="C34" s="8" t="inlineStr">
        <is>
          <t>Lista</t>
        </is>
      </c>
    </row>
    <row r="35" ht="15" customHeight="1">
      <c r="A35" s="7" t="inlineStr">
        <is>
          <t>Fecha de liberación</t>
        </is>
      </c>
      <c r="B35" s="8" t="inlineStr">
        <is>
          <t>Fecha de liberación (vacía si no se liberó).</t>
        </is>
      </c>
      <c r="C35" s="8" t="inlineStr">
        <is>
          <t>Manual</t>
        </is>
      </c>
    </row>
    <row r="36" ht="15" customHeight="1">
      <c r="A36" s="7" t="inlineStr">
        <is>
          <t>Observaciones</t>
        </is>
      </c>
      <c r="B36" s="8" t="inlineStr">
        <is>
          <t>Comentarios; restricciones pendientes.</t>
        </is>
      </c>
      <c r="C36" s="8" t="inlineStr">
        <is>
          <t>Manual</t>
        </is>
      </c>
    </row>
  </sheetData>
  <mergeCells count="7">
    <mergeCell ref="B6:C6"/>
    <mergeCell ref="B7:C7"/>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Checklist de liberación de IWP</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H35"/>
  <sheetViews>
    <sheetView tabSelected="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56" customWidth="1" min="3" max="3"/>
    <col width="8" customWidth="1" min="4" max="4"/>
    <col width="11" customWidth="1" min="5" max="5"/>
    <col width="22" customWidth="1" min="6" max="6"/>
    <col width="24" customWidth="1" min="7" max="7"/>
    <col width="26" customWidth="1" min="8" max="8"/>
  </cols>
  <sheetData>
    <row r="1" ht="24" customHeight="1">
      <c r="A1" s="11" t="inlineStr">
        <is>
          <t>Checklist de liberación de IWP</t>
        </is>
      </c>
    </row>
    <row r="2">
      <c r="A2" s="2" t="inlineStr">
        <is>
          <t>Proyecto Tipo (PT) – Complejo de instalaciones en tres fases. Ejemplo lleno para el IWP-2.01-CIV-01-001 (zapatas ejes A1–A4). Use una copia de esta hoja por IWP.</t>
        </is>
      </c>
    </row>
    <row r="3">
      <c r="A3" s="12" t="inlineStr">
        <is>
          <t>IWP:</t>
        </is>
      </c>
      <c r="B3" s="13" t="inlineStr">
        <is>
          <t>IWP-2.01-CIV-01-001</t>
        </is>
      </c>
      <c r="D3" s="12" t="inlineStr">
        <is>
          <t>Fase:</t>
        </is>
      </c>
      <c r="E3" s="13" t="inlineStr">
        <is>
          <t>Fase 2</t>
        </is>
      </c>
      <c r="G3" s="12" t="inlineStr">
        <is>
          <t>Fecha:</t>
        </is>
      </c>
      <c r="H3" s="14" t="n">
        <v>46778</v>
      </c>
    </row>
    <row r="4">
      <c r="A4" s="15" t="inlineStr">
        <is>
          <t>Planificador:</t>
        </is>
      </c>
      <c r="B4" s="16" t="inlineStr">
        <is>
          <t>(nombre)</t>
        </is>
      </c>
      <c r="D4" s="15" t="inlineStr">
        <is>
          <t>Cumplimiento:</t>
        </is>
      </c>
      <c r="E4" s="17">
        <f>IFERROR(COUNTIFS($D$6:$D$35,"Sí",$E$6:$E$35,"Sí")/COUNTIF($D$6:$D$35,"Sí"),"")</f>
        <v/>
      </c>
      <c r="G4" s="15" t="inlineStr">
        <is>
          <t>Resultado:</t>
        </is>
      </c>
      <c r="H4" s="16">
        <f>IF(COUNTIF($D$6:$D$35,"Sí")=0,"",IF(COUNTIFS($D$6:$D$35,"Sí",$E$6:$E$35,"&lt;&gt;Sí")=0,"LIBERAR","NO LIBERAR"))</f>
        <v/>
      </c>
    </row>
    <row r="5" ht="42" customHeight="1">
      <c r="A5" s="18" t="inlineStr">
        <is>
          <t>N.°</t>
        </is>
      </c>
      <c r="B5" s="18" t="inlineStr">
        <is>
          <t>Categoría</t>
        </is>
      </c>
      <c r="C5" s="18" t="inlineStr">
        <is>
          <t>Criterio de liberación</t>
        </is>
      </c>
      <c r="D5" s="18" t="inlineStr">
        <is>
          <t>Aplica</t>
        </is>
      </c>
      <c r="E5" s="18" t="inlineStr">
        <is>
          <t>Cumple</t>
        </is>
      </c>
      <c r="F5" s="18" t="inlineStr">
        <is>
          <t>Evidencia / referencia</t>
        </is>
      </c>
      <c r="G5" s="18" t="inlineStr">
        <is>
          <t>Responsable (rol)</t>
        </is>
      </c>
      <c r="H5" s="18" t="inlineStr">
        <is>
          <t>Observaciones</t>
        </is>
      </c>
    </row>
    <row r="6">
      <c r="A6" s="19" t="n">
        <v>1</v>
      </c>
      <c r="B6" s="20" t="inlineStr">
        <is>
          <t>Documentos</t>
        </is>
      </c>
      <c r="C6" s="21" t="inlineStr">
        <is>
          <t>Planos y documentos IFC vigentes incluidos en el IWP</t>
        </is>
      </c>
      <c r="D6" s="20" t="inlineStr">
        <is>
          <t>Sí</t>
        </is>
      </c>
      <c r="E6" s="20" t="inlineStr">
        <is>
          <t>Sí</t>
        </is>
      </c>
      <c r="F6" s="21" t="inlineStr"/>
      <c r="G6" s="20" t="inlineStr">
        <is>
          <t>Líder de Ingeniería</t>
        </is>
      </c>
      <c r="H6" s="21" t="inlineStr"/>
    </row>
    <row r="7">
      <c r="A7" s="19" t="n">
        <v>2</v>
      </c>
      <c r="B7" s="20" t="inlineStr">
        <is>
          <t>Documentos</t>
        </is>
      </c>
      <c r="C7" s="21" t="inlineStr">
        <is>
          <t>Sin RFI abiertas que afecten al alcance del IWP</t>
        </is>
      </c>
      <c r="D7" s="20" t="inlineStr">
        <is>
          <t>Sí</t>
        </is>
      </c>
      <c r="E7" s="20" t="inlineStr">
        <is>
          <t>Sí</t>
        </is>
      </c>
      <c r="F7" s="21" t="inlineStr"/>
      <c r="G7" s="20" t="inlineStr">
        <is>
          <t>Líder de Ingeniería</t>
        </is>
      </c>
      <c r="H7" s="21" t="inlineStr"/>
    </row>
    <row r="8">
      <c r="A8" s="19" t="n">
        <v>3</v>
      </c>
      <c r="B8" s="20" t="inlineStr">
        <is>
          <t>Documentos</t>
        </is>
      </c>
      <c r="C8" s="21" t="inlineStr">
        <is>
          <t>Vistas 3D, isométricos o croquis del alcance incluidos</t>
        </is>
      </c>
      <c r="D8" s="20" t="inlineStr">
        <is>
          <t>Sí</t>
        </is>
      </c>
      <c r="E8" s="20" t="inlineStr">
        <is>
          <t>Sí</t>
        </is>
      </c>
      <c r="F8" s="21" t="inlineStr"/>
      <c r="G8" s="20" t="inlineStr">
        <is>
          <t>Planificador de frente de trabajo</t>
        </is>
      </c>
      <c r="H8" s="21" t="inlineStr"/>
    </row>
    <row r="9">
      <c r="A9" s="19" t="n">
        <v>4</v>
      </c>
      <c r="B9" s="20" t="inlineStr">
        <is>
          <t>Documentos</t>
        </is>
      </c>
      <c r="C9" s="21" t="inlineStr">
        <is>
          <t>Cantidades y HH estimadas verificadas (300 a 600 HH)</t>
        </is>
      </c>
      <c r="D9" s="20" t="inlineStr">
        <is>
          <t>Sí</t>
        </is>
      </c>
      <c r="E9" s="20" t="inlineStr">
        <is>
          <t>Sí</t>
        </is>
      </c>
      <c r="F9" s="21" t="inlineStr"/>
      <c r="G9" s="20" t="inlineStr">
        <is>
          <t>Planificador de frente de trabajo</t>
        </is>
      </c>
      <c r="H9" s="21" t="inlineStr"/>
    </row>
    <row r="10">
      <c r="A10" s="19" t="n">
        <v>5</v>
      </c>
      <c r="B10" s="20" t="inlineStr">
        <is>
          <t>Materiales</t>
        </is>
      </c>
      <c r="C10" s="21" t="inlineStr">
        <is>
          <t>100 % de materiales recibidos en almacén</t>
        </is>
      </c>
      <c r="D10" s="20" t="inlineStr">
        <is>
          <t>Sí</t>
        </is>
      </c>
      <c r="E10" s="20" t="inlineStr">
        <is>
          <t>Sí</t>
        </is>
      </c>
      <c r="F10" s="21" t="inlineStr"/>
      <c r="G10" s="20" t="inlineStr">
        <is>
          <t>Gestor de materiales</t>
        </is>
      </c>
      <c r="H10" s="21" t="inlineStr"/>
    </row>
    <row r="11">
      <c r="A11" s="19" t="n">
        <v>6</v>
      </c>
      <c r="B11" s="20" t="inlineStr">
        <is>
          <t>Materiales</t>
        </is>
      </c>
      <c r="C11" s="21" t="inlineStr">
        <is>
          <t>Materiales inspeccionados y conformes</t>
        </is>
      </c>
      <c r="D11" s="20" t="inlineStr">
        <is>
          <t>Sí</t>
        </is>
      </c>
      <c r="E11" s="20" t="inlineStr">
        <is>
          <t>Sí</t>
        </is>
      </c>
      <c r="F11" s="21" t="inlineStr"/>
      <c r="G11" s="20" t="inlineStr">
        <is>
          <t>Líder de calidad (QA/QC)</t>
        </is>
      </c>
      <c r="H11" s="21" t="inlineStr"/>
    </row>
    <row r="12">
      <c r="A12" s="19" t="n">
        <v>7</v>
      </c>
      <c r="B12" s="20" t="inlineStr">
        <is>
          <t>Materiales</t>
        </is>
      </c>
      <c r="C12" s="21" t="inlineStr">
        <is>
          <t>Materiales reservados para el IWP (y preparados por paquete si aplica)</t>
        </is>
      </c>
      <c r="D12" s="20" t="inlineStr">
        <is>
          <t>Sí</t>
        </is>
      </c>
      <c r="E12" s="20" t="inlineStr">
        <is>
          <t>Sí</t>
        </is>
      </c>
      <c r="F12" s="21" t="inlineStr"/>
      <c r="G12" s="20" t="inlineStr">
        <is>
          <t>Gestor de materiales</t>
        </is>
      </c>
      <c r="H12" s="21" t="inlineStr"/>
    </row>
    <row r="13">
      <c r="A13" s="19" t="n">
        <v>8</v>
      </c>
      <c r="B13" s="20" t="inlineStr">
        <is>
          <t>Materiales</t>
        </is>
      </c>
      <c r="C13" s="21" t="inlineStr">
        <is>
          <t>Documentación del proveedor disponible (planos certificados, manuales)</t>
        </is>
      </c>
      <c r="D13" s="20" t="inlineStr">
        <is>
          <t>Sí</t>
        </is>
      </c>
      <c r="E13" s="20" t="inlineStr">
        <is>
          <t>Sí</t>
        </is>
      </c>
      <c r="F13" s="21" t="inlineStr"/>
      <c r="G13" s="20" t="inlineStr">
        <is>
          <t>Líder de Procura</t>
        </is>
      </c>
      <c r="H13" s="21" t="inlineStr"/>
    </row>
    <row r="14">
      <c r="A14" s="19" t="n">
        <v>9</v>
      </c>
      <c r="B14" s="20" t="inlineStr">
        <is>
          <t>Recursos</t>
        </is>
      </c>
      <c r="C14" s="21" t="inlineStr">
        <is>
          <t>Cuadrilla y capataz asignados y acreditados</t>
        </is>
      </c>
      <c r="D14" s="20" t="inlineStr">
        <is>
          <t>Sí</t>
        </is>
      </c>
      <c r="E14" s="20" t="inlineStr">
        <is>
          <t>Sí</t>
        </is>
      </c>
      <c r="F14" s="21" t="inlineStr"/>
      <c r="G14" s="20" t="inlineStr">
        <is>
          <t>Superintendente / capataz general</t>
        </is>
      </c>
      <c r="H14" s="21" t="inlineStr"/>
    </row>
    <row r="15">
      <c r="A15" s="19" t="n">
        <v>10</v>
      </c>
      <c r="B15" s="20" t="inlineStr">
        <is>
          <t>Recursos</t>
        </is>
      </c>
      <c r="C15" s="21" t="inlineStr">
        <is>
          <t>Equipos y grúas confirmados para las fechas</t>
        </is>
      </c>
      <c r="D15" s="20" t="inlineStr">
        <is>
          <t>Sí</t>
        </is>
      </c>
      <c r="E15" s="20" t="inlineStr">
        <is>
          <t>Sí</t>
        </is>
      </c>
      <c r="F15" s="21" t="inlineStr"/>
      <c r="G15" s="20" t="inlineStr">
        <is>
          <t>Gerente de Construcción</t>
        </is>
      </c>
      <c r="H15" s="21" t="inlineStr"/>
    </row>
    <row r="16">
      <c r="A16" s="19" t="n">
        <v>11</v>
      </c>
      <c r="B16" s="20" t="inlineStr">
        <is>
          <t>Recursos</t>
        </is>
      </c>
      <c r="C16" s="21" t="inlineStr">
        <is>
          <t>Andamios montados e inspeccionados (o solicitados con fecha confirmada)</t>
        </is>
      </c>
      <c r="D16" s="20" t="inlineStr">
        <is>
          <t>Sí</t>
        </is>
      </c>
      <c r="E16" s="20" t="inlineStr">
        <is>
          <t>Sí</t>
        </is>
      </c>
      <c r="F16" s="21" t="inlineStr"/>
      <c r="G16" s="20" t="inlineStr">
        <is>
          <t>Superintendente / capataz general</t>
        </is>
      </c>
      <c r="H16" s="21" t="inlineStr"/>
    </row>
    <row r="17">
      <c r="A17" s="19" t="n">
        <v>12</v>
      </c>
      <c r="B17" s="20" t="inlineStr">
        <is>
          <t>Recursos</t>
        </is>
      </c>
      <c r="C17" s="21" t="inlineStr">
        <is>
          <t>Herramientas y consumibles disponibles</t>
        </is>
      </c>
      <c r="D17" s="20" t="inlineStr">
        <is>
          <t>Sí</t>
        </is>
      </c>
      <c r="E17" s="20" t="inlineStr">
        <is>
          <t>Sí</t>
        </is>
      </c>
      <c r="F17" s="21" t="inlineStr"/>
      <c r="G17" s="20" t="inlineStr">
        <is>
          <t>Superintendente / capataz general</t>
        </is>
      </c>
      <c r="H17" s="21" t="inlineStr"/>
    </row>
    <row r="18">
      <c r="A18" s="19" t="n">
        <v>13</v>
      </c>
      <c r="B18" s="20" t="inlineStr">
        <is>
          <t>Frente de trabajo</t>
        </is>
      </c>
      <c r="C18" s="21" t="inlineStr">
        <is>
          <t>Trabajos predecesores terminados y aceptados por calidad</t>
        </is>
      </c>
      <c r="D18" s="20" t="inlineStr">
        <is>
          <t>Sí</t>
        </is>
      </c>
      <c r="E18" s="20" t="inlineStr">
        <is>
          <t>Sí</t>
        </is>
      </c>
      <c r="F18" s="21" t="inlineStr"/>
      <c r="G18" s="20" t="inlineStr">
        <is>
          <t>Superintendente / capataz general</t>
        </is>
      </c>
      <c r="H18" s="21" t="inlineStr"/>
    </row>
    <row r="19">
      <c r="A19" s="19" t="n">
        <v>14</v>
      </c>
      <c r="B19" s="20" t="inlineStr">
        <is>
          <t>Frente de trabajo</t>
        </is>
      </c>
      <c r="C19" s="21" t="inlineStr">
        <is>
          <t>Frente de trabajo libre de interferencias con otras cuadrillas o fases</t>
        </is>
      </c>
      <c r="D19" s="20" t="inlineStr">
        <is>
          <t>Sí</t>
        </is>
      </c>
      <c r="E19" s="20" t="inlineStr">
        <is>
          <t>Sí</t>
        </is>
      </c>
      <c r="F19" s="21" t="inlineStr"/>
      <c r="G19" s="20" t="inlineStr">
        <is>
          <t>Gerente de Construcción</t>
        </is>
      </c>
      <c r="H19" s="21" t="inlineStr"/>
    </row>
    <row r="20">
      <c r="A20" s="19" t="n">
        <v>15</v>
      </c>
      <c r="B20" s="20" t="inlineStr">
        <is>
          <t>HSE</t>
        </is>
      </c>
      <c r="C20" s="21" t="inlineStr">
        <is>
          <t>JHA elaborado y aprobado</t>
        </is>
      </c>
      <c r="D20" s="20" t="inlineStr">
        <is>
          <t>Sí</t>
        </is>
      </c>
      <c r="E20" s="20" t="inlineStr">
        <is>
          <t>Sí</t>
        </is>
      </c>
      <c r="F20" s="21" t="inlineStr"/>
      <c r="G20" s="20" t="inlineStr">
        <is>
          <t>Líder de HSE</t>
        </is>
      </c>
      <c r="H20" s="21" t="inlineStr"/>
    </row>
    <row r="21">
      <c r="A21" s="19" t="n">
        <v>16</v>
      </c>
      <c r="B21" s="20" t="inlineStr">
        <is>
          <t>HSE</t>
        </is>
      </c>
      <c r="C21" s="21" t="inlineStr">
        <is>
          <t>Permisos de trabajo identificados (excavación, altura, caliente, izaje)</t>
        </is>
      </c>
      <c r="D21" s="20" t="inlineStr">
        <is>
          <t>Sí</t>
        </is>
      </c>
      <c r="E21" s="20" t="inlineStr">
        <is>
          <t>Sí</t>
        </is>
      </c>
      <c r="F21" s="21" t="inlineStr"/>
      <c r="G21" s="20" t="inlineStr">
        <is>
          <t>Líder de HSE</t>
        </is>
      </c>
      <c r="H21" s="21" t="inlineStr"/>
    </row>
    <row r="22">
      <c r="A22" s="19" t="n">
        <v>17</v>
      </c>
      <c r="B22" s="20" t="inlineStr">
        <is>
          <t>HSE</t>
        </is>
      </c>
      <c r="C22" s="21" t="inlineStr">
        <is>
          <t>Plan de izaje aprobado (si aplica)</t>
        </is>
      </c>
      <c r="D22" s="20" t="inlineStr">
        <is>
          <t>No</t>
        </is>
      </c>
      <c r="E22" s="20" t="inlineStr">
        <is>
          <t>No aplica</t>
        </is>
      </c>
      <c r="F22" s="21" t="inlineStr"/>
      <c r="G22" s="20" t="inlineStr">
        <is>
          <t>Líder de HSE</t>
        </is>
      </c>
      <c r="H22" s="21" t="inlineStr"/>
    </row>
    <row r="23">
      <c r="A23" s="19" t="n">
        <v>18</v>
      </c>
      <c r="B23" s="20" t="inlineStr">
        <is>
          <t>Calidad</t>
        </is>
      </c>
      <c r="C23" s="21" t="inlineStr">
        <is>
          <t>ITP y formatos de inspección incluidos</t>
        </is>
      </c>
      <c r="D23" s="20" t="inlineStr">
        <is>
          <t>Sí</t>
        </is>
      </c>
      <c r="E23" s="20" t="inlineStr">
        <is>
          <t>Sí</t>
        </is>
      </c>
      <c r="F23" s="21" t="inlineStr"/>
      <c r="G23" s="20" t="inlineStr">
        <is>
          <t>Líder de calidad (QA/QC)</t>
        </is>
      </c>
      <c r="H23" s="21" t="inlineStr"/>
    </row>
    <row r="24">
      <c r="A24" s="19" t="n">
        <v>19</v>
      </c>
      <c r="B24" s="20" t="inlineStr">
        <is>
          <t>Calidad</t>
        </is>
      </c>
      <c r="C24" s="21" t="inlineStr">
        <is>
          <t>Procedimientos de trabajo aprobados (soldadura, concreto, pruebas)</t>
        </is>
      </c>
      <c r="D24" s="20" t="inlineStr">
        <is>
          <t>Sí</t>
        </is>
      </c>
      <c r="E24" s="20" t="inlineStr">
        <is>
          <t>Sí</t>
        </is>
      </c>
      <c r="F24" s="21" t="inlineStr"/>
      <c r="G24" s="20" t="inlineStr">
        <is>
          <t>Líder de calidad (QA/QC)</t>
        </is>
      </c>
      <c r="H24" s="21" t="inlineStr"/>
    </row>
    <row r="25">
      <c r="A25" s="19" t="n">
        <v>20</v>
      </c>
      <c r="B25" s="20" t="inlineStr">
        <is>
          <t>Registro</t>
        </is>
      </c>
      <c r="C25" s="21" t="inlineStr">
        <is>
          <t>Todas las restricciones del IWP liberadas o canceladas en el registro</t>
        </is>
      </c>
      <c r="D25" s="20" t="inlineStr">
        <is>
          <t>Sí</t>
        </is>
      </c>
      <c r="E25" s="20" t="inlineStr">
        <is>
          <t>Sí</t>
        </is>
      </c>
      <c r="F25" s="21" t="inlineStr">
        <is>
          <t>Ver registro</t>
        </is>
      </c>
      <c r="G25" s="20" t="inlineStr">
        <is>
          <t>Líder de WFP</t>
        </is>
      </c>
      <c r="H25" s="21" t="inlineStr"/>
    </row>
    <row r="26">
      <c r="A26" s="19" t="n">
        <v>21</v>
      </c>
      <c r="B26" s="20" t="inlineStr">
        <is>
          <t>Registro</t>
        </is>
      </c>
      <c r="C26" s="21" t="inlineStr">
        <is>
          <t>IWP incluido en el cronograma de nivel 5 y con sistema asignado</t>
        </is>
      </c>
      <c r="D26" s="20" t="inlineStr">
        <is>
          <t>Sí</t>
        </is>
      </c>
      <c r="E26" s="20" t="inlineStr">
        <is>
          <t>Sí</t>
        </is>
      </c>
      <c r="F26" s="21" t="inlineStr">
        <is>
          <t>Ver registro</t>
        </is>
      </c>
      <c r="G26" s="20" t="inlineStr">
        <is>
          <t>Controles del proyecto</t>
        </is>
      </c>
      <c r="H26" s="21" t="inlineStr"/>
    </row>
    <row r="27">
      <c r="A27" s="19" t="n">
        <v>22</v>
      </c>
      <c r="B27" s="20" t="inlineStr">
        <is>
          <t>Aprobación</t>
        </is>
      </c>
      <c r="C27" s="21" t="inlineStr">
        <is>
          <t>Revisado por el planificador de frente de trabajo</t>
        </is>
      </c>
      <c r="D27" s="20" t="inlineStr">
        <is>
          <t>Sí</t>
        </is>
      </c>
      <c r="E27" s="20" t="inlineStr">
        <is>
          <t>Sí</t>
        </is>
      </c>
      <c r="F27" s="21" t="inlineStr"/>
      <c r="G27" s="20" t="inlineStr">
        <is>
          <t>Planificador de frente de trabajo</t>
        </is>
      </c>
      <c r="H27" s="21" t="inlineStr"/>
    </row>
    <row r="28">
      <c r="A28" s="19" t="n">
        <v>23</v>
      </c>
      <c r="B28" s="20" t="inlineStr">
        <is>
          <t>Aprobación</t>
        </is>
      </c>
      <c r="C28" s="21" t="inlineStr">
        <is>
          <t>Revisado por el superintendente</t>
        </is>
      </c>
      <c r="D28" s="20" t="inlineStr">
        <is>
          <t>Sí</t>
        </is>
      </c>
      <c r="E28" s="20" t="inlineStr">
        <is>
          <t>Sí</t>
        </is>
      </c>
      <c r="F28" s="21" t="inlineStr"/>
      <c r="G28" s="20" t="inlineStr">
        <is>
          <t>Superintendente / capataz general</t>
        </is>
      </c>
      <c r="H28" s="21" t="inlineStr"/>
    </row>
    <row r="29">
      <c r="A29" s="19" t="n">
        <v>24</v>
      </c>
      <c r="B29" s="20" t="inlineStr">
        <is>
          <t>Aprobación</t>
        </is>
      </c>
      <c r="C29" s="21" t="inlineStr">
        <is>
          <t>Aprobado para liberación por el Líder de WFP</t>
        </is>
      </c>
      <c r="D29" s="20" t="inlineStr">
        <is>
          <t>Sí</t>
        </is>
      </c>
      <c r="E29" s="20" t="inlineStr">
        <is>
          <t>Sí</t>
        </is>
      </c>
      <c r="F29" s="21" t="inlineStr"/>
      <c r="G29" s="20" t="inlineStr">
        <is>
          <t>Líder de WFP</t>
        </is>
      </c>
      <c r="H29" s="21" t="inlineStr"/>
    </row>
    <row r="30">
      <c r="A30" s="22" t="n"/>
      <c r="B30" s="23" t="n"/>
      <c r="C30" s="24" t="n"/>
      <c r="D30" s="23" t="n"/>
      <c r="E30" s="23" t="n"/>
      <c r="F30" s="24" t="n"/>
      <c r="G30" s="23" t="n"/>
      <c r="H30" s="24" t="n"/>
    </row>
    <row r="31">
      <c r="A31" s="22" t="n"/>
      <c r="B31" s="23" t="n"/>
      <c r="C31" s="24" t="n"/>
      <c r="D31" s="23" t="n"/>
      <c r="E31" s="23" t="n"/>
      <c r="F31" s="24" t="n"/>
      <c r="G31" s="23" t="n"/>
      <c r="H31" s="24" t="n"/>
    </row>
    <row r="32">
      <c r="A32" s="22" t="n"/>
      <c r="B32" s="23" t="n"/>
      <c r="C32" s="24" t="n"/>
      <c r="D32" s="23" t="n"/>
      <c r="E32" s="23" t="n"/>
      <c r="F32" s="24" t="n"/>
      <c r="G32" s="23" t="n"/>
      <c r="H32" s="24" t="n"/>
    </row>
    <row r="33">
      <c r="A33" s="22" t="n"/>
      <c r="B33" s="23" t="n"/>
      <c r="C33" s="24" t="n"/>
      <c r="D33" s="23" t="n"/>
      <c r="E33" s="23" t="n"/>
      <c r="F33" s="24" t="n"/>
      <c r="G33" s="23" t="n"/>
      <c r="H33" s="24" t="n"/>
    </row>
    <row r="34">
      <c r="A34" s="22" t="n"/>
      <c r="B34" s="23" t="n"/>
      <c r="C34" s="24" t="n"/>
      <c r="D34" s="23" t="n"/>
      <c r="E34" s="23" t="n"/>
      <c r="F34" s="24" t="n"/>
      <c r="G34" s="23" t="n"/>
      <c r="H34" s="24" t="n"/>
    </row>
    <row r="35">
      <c r="A35" s="22" t="n"/>
      <c r="B35" s="23" t="n"/>
      <c r="C35" s="24" t="n"/>
      <c r="D35" s="23" t="n"/>
      <c r="E35" s="23" t="n"/>
      <c r="F35" s="24" t="n"/>
      <c r="G35" s="23" t="n"/>
      <c r="H35" s="24" t="n"/>
    </row>
  </sheetData>
  <autoFilter ref="A5:H35"/>
  <conditionalFormatting sqref="H4">
    <cfRule type="expression" priority="1" dxfId="0" stopIfTrue="1">
      <formula>H4="LIBERAR"</formula>
    </cfRule>
    <cfRule type="expression" priority="2" dxfId="1" stopIfTrue="1">
      <formula>H4="NO LIBERAR"</formula>
    </cfRule>
  </conditionalFormatting>
  <conditionalFormatting sqref="E6:E35">
    <cfRule type="expression" priority="3" dxfId="2" stopIfTrue="1">
      <formula>AND($D6="Sí",OR($E6="No",$E6="Pendiente",$E6=""))</formula>
    </cfRule>
    <cfRule type="expression" priority="4" dxfId="3" stopIfTrue="1">
      <formula>$E6="Sí"</formula>
    </cfRule>
  </conditionalFormatting>
  <dataValidations count="4">
    <dataValidation sqref="D6:D35" showDropDown="0" showInputMessage="0" showErrorMessage="1" allowBlank="1" errorTitle="Valor no válido" error="Seleccione un valor de la lista." prompt="Seleccione aplica" type="list">
      <formula1>=SiNo</formula1>
    </dataValidation>
    <dataValidation sqref="E6:E35" showDropDown="0" showInputMessage="0" showErrorMessage="1" allowBlank="1" errorTitle="Valor no válido" error="Seleccione un valor de la lista." prompt="Seleccione cumple" type="list">
      <formula1>"Sí,No,Pendiente,No aplica"</formula1>
    </dataValidation>
    <dataValidation sqref="G6:G35" showDropDown="0" showInputMessage="0" showErrorMessage="1" allowBlank="1" errorTitle="Valor no válido" error="Seleccione un valor de la lista." prompt="Seleccione responsable (rol)" type="list">
      <formula1>=Roles</formula1>
    </dataValidation>
    <dataValidation sqref="E3" showDropDown="0" showInputMessage="0" showErrorMessage="0" allowBlank="1" type="list">
      <formula1>=Fases</formula1>
    </dataValidation>
  </dataValidations>
  <printOptions horizontalCentered="1"/>
  <pageMargins left="0.4" right="0.4" top="0.6" bottom="0.6" header="0.5" footer="0.5"/>
  <pageSetup orientation="portrait" paperSize="9" fitToHeight="0" fitToWidth="1"/>
  <headerFooter>
    <oddHeader>&amp;L&amp;8 Kit de implementación AWP&amp;R&amp;8 Checklist de liberación de IWP</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L305"/>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11" customWidth="1" min="3" max="3"/>
    <col width="17" customWidth="1" min="4" max="4"/>
    <col width="11" customWidth="1" min="5" max="5"/>
    <col width="10" customWidth="1" min="6" max="6"/>
    <col width="10" customWidth="1" min="7" max="7"/>
    <col width="10" customWidth="1" min="8" max="8"/>
    <col width="12" customWidth="1" min="9" max="9"/>
    <col width="18" customWidth="1" min="10" max="10"/>
    <col width="11" customWidth="1" min="11" max="11"/>
    <col width="36" customWidth="1" min="12" max="12"/>
  </cols>
  <sheetData>
    <row r="1" ht="24" customHeight="1">
      <c r="A1" s="11" t="inlineStr">
        <is>
          <t>Registro de liberaciones de IWP</t>
        </is>
      </c>
    </row>
    <row r="2">
      <c r="A2" s="2" t="inlineStr">
        <is>
          <t>Proyecto Tipo (PT) – Complejo de instalaciones en tres fases. Las filas en amarillo marcadas «EJEMPLO» son de ejemplo: bórrelas o reemplácelas.</t>
        </is>
      </c>
    </row>
    <row r="5" ht="42" customHeight="1">
      <c r="A5" s="18" t="inlineStr">
        <is>
          <t>Ejemplo</t>
        </is>
      </c>
      <c r="B5" s="18" t="inlineStr">
        <is>
          <t>IWP</t>
        </is>
      </c>
      <c r="C5" s="18" t="inlineStr">
        <is>
          <t>Fase del proyecto</t>
        </is>
      </c>
      <c r="D5" s="25" t="inlineStr">
        <is>
          <t>CWP</t>
        </is>
      </c>
      <c r="E5" s="18" t="inlineStr">
        <is>
          <t>Fecha de revisión</t>
        </is>
      </c>
      <c r="F5" s="18" t="inlineStr">
        <is>
          <t>Criterios aplicables</t>
        </is>
      </c>
      <c r="G5" s="18" t="inlineStr">
        <is>
          <t>Criterios cumplidos</t>
        </is>
      </c>
      <c r="H5" s="25" t="inlineStr">
        <is>
          <t>% cumplimiento</t>
        </is>
      </c>
      <c r="I5" s="25" t="inlineStr">
        <is>
          <t>Resultado</t>
        </is>
      </c>
      <c r="J5" s="18" t="inlineStr">
        <is>
          <t>Liberado por (rol)</t>
        </is>
      </c>
      <c r="K5" s="18" t="inlineStr">
        <is>
          <t>Fecha de liberación</t>
        </is>
      </c>
      <c r="L5" s="18" t="inlineStr">
        <is>
          <t>Observaciones</t>
        </is>
      </c>
    </row>
    <row r="6">
      <c r="A6" s="26" t="inlineStr">
        <is>
          <t>EJEMPLO</t>
        </is>
      </c>
      <c r="B6" s="20" t="inlineStr">
        <is>
          <t>IWP-1.01-CIV-01-001</t>
        </is>
      </c>
      <c r="C6" s="20" t="inlineStr">
        <is>
          <t>Fase 1</t>
        </is>
      </c>
      <c r="D6" s="27">
        <f>IF(B6="","","CWP"&amp;MID(B6,4,12))</f>
        <v/>
      </c>
      <c r="E6" s="28" t="n">
        <v>46549</v>
      </c>
      <c r="F6" s="19" t="n">
        <v>22</v>
      </c>
      <c r="G6" s="19" t="n">
        <v>22</v>
      </c>
      <c r="H6" s="29">
        <f>IF(OR(F6="",F6=0),"",G6/F6)</f>
        <v/>
      </c>
      <c r="I6" s="27">
        <f>IF(H6="","",IF(H6=1,"LIBERAR","NO LIBERAR"))</f>
        <v/>
      </c>
      <c r="J6" s="20" t="inlineStr">
        <is>
          <t>Líder de WFP</t>
        </is>
      </c>
      <c r="K6" s="28" t="n">
        <v>46549</v>
      </c>
      <c r="L6" s="21" t="inlineStr">
        <is>
          <t>Liberado tras permiso de excavación (R-0001).</t>
        </is>
      </c>
    </row>
    <row r="7">
      <c r="A7" s="26" t="inlineStr">
        <is>
          <t>EJEMPLO</t>
        </is>
      </c>
      <c r="B7" s="20" t="inlineStr">
        <is>
          <t>IWP-1.02-TUB-01-001</t>
        </is>
      </c>
      <c r="C7" s="20" t="inlineStr">
        <is>
          <t>Fase 1</t>
        </is>
      </c>
      <c r="D7" s="27">
        <f>IF(B7="","","CWP"&amp;MID(B7,4,12))</f>
        <v/>
      </c>
      <c r="E7" s="28" t="n">
        <v>46587</v>
      </c>
      <c r="F7" s="19" t="n">
        <v>21</v>
      </c>
      <c r="G7" s="19" t="n">
        <v>21</v>
      </c>
      <c r="H7" s="29">
        <f>IF(OR(F7="",F7=0),"",G7/F7)</f>
        <v/>
      </c>
      <c r="I7" s="27">
        <f>IF(H7="","",IF(H7=1,"LIBERAR","NO LIBERAR"))</f>
        <v/>
      </c>
      <c r="J7" s="20" t="inlineStr">
        <is>
          <t>Líder de WFP</t>
        </is>
      </c>
      <c r="K7" s="28" t="n">
        <v>46587</v>
      </c>
      <c r="L7" s="21" t="inlineStr"/>
    </row>
    <row r="8">
      <c r="A8" s="26" t="inlineStr">
        <is>
          <t>EJEMPLO</t>
        </is>
      </c>
      <c r="B8" s="20" t="inlineStr">
        <is>
          <t>IWP-2.01-CIV-01-001</t>
        </is>
      </c>
      <c r="C8" s="20" t="inlineStr">
        <is>
          <t>Fase 2</t>
        </is>
      </c>
      <c r="D8" s="27">
        <f>IF(B8="","","CWP"&amp;MID(B8,4,12))</f>
        <v/>
      </c>
      <c r="E8" s="28" t="n">
        <v>46778</v>
      </c>
      <c r="F8" s="19" t="n">
        <v>23</v>
      </c>
      <c r="G8" s="19" t="n">
        <v>23</v>
      </c>
      <c r="H8" s="29">
        <f>IF(OR(F8="",F8=0),"",G8/F8)</f>
        <v/>
      </c>
      <c r="I8" s="27">
        <f>IF(H8="","",IF(H8=1,"LIBERAR","NO LIBERAR"))</f>
        <v/>
      </c>
      <c r="J8" s="20" t="inlineStr">
        <is>
          <t>Líder de WFP</t>
        </is>
      </c>
      <c r="K8" s="28" t="n">
        <v>46778</v>
      </c>
      <c r="L8" s="21" t="inlineStr">
        <is>
          <t>Ver hoja «Checklist».</t>
        </is>
      </c>
    </row>
    <row r="9">
      <c r="A9" s="26" t="inlineStr">
        <is>
          <t>EJEMPLO</t>
        </is>
      </c>
      <c r="B9" s="20" t="inlineStr">
        <is>
          <t>IWP-2.01-EST-01-001</t>
        </is>
      </c>
      <c r="C9" s="20" t="inlineStr">
        <is>
          <t>Fase 2</t>
        </is>
      </c>
      <c r="D9" s="27">
        <f>IF(B9="","","CWP"&amp;MID(B9,4,12))</f>
        <v/>
      </c>
      <c r="E9" s="28" t="n">
        <v>46857</v>
      </c>
      <c r="F9" s="19" t="n">
        <v>24</v>
      </c>
      <c r="G9" s="19" t="n">
        <v>20</v>
      </c>
      <c r="H9" s="29">
        <f>IF(OR(F9="",F9=0),"",G9/F9)</f>
        <v/>
      </c>
      <c r="I9" s="27">
        <f>IF(H9="","",IF(H9=1,"LIBERAR","NO LIBERAR"))</f>
        <v/>
      </c>
      <c r="J9" s="20" t="inlineStr"/>
      <c r="K9" s="28" t="n"/>
      <c r="L9" s="21" t="inlineStr">
        <is>
          <t>No liberado: grúa y plan de izaje (R-0005, R-0008).</t>
        </is>
      </c>
    </row>
    <row r="10">
      <c r="A10" s="26" t="inlineStr">
        <is>
          <t>EJEMPLO</t>
        </is>
      </c>
      <c r="B10" s="20" t="inlineStr">
        <is>
          <t>IWP-2.03-ELE-01-001</t>
        </is>
      </c>
      <c r="C10" s="20" t="inlineStr">
        <is>
          <t>Fase 2</t>
        </is>
      </c>
      <c r="D10" s="27">
        <f>IF(B10="","","CWP"&amp;MID(B10,4,12))</f>
        <v/>
      </c>
      <c r="E10" s="28" t="n">
        <v>46918</v>
      </c>
      <c r="F10" s="19" t="n">
        <v>23</v>
      </c>
      <c r="G10" s="19" t="n">
        <v>21</v>
      </c>
      <c r="H10" s="29">
        <f>IF(OR(F10="",F10=0),"",G10/F10)</f>
        <v/>
      </c>
      <c r="I10" s="27">
        <f>IF(H10="","",IF(H10=1,"LIBERAR","NO LIBERAR"))</f>
        <v/>
      </c>
      <c r="J10" s="20" t="inlineStr"/>
      <c r="K10" s="28" t="n"/>
      <c r="L10" s="21" t="inlineStr">
        <is>
          <t>Pendiente andamio (R-0007) y documentación.</t>
        </is>
      </c>
    </row>
    <row r="11">
      <c r="A11" s="26" t="inlineStr">
        <is>
          <t>EJEMPLO</t>
        </is>
      </c>
      <c r="B11" s="20" t="inlineStr">
        <is>
          <t>IWP-3.02-CIV-01-001</t>
        </is>
      </c>
      <c r="C11" s="20" t="inlineStr">
        <is>
          <t>Fase 3</t>
        </is>
      </c>
      <c r="D11" s="27">
        <f>IF(B11="","","CWP"&amp;MID(B11,4,12))</f>
        <v/>
      </c>
      <c r="E11" s="28" t="n">
        <v>46918</v>
      </c>
      <c r="F11" s="19" t="n">
        <v>22</v>
      </c>
      <c r="G11" s="19" t="n">
        <v>6</v>
      </c>
      <c r="H11" s="29">
        <f>IF(OR(F11="",F11=0),"",G11/F11)</f>
        <v/>
      </c>
      <c r="I11" s="27">
        <f>IF(H11="","",IF(H11=1,"LIBERAR","NO LIBERAR"))</f>
        <v/>
      </c>
      <c r="J11" s="20" t="inlineStr"/>
      <c r="K11" s="28" t="n"/>
      <c r="L11" s="21" t="inlineStr">
        <is>
          <t>Revisión preliminar; IWP en la ventana de la Fase 3 más adelante.</t>
        </is>
      </c>
    </row>
    <row r="12">
      <c r="A12" s="30" t="n"/>
      <c r="B12" s="23" t="n"/>
      <c r="C12" s="23" t="n"/>
      <c r="D12" s="31">
        <f>IF(B12="","","CWP"&amp;MID(B12,4,12))</f>
        <v/>
      </c>
      <c r="E12" s="32" t="n"/>
      <c r="F12" s="22" t="n"/>
      <c r="G12" s="22" t="n"/>
      <c r="H12" s="33">
        <f>IF(OR(F12="",F12=0),"",G12/F12)</f>
        <v/>
      </c>
      <c r="I12" s="31">
        <f>IF(H12="","",IF(H12=1,"LIBERAR","NO LIBERAR"))</f>
        <v/>
      </c>
      <c r="J12" s="23" t="n"/>
      <c r="K12" s="32" t="n"/>
      <c r="L12" s="24" t="n"/>
    </row>
    <row r="13">
      <c r="A13" s="30" t="n"/>
      <c r="B13" s="23" t="n"/>
      <c r="C13" s="23" t="n"/>
      <c r="D13" s="31">
        <f>IF(B13="","","CWP"&amp;MID(B13,4,12))</f>
        <v/>
      </c>
      <c r="E13" s="32" t="n"/>
      <c r="F13" s="22" t="n"/>
      <c r="G13" s="22" t="n"/>
      <c r="H13" s="33">
        <f>IF(OR(F13="",F13=0),"",G13/F13)</f>
        <v/>
      </c>
      <c r="I13" s="31">
        <f>IF(H13="","",IF(H13=1,"LIBERAR","NO LIBERAR"))</f>
        <v/>
      </c>
      <c r="J13" s="23" t="n"/>
      <c r="K13" s="32" t="n"/>
      <c r="L13" s="24" t="n"/>
    </row>
    <row r="14">
      <c r="A14" s="30" t="n"/>
      <c r="B14" s="23" t="n"/>
      <c r="C14" s="23" t="n"/>
      <c r="D14" s="31">
        <f>IF(B14="","","CWP"&amp;MID(B14,4,12))</f>
        <v/>
      </c>
      <c r="E14" s="32" t="n"/>
      <c r="F14" s="22" t="n"/>
      <c r="G14" s="22" t="n"/>
      <c r="H14" s="33">
        <f>IF(OR(F14="",F14=0),"",G14/F14)</f>
        <v/>
      </c>
      <c r="I14" s="31">
        <f>IF(H14="","",IF(H14=1,"LIBERAR","NO LIBERAR"))</f>
        <v/>
      </c>
      <c r="J14" s="23" t="n"/>
      <c r="K14" s="32" t="n"/>
      <c r="L14" s="24" t="n"/>
    </row>
    <row r="15">
      <c r="A15" s="30" t="n"/>
      <c r="B15" s="23" t="n"/>
      <c r="C15" s="23" t="n"/>
      <c r="D15" s="31">
        <f>IF(B15="","","CWP"&amp;MID(B15,4,12))</f>
        <v/>
      </c>
      <c r="E15" s="32" t="n"/>
      <c r="F15" s="22" t="n"/>
      <c r="G15" s="22" t="n"/>
      <c r="H15" s="33">
        <f>IF(OR(F15="",F15=0),"",G15/F15)</f>
        <v/>
      </c>
      <c r="I15" s="31">
        <f>IF(H15="","",IF(H15=1,"LIBERAR","NO LIBERAR"))</f>
        <v/>
      </c>
      <c r="J15" s="23" t="n"/>
      <c r="K15" s="32" t="n"/>
      <c r="L15" s="24" t="n"/>
    </row>
    <row r="16">
      <c r="A16" s="30" t="n"/>
      <c r="B16" s="23" t="n"/>
      <c r="C16" s="23" t="n"/>
      <c r="D16" s="31">
        <f>IF(B16="","","CWP"&amp;MID(B16,4,12))</f>
        <v/>
      </c>
      <c r="E16" s="32" t="n"/>
      <c r="F16" s="22" t="n"/>
      <c r="G16" s="22" t="n"/>
      <c r="H16" s="33">
        <f>IF(OR(F16="",F16=0),"",G16/F16)</f>
        <v/>
      </c>
      <c r="I16" s="31">
        <f>IF(H16="","",IF(H16=1,"LIBERAR","NO LIBERAR"))</f>
        <v/>
      </c>
      <c r="J16" s="23" t="n"/>
      <c r="K16" s="32" t="n"/>
      <c r="L16" s="24" t="n"/>
    </row>
    <row r="17">
      <c r="A17" s="30" t="n"/>
      <c r="B17" s="23" t="n"/>
      <c r="C17" s="23" t="n"/>
      <c r="D17" s="31">
        <f>IF(B17="","","CWP"&amp;MID(B17,4,12))</f>
        <v/>
      </c>
      <c r="E17" s="32" t="n"/>
      <c r="F17" s="22" t="n"/>
      <c r="G17" s="22" t="n"/>
      <c r="H17" s="33">
        <f>IF(OR(F17="",F17=0),"",G17/F17)</f>
        <v/>
      </c>
      <c r="I17" s="31">
        <f>IF(H17="","",IF(H17=1,"LIBERAR","NO LIBERAR"))</f>
        <v/>
      </c>
      <c r="J17" s="23" t="n"/>
      <c r="K17" s="32" t="n"/>
      <c r="L17" s="24" t="n"/>
    </row>
    <row r="18">
      <c r="A18" s="30" t="n"/>
      <c r="B18" s="23" t="n"/>
      <c r="C18" s="23" t="n"/>
      <c r="D18" s="31">
        <f>IF(B18="","","CWP"&amp;MID(B18,4,12))</f>
        <v/>
      </c>
      <c r="E18" s="32" t="n"/>
      <c r="F18" s="22" t="n"/>
      <c r="G18" s="22" t="n"/>
      <c r="H18" s="33">
        <f>IF(OR(F18="",F18=0),"",G18/F18)</f>
        <v/>
      </c>
      <c r="I18" s="31">
        <f>IF(H18="","",IF(H18=1,"LIBERAR","NO LIBERAR"))</f>
        <v/>
      </c>
      <c r="J18" s="23" t="n"/>
      <c r="K18" s="32" t="n"/>
      <c r="L18" s="24" t="n"/>
    </row>
    <row r="19">
      <c r="A19" s="30" t="n"/>
      <c r="B19" s="23" t="n"/>
      <c r="C19" s="23" t="n"/>
      <c r="D19" s="31">
        <f>IF(B19="","","CWP"&amp;MID(B19,4,12))</f>
        <v/>
      </c>
      <c r="E19" s="32" t="n"/>
      <c r="F19" s="22" t="n"/>
      <c r="G19" s="22" t="n"/>
      <c r="H19" s="33">
        <f>IF(OR(F19="",F19=0),"",G19/F19)</f>
        <v/>
      </c>
      <c r="I19" s="31">
        <f>IF(H19="","",IF(H19=1,"LIBERAR","NO LIBERAR"))</f>
        <v/>
      </c>
      <c r="J19" s="23" t="n"/>
      <c r="K19" s="32" t="n"/>
      <c r="L19" s="24" t="n"/>
    </row>
    <row r="20">
      <c r="A20" s="30" t="n"/>
      <c r="B20" s="23" t="n"/>
      <c r="C20" s="23" t="n"/>
      <c r="D20" s="31">
        <f>IF(B20="","","CWP"&amp;MID(B20,4,12))</f>
        <v/>
      </c>
      <c r="E20" s="32" t="n"/>
      <c r="F20" s="22" t="n"/>
      <c r="G20" s="22" t="n"/>
      <c r="H20" s="33">
        <f>IF(OR(F20="",F20=0),"",G20/F20)</f>
        <v/>
      </c>
      <c r="I20" s="31">
        <f>IF(H20="","",IF(H20=1,"LIBERAR","NO LIBERAR"))</f>
        <v/>
      </c>
      <c r="J20" s="23" t="n"/>
      <c r="K20" s="32" t="n"/>
      <c r="L20" s="24" t="n"/>
    </row>
    <row r="21">
      <c r="A21" s="30" t="n"/>
      <c r="B21" s="23" t="n"/>
      <c r="C21" s="23" t="n"/>
      <c r="D21" s="31">
        <f>IF(B21="","","CWP"&amp;MID(B21,4,12))</f>
        <v/>
      </c>
      <c r="E21" s="32" t="n"/>
      <c r="F21" s="22" t="n"/>
      <c r="G21" s="22" t="n"/>
      <c r="H21" s="33">
        <f>IF(OR(F21="",F21=0),"",G21/F21)</f>
        <v/>
      </c>
      <c r="I21" s="31">
        <f>IF(H21="","",IF(H21=1,"LIBERAR","NO LIBERAR"))</f>
        <v/>
      </c>
      <c r="J21" s="23" t="n"/>
      <c r="K21" s="32" t="n"/>
      <c r="L21" s="24" t="n"/>
    </row>
    <row r="22">
      <c r="A22" s="30" t="n"/>
      <c r="B22" s="23" t="n"/>
      <c r="C22" s="23" t="n"/>
      <c r="D22" s="31">
        <f>IF(B22="","","CWP"&amp;MID(B22,4,12))</f>
        <v/>
      </c>
      <c r="E22" s="32" t="n"/>
      <c r="F22" s="22" t="n"/>
      <c r="G22" s="22" t="n"/>
      <c r="H22" s="33">
        <f>IF(OR(F22="",F22=0),"",G22/F22)</f>
        <v/>
      </c>
      <c r="I22" s="31">
        <f>IF(H22="","",IF(H22=1,"LIBERAR","NO LIBERAR"))</f>
        <v/>
      </c>
      <c r="J22" s="23" t="n"/>
      <c r="K22" s="32" t="n"/>
      <c r="L22" s="24" t="n"/>
    </row>
    <row r="23">
      <c r="A23" s="30" t="n"/>
      <c r="B23" s="23" t="n"/>
      <c r="C23" s="23" t="n"/>
      <c r="D23" s="31">
        <f>IF(B23="","","CWP"&amp;MID(B23,4,12))</f>
        <v/>
      </c>
      <c r="E23" s="32" t="n"/>
      <c r="F23" s="22" t="n"/>
      <c r="G23" s="22" t="n"/>
      <c r="H23" s="33">
        <f>IF(OR(F23="",F23=0),"",G23/F23)</f>
        <v/>
      </c>
      <c r="I23" s="31">
        <f>IF(H23="","",IF(H23=1,"LIBERAR","NO LIBERAR"))</f>
        <v/>
      </c>
      <c r="J23" s="23" t="n"/>
      <c r="K23" s="32" t="n"/>
      <c r="L23" s="24" t="n"/>
    </row>
    <row r="24">
      <c r="A24" s="30" t="n"/>
      <c r="B24" s="23" t="n"/>
      <c r="C24" s="23" t="n"/>
      <c r="D24" s="31">
        <f>IF(B24="","","CWP"&amp;MID(B24,4,12))</f>
        <v/>
      </c>
      <c r="E24" s="32" t="n"/>
      <c r="F24" s="22" t="n"/>
      <c r="G24" s="22" t="n"/>
      <c r="H24" s="33">
        <f>IF(OR(F24="",F24=0),"",G24/F24)</f>
        <v/>
      </c>
      <c r="I24" s="31">
        <f>IF(H24="","",IF(H24=1,"LIBERAR","NO LIBERAR"))</f>
        <v/>
      </c>
      <c r="J24" s="23" t="n"/>
      <c r="K24" s="32" t="n"/>
      <c r="L24" s="24" t="n"/>
    </row>
    <row r="25">
      <c r="A25" s="30" t="n"/>
      <c r="B25" s="23" t="n"/>
      <c r="C25" s="23" t="n"/>
      <c r="D25" s="31">
        <f>IF(B25="","","CWP"&amp;MID(B25,4,12))</f>
        <v/>
      </c>
      <c r="E25" s="32" t="n"/>
      <c r="F25" s="22" t="n"/>
      <c r="G25" s="22" t="n"/>
      <c r="H25" s="33">
        <f>IF(OR(F25="",F25=0),"",G25/F25)</f>
        <v/>
      </c>
      <c r="I25" s="31">
        <f>IF(H25="","",IF(H25=1,"LIBERAR","NO LIBERAR"))</f>
        <v/>
      </c>
      <c r="J25" s="23" t="n"/>
      <c r="K25" s="32" t="n"/>
      <c r="L25" s="24" t="n"/>
    </row>
    <row r="26">
      <c r="A26" s="30" t="n"/>
      <c r="B26" s="23" t="n"/>
      <c r="C26" s="23" t="n"/>
      <c r="D26" s="31">
        <f>IF(B26="","","CWP"&amp;MID(B26,4,12))</f>
        <v/>
      </c>
      <c r="E26" s="32" t="n"/>
      <c r="F26" s="22" t="n"/>
      <c r="G26" s="22" t="n"/>
      <c r="H26" s="33">
        <f>IF(OR(F26="",F26=0),"",G26/F26)</f>
        <v/>
      </c>
      <c r="I26" s="31">
        <f>IF(H26="","",IF(H26=1,"LIBERAR","NO LIBERAR"))</f>
        <v/>
      </c>
      <c r="J26" s="23" t="n"/>
      <c r="K26" s="32" t="n"/>
      <c r="L26" s="24" t="n"/>
    </row>
    <row r="27">
      <c r="A27" s="30" t="n"/>
      <c r="B27" s="23" t="n"/>
      <c r="C27" s="23" t="n"/>
      <c r="D27" s="31">
        <f>IF(B27="","","CWP"&amp;MID(B27,4,12))</f>
        <v/>
      </c>
      <c r="E27" s="32" t="n"/>
      <c r="F27" s="22" t="n"/>
      <c r="G27" s="22" t="n"/>
      <c r="H27" s="33">
        <f>IF(OR(F27="",F27=0),"",G27/F27)</f>
        <v/>
      </c>
      <c r="I27" s="31">
        <f>IF(H27="","",IF(H27=1,"LIBERAR","NO LIBERAR"))</f>
        <v/>
      </c>
      <c r="J27" s="23" t="n"/>
      <c r="K27" s="32" t="n"/>
      <c r="L27" s="24" t="n"/>
    </row>
    <row r="28">
      <c r="A28" s="30" t="n"/>
      <c r="B28" s="23" t="n"/>
      <c r="C28" s="23" t="n"/>
      <c r="D28" s="31">
        <f>IF(B28="","","CWP"&amp;MID(B28,4,12))</f>
        <v/>
      </c>
      <c r="E28" s="32" t="n"/>
      <c r="F28" s="22" t="n"/>
      <c r="G28" s="22" t="n"/>
      <c r="H28" s="33">
        <f>IF(OR(F28="",F28=0),"",G28/F28)</f>
        <v/>
      </c>
      <c r="I28" s="31">
        <f>IF(H28="","",IF(H28=1,"LIBERAR","NO LIBERAR"))</f>
        <v/>
      </c>
      <c r="J28" s="23" t="n"/>
      <c r="K28" s="32" t="n"/>
      <c r="L28" s="24" t="n"/>
    </row>
    <row r="29">
      <c r="A29" s="30" t="n"/>
      <c r="B29" s="23" t="n"/>
      <c r="C29" s="23" t="n"/>
      <c r="D29" s="31">
        <f>IF(B29="","","CWP"&amp;MID(B29,4,12))</f>
        <v/>
      </c>
      <c r="E29" s="32" t="n"/>
      <c r="F29" s="22" t="n"/>
      <c r="G29" s="22" t="n"/>
      <c r="H29" s="33">
        <f>IF(OR(F29="",F29=0),"",G29/F29)</f>
        <v/>
      </c>
      <c r="I29" s="31">
        <f>IF(H29="","",IF(H29=1,"LIBERAR","NO LIBERAR"))</f>
        <v/>
      </c>
      <c r="J29" s="23" t="n"/>
      <c r="K29" s="32" t="n"/>
      <c r="L29" s="24" t="n"/>
    </row>
    <row r="30">
      <c r="A30" s="30" t="n"/>
      <c r="B30" s="23" t="n"/>
      <c r="C30" s="23" t="n"/>
      <c r="D30" s="31">
        <f>IF(B30="","","CWP"&amp;MID(B30,4,12))</f>
        <v/>
      </c>
      <c r="E30" s="32" t="n"/>
      <c r="F30" s="22" t="n"/>
      <c r="G30" s="22" t="n"/>
      <c r="H30" s="33">
        <f>IF(OR(F30="",F30=0),"",G30/F30)</f>
        <v/>
      </c>
      <c r="I30" s="31">
        <f>IF(H30="","",IF(H30=1,"LIBERAR","NO LIBERAR"))</f>
        <v/>
      </c>
      <c r="J30" s="23" t="n"/>
      <c r="K30" s="32" t="n"/>
      <c r="L30" s="24" t="n"/>
    </row>
    <row r="31">
      <c r="A31" s="30" t="n"/>
      <c r="B31" s="23" t="n"/>
      <c r="C31" s="23" t="n"/>
      <c r="D31" s="31">
        <f>IF(B31="","","CWP"&amp;MID(B31,4,12))</f>
        <v/>
      </c>
      <c r="E31" s="32" t="n"/>
      <c r="F31" s="22" t="n"/>
      <c r="G31" s="22" t="n"/>
      <c r="H31" s="33">
        <f>IF(OR(F31="",F31=0),"",G31/F31)</f>
        <v/>
      </c>
      <c r="I31" s="31">
        <f>IF(H31="","",IF(H31=1,"LIBERAR","NO LIBERAR"))</f>
        <v/>
      </c>
      <c r="J31" s="23" t="n"/>
      <c r="K31" s="32" t="n"/>
      <c r="L31" s="24" t="n"/>
    </row>
    <row r="32">
      <c r="A32" s="30" t="n"/>
      <c r="B32" s="23" t="n"/>
      <c r="C32" s="23" t="n"/>
      <c r="D32" s="31">
        <f>IF(B32="","","CWP"&amp;MID(B32,4,12))</f>
        <v/>
      </c>
      <c r="E32" s="32" t="n"/>
      <c r="F32" s="22" t="n"/>
      <c r="G32" s="22" t="n"/>
      <c r="H32" s="33">
        <f>IF(OR(F32="",F32=0),"",G32/F32)</f>
        <v/>
      </c>
      <c r="I32" s="31">
        <f>IF(H32="","",IF(H32=1,"LIBERAR","NO LIBERAR"))</f>
        <v/>
      </c>
      <c r="J32" s="23" t="n"/>
      <c r="K32" s="32" t="n"/>
      <c r="L32" s="24" t="n"/>
    </row>
    <row r="33">
      <c r="A33" s="30" t="n"/>
      <c r="B33" s="23" t="n"/>
      <c r="C33" s="23" t="n"/>
      <c r="D33" s="31">
        <f>IF(B33="","","CWP"&amp;MID(B33,4,12))</f>
        <v/>
      </c>
      <c r="E33" s="32" t="n"/>
      <c r="F33" s="22" t="n"/>
      <c r="G33" s="22" t="n"/>
      <c r="H33" s="33">
        <f>IF(OR(F33="",F33=0),"",G33/F33)</f>
        <v/>
      </c>
      <c r="I33" s="31">
        <f>IF(H33="","",IF(H33=1,"LIBERAR","NO LIBERAR"))</f>
        <v/>
      </c>
      <c r="J33" s="23" t="n"/>
      <c r="K33" s="32" t="n"/>
      <c r="L33" s="24" t="n"/>
    </row>
    <row r="34">
      <c r="A34" s="30" t="n"/>
      <c r="B34" s="23" t="n"/>
      <c r="C34" s="23" t="n"/>
      <c r="D34" s="31">
        <f>IF(B34="","","CWP"&amp;MID(B34,4,12))</f>
        <v/>
      </c>
      <c r="E34" s="32" t="n"/>
      <c r="F34" s="22" t="n"/>
      <c r="G34" s="22" t="n"/>
      <c r="H34" s="33">
        <f>IF(OR(F34="",F34=0),"",G34/F34)</f>
        <v/>
      </c>
      <c r="I34" s="31">
        <f>IF(H34="","",IF(H34=1,"LIBERAR","NO LIBERAR"))</f>
        <v/>
      </c>
      <c r="J34" s="23" t="n"/>
      <c r="K34" s="32" t="n"/>
      <c r="L34" s="24" t="n"/>
    </row>
    <row r="35">
      <c r="A35" s="30" t="n"/>
      <c r="B35" s="23" t="n"/>
      <c r="C35" s="23" t="n"/>
      <c r="D35" s="31">
        <f>IF(B35="","","CWP"&amp;MID(B35,4,12))</f>
        <v/>
      </c>
      <c r="E35" s="32" t="n"/>
      <c r="F35" s="22" t="n"/>
      <c r="G35" s="22" t="n"/>
      <c r="H35" s="33">
        <f>IF(OR(F35="",F35=0),"",G35/F35)</f>
        <v/>
      </c>
      <c r="I35" s="31">
        <f>IF(H35="","",IF(H35=1,"LIBERAR","NO LIBERAR"))</f>
        <v/>
      </c>
      <c r="J35" s="23" t="n"/>
      <c r="K35" s="32" t="n"/>
      <c r="L35" s="24" t="n"/>
    </row>
    <row r="36">
      <c r="A36" s="30" t="n"/>
      <c r="B36" s="23" t="n"/>
      <c r="C36" s="23" t="n"/>
      <c r="D36" s="31">
        <f>IF(B36="","","CWP"&amp;MID(B36,4,12))</f>
        <v/>
      </c>
      <c r="E36" s="32" t="n"/>
      <c r="F36" s="22" t="n"/>
      <c r="G36" s="22" t="n"/>
      <c r="H36" s="33">
        <f>IF(OR(F36="",F36=0),"",G36/F36)</f>
        <v/>
      </c>
      <c r="I36" s="31">
        <f>IF(H36="","",IF(H36=1,"LIBERAR","NO LIBERAR"))</f>
        <v/>
      </c>
      <c r="J36" s="23" t="n"/>
      <c r="K36" s="32" t="n"/>
      <c r="L36" s="24" t="n"/>
    </row>
    <row r="37">
      <c r="A37" s="30" t="n"/>
      <c r="B37" s="23" t="n"/>
      <c r="C37" s="23" t="n"/>
      <c r="D37" s="31">
        <f>IF(B37="","","CWP"&amp;MID(B37,4,12))</f>
        <v/>
      </c>
      <c r="E37" s="32" t="n"/>
      <c r="F37" s="22" t="n"/>
      <c r="G37" s="22" t="n"/>
      <c r="H37" s="33">
        <f>IF(OR(F37="",F37=0),"",G37/F37)</f>
        <v/>
      </c>
      <c r="I37" s="31">
        <f>IF(H37="","",IF(H37=1,"LIBERAR","NO LIBERAR"))</f>
        <v/>
      </c>
      <c r="J37" s="23" t="n"/>
      <c r="K37" s="32" t="n"/>
      <c r="L37" s="24" t="n"/>
    </row>
    <row r="38">
      <c r="A38" s="30" t="n"/>
      <c r="B38" s="23" t="n"/>
      <c r="C38" s="23" t="n"/>
      <c r="D38" s="31">
        <f>IF(B38="","","CWP"&amp;MID(B38,4,12))</f>
        <v/>
      </c>
      <c r="E38" s="32" t="n"/>
      <c r="F38" s="22" t="n"/>
      <c r="G38" s="22" t="n"/>
      <c r="H38" s="33">
        <f>IF(OR(F38="",F38=0),"",G38/F38)</f>
        <v/>
      </c>
      <c r="I38" s="31">
        <f>IF(H38="","",IF(H38=1,"LIBERAR","NO LIBERAR"))</f>
        <v/>
      </c>
      <c r="J38" s="23" t="n"/>
      <c r="K38" s="32" t="n"/>
      <c r="L38" s="24" t="n"/>
    </row>
    <row r="39">
      <c r="A39" s="30" t="n"/>
      <c r="B39" s="23" t="n"/>
      <c r="C39" s="23" t="n"/>
      <c r="D39" s="31">
        <f>IF(B39="","","CWP"&amp;MID(B39,4,12))</f>
        <v/>
      </c>
      <c r="E39" s="32" t="n"/>
      <c r="F39" s="22" t="n"/>
      <c r="G39" s="22" t="n"/>
      <c r="H39" s="33">
        <f>IF(OR(F39="",F39=0),"",G39/F39)</f>
        <v/>
      </c>
      <c r="I39" s="31">
        <f>IF(H39="","",IF(H39=1,"LIBERAR","NO LIBERAR"))</f>
        <v/>
      </c>
      <c r="J39" s="23" t="n"/>
      <c r="K39" s="32" t="n"/>
      <c r="L39" s="24" t="n"/>
    </row>
    <row r="40">
      <c r="A40" s="30" t="n"/>
      <c r="B40" s="23" t="n"/>
      <c r="C40" s="23" t="n"/>
      <c r="D40" s="31">
        <f>IF(B40="","","CWP"&amp;MID(B40,4,12))</f>
        <v/>
      </c>
      <c r="E40" s="32" t="n"/>
      <c r="F40" s="22" t="n"/>
      <c r="G40" s="22" t="n"/>
      <c r="H40" s="33">
        <f>IF(OR(F40="",F40=0),"",G40/F40)</f>
        <v/>
      </c>
      <c r="I40" s="31">
        <f>IF(H40="","",IF(H40=1,"LIBERAR","NO LIBERAR"))</f>
        <v/>
      </c>
      <c r="J40" s="23" t="n"/>
      <c r="K40" s="32" t="n"/>
      <c r="L40" s="24" t="n"/>
    </row>
    <row r="41">
      <c r="A41" s="30" t="n"/>
      <c r="B41" s="23" t="n"/>
      <c r="C41" s="23" t="n"/>
      <c r="D41" s="31">
        <f>IF(B41="","","CWP"&amp;MID(B41,4,12))</f>
        <v/>
      </c>
      <c r="E41" s="32" t="n"/>
      <c r="F41" s="22" t="n"/>
      <c r="G41" s="22" t="n"/>
      <c r="H41" s="33">
        <f>IF(OR(F41="",F41=0),"",G41/F41)</f>
        <v/>
      </c>
      <c r="I41" s="31">
        <f>IF(H41="","",IF(H41=1,"LIBERAR","NO LIBERAR"))</f>
        <v/>
      </c>
      <c r="J41" s="23" t="n"/>
      <c r="K41" s="32" t="n"/>
      <c r="L41" s="24" t="n"/>
    </row>
    <row r="42">
      <c r="A42" s="30" t="n"/>
      <c r="B42" s="23" t="n"/>
      <c r="C42" s="23" t="n"/>
      <c r="D42" s="31">
        <f>IF(B42="","","CWP"&amp;MID(B42,4,12))</f>
        <v/>
      </c>
      <c r="E42" s="32" t="n"/>
      <c r="F42" s="22" t="n"/>
      <c r="G42" s="22" t="n"/>
      <c r="H42" s="33">
        <f>IF(OR(F42="",F42=0),"",G42/F42)</f>
        <v/>
      </c>
      <c r="I42" s="31">
        <f>IF(H42="","",IF(H42=1,"LIBERAR","NO LIBERAR"))</f>
        <v/>
      </c>
      <c r="J42" s="23" t="n"/>
      <c r="K42" s="32" t="n"/>
      <c r="L42" s="24" t="n"/>
    </row>
    <row r="43">
      <c r="A43" s="30" t="n"/>
      <c r="B43" s="23" t="n"/>
      <c r="C43" s="23" t="n"/>
      <c r="D43" s="31">
        <f>IF(B43="","","CWP"&amp;MID(B43,4,12))</f>
        <v/>
      </c>
      <c r="E43" s="32" t="n"/>
      <c r="F43" s="22" t="n"/>
      <c r="G43" s="22" t="n"/>
      <c r="H43" s="33">
        <f>IF(OR(F43="",F43=0),"",G43/F43)</f>
        <v/>
      </c>
      <c r="I43" s="31">
        <f>IF(H43="","",IF(H43=1,"LIBERAR","NO LIBERAR"))</f>
        <v/>
      </c>
      <c r="J43" s="23" t="n"/>
      <c r="K43" s="32" t="n"/>
      <c r="L43" s="24" t="n"/>
    </row>
    <row r="44">
      <c r="A44" s="30" t="n"/>
      <c r="B44" s="23" t="n"/>
      <c r="C44" s="23" t="n"/>
      <c r="D44" s="31">
        <f>IF(B44="","","CWP"&amp;MID(B44,4,12))</f>
        <v/>
      </c>
      <c r="E44" s="32" t="n"/>
      <c r="F44" s="22" t="n"/>
      <c r="G44" s="22" t="n"/>
      <c r="H44" s="33">
        <f>IF(OR(F44="",F44=0),"",G44/F44)</f>
        <v/>
      </c>
      <c r="I44" s="31">
        <f>IF(H44="","",IF(H44=1,"LIBERAR","NO LIBERAR"))</f>
        <v/>
      </c>
      <c r="J44" s="23" t="n"/>
      <c r="K44" s="32" t="n"/>
      <c r="L44" s="24" t="n"/>
    </row>
    <row r="45">
      <c r="A45" s="30" t="n"/>
      <c r="B45" s="23" t="n"/>
      <c r="C45" s="23" t="n"/>
      <c r="D45" s="31">
        <f>IF(B45="","","CWP"&amp;MID(B45,4,12))</f>
        <v/>
      </c>
      <c r="E45" s="32" t="n"/>
      <c r="F45" s="22" t="n"/>
      <c r="G45" s="22" t="n"/>
      <c r="H45" s="33">
        <f>IF(OR(F45="",F45=0),"",G45/F45)</f>
        <v/>
      </c>
      <c r="I45" s="31">
        <f>IF(H45="","",IF(H45=1,"LIBERAR","NO LIBERAR"))</f>
        <v/>
      </c>
      <c r="J45" s="23" t="n"/>
      <c r="K45" s="32" t="n"/>
      <c r="L45" s="24" t="n"/>
    </row>
    <row r="46">
      <c r="A46" s="30" t="n"/>
      <c r="B46" s="23" t="n"/>
      <c r="C46" s="23" t="n"/>
      <c r="D46" s="31">
        <f>IF(B46="","","CWP"&amp;MID(B46,4,12))</f>
        <v/>
      </c>
      <c r="E46" s="32" t="n"/>
      <c r="F46" s="22" t="n"/>
      <c r="G46" s="22" t="n"/>
      <c r="H46" s="33">
        <f>IF(OR(F46="",F46=0),"",G46/F46)</f>
        <v/>
      </c>
      <c r="I46" s="31">
        <f>IF(H46="","",IF(H46=1,"LIBERAR","NO LIBERAR"))</f>
        <v/>
      </c>
      <c r="J46" s="23" t="n"/>
      <c r="K46" s="32" t="n"/>
      <c r="L46" s="24" t="n"/>
    </row>
    <row r="47">
      <c r="A47" s="30" t="n"/>
      <c r="B47" s="23" t="n"/>
      <c r="C47" s="23" t="n"/>
      <c r="D47" s="31">
        <f>IF(B47="","","CWP"&amp;MID(B47,4,12))</f>
        <v/>
      </c>
      <c r="E47" s="32" t="n"/>
      <c r="F47" s="22" t="n"/>
      <c r="G47" s="22" t="n"/>
      <c r="H47" s="33">
        <f>IF(OR(F47="",F47=0),"",G47/F47)</f>
        <v/>
      </c>
      <c r="I47" s="31">
        <f>IF(H47="","",IF(H47=1,"LIBERAR","NO LIBERAR"))</f>
        <v/>
      </c>
      <c r="J47" s="23" t="n"/>
      <c r="K47" s="32" t="n"/>
      <c r="L47" s="24" t="n"/>
    </row>
    <row r="48">
      <c r="A48" s="30" t="n"/>
      <c r="B48" s="23" t="n"/>
      <c r="C48" s="23" t="n"/>
      <c r="D48" s="31">
        <f>IF(B48="","","CWP"&amp;MID(B48,4,12))</f>
        <v/>
      </c>
      <c r="E48" s="32" t="n"/>
      <c r="F48" s="22" t="n"/>
      <c r="G48" s="22" t="n"/>
      <c r="H48" s="33">
        <f>IF(OR(F48="",F48=0),"",G48/F48)</f>
        <v/>
      </c>
      <c r="I48" s="31">
        <f>IF(H48="","",IF(H48=1,"LIBERAR","NO LIBERAR"))</f>
        <v/>
      </c>
      <c r="J48" s="23" t="n"/>
      <c r="K48" s="32" t="n"/>
      <c r="L48" s="24" t="n"/>
    </row>
    <row r="49">
      <c r="A49" s="30" t="n"/>
      <c r="B49" s="23" t="n"/>
      <c r="C49" s="23" t="n"/>
      <c r="D49" s="31">
        <f>IF(B49="","","CWP"&amp;MID(B49,4,12))</f>
        <v/>
      </c>
      <c r="E49" s="32" t="n"/>
      <c r="F49" s="22" t="n"/>
      <c r="G49" s="22" t="n"/>
      <c r="H49" s="33">
        <f>IF(OR(F49="",F49=0),"",G49/F49)</f>
        <v/>
      </c>
      <c r="I49" s="31">
        <f>IF(H49="","",IF(H49=1,"LIBERAR","NO LIBERAR"))</f>
        <v/>
      </c>
      <c r="J49" s="23" t="n"/>
      <c r="K49" s="32" t="n"/>
      <c r="L49" s="24" t="n"/>
    </row>
    <row r="50">
      <c r="A50" s="30" t="n"/>
      <c r="B50" s="23" t="n"/>
      <c r="C50" s="23" t="n"/>
      <c r="D50" s="31">
        <f>IF(B50="","","CWP"&amp;MID(B50,4,12))</f>
        <v/>
      </c>
      <c r="E50" s="32" t="n"/>
      <c r="F50" s="22" t="n"/>
      <c r="G50" s="22" t="n"/>
      <c r="H50" s="33">
        <f>IF(OR(F50="",F50=0),"",G50/F50)</f>
        <v/>
      </c>
      <c r="I50" s="31">
        <f>IF(H50="","",IF(H50=1,"LIBERAR","NO LIBERAR"))</f>
        <v/>
      </c>
      <c r="J50" s="23" t="n"/>
      <c r="K50" s="32" t="n"/>
      <c r="L50" s="24" t="n"/>
    </row>
    <row r="51">
      <c r="A51" s="30" t="n"/>
      <c r="B51" s="23" t="n"/>
      <c r="C51" s="23" t="n"/>
      <c r="D51" s="31">
        <f>IF(B51="","","CWP"&amp;MID(B51,4,12))</f>
        <v/>
      </c>
      <c r="E51" s="32" t="n"/>
      <c r="F51" s="22" t="n"/>
      <c r="G51" s="22" t="n"/>
      <c r="H51" s="33">
        <f>IF(OR(F51="",F51=0),"",G51/F51)</f>
        <v/>
      </c>
      <c r="I51" s="31">
        <f>IF(H51="","",IF(H51=1,"LIBERAR","NO LIBERAR"))</f>
        <v/>
      </c>
      <c r="J51" s="23" t="n"/>
      <c r="K51" s="32" t="n"/>
      <c r="L51" s="24" t="n"/>
    </row>
    <row r="52">
      <c r="A52" s="30" t="n"/>
      <c r="B52" s="23" t="n"/>
      <c r="C52" s="23" t="n"/>
      <c r="D52" s="31">
        <f>IF(B52="","","CWP"&amp;MID(B52,4,12))</f>
        <v/>
      </c>
      <c r="E52" s="32" t="n"/>
      <c r="F52" s="22" t="n"/>
      <c r="G52" s="22" t="n"/>
      <c r="H52" s="33">
        <f>IF(OR(F52="",F52=0),"",G52/F52)</f>
        <v/>
      </c>
      <c r="I52" s="31">
        <f>IF(H52="","",IF(H52=1,"LIBERAR","NO LIBERAR"))</f>
        <v/>
      </c>
      <c r="J52" s="23" t="n"/>
      <c r="K52" s="32" t="n"/>
      <c r="L52" s="24" t="n"/>
    </row>
    <row r="53">
      <c r="A53" s="30" t="n"/>
      <c r="B53" s="23" t="n"/>
      <c r="C53" s="23" t="n"/>
      <c r="D53" s="31">
        <f>IF(B53="","","CWP"&amp;MID(B53,4,12))</f>
        <v/>
      </c>
      <c r="E53" s="32" t="n"/>
      <c r="F53" s="22" t="n"/>
      <c r="G53" s="22" t="n"/>
      <c r="H53" s="33">
        <f>IF(OR(F53="",F53=0),"",G53/F53)</f>
        <v/>
      </c>
      <c r="I53" s="31">
        <f>IF(H53="","",IF(H53=1,"LIBERAR","NO LIBERAR"))</f>
        <v/>
      </c>
      <c r="J53" s="23" t="n"/>
      <c r="K53" s="32" t="n"/>
      <c r="L53" s="24" t="n"/>
    </row>
    <row r="54">
      <c r="A54" s="30" t="n"/>
      <c r="B54" s="23" t="n"/>
      <c r="C54" s="23" t="n"/>
      <c r="D54" s="31">
        <f>IF(B54="","","CWP"&amp;MID(B54,4,12))</f>
        <v/>
      </c>
      <c r="E54" s="32" t="n"/>
      <c r="F54" s="22" t="n"/>
      <c r="G54" s="22" t="n"/>
      <c r="H54" s="33">
        <f>IF(OR(F54="",F54=0),"",G54/F54)</f>
        <v/>
      </c>
      <c r="I54" s="31">
        <f>IF(H54="","",IF(H54=1,"LIBERAR","NO LIBERAR"))</f>
        <v/>
      </c>
      <c r="J54" s="23" t="n"/>
      <c r="K54" s="32" t="n"/>
      <c r="L54" s="24" t="n"/>
    </row>
    <row r="55">
      <c r="A55" s="30" t="n"/>
      <c r="B55" s="23" t="n"/>
      <c r="C55" s="23" t="n"/>
      <c r="D55" s="31">
        <f>IF(B55="","","CWP"&amp;MID(B55,4,12))</f>
        <v/>
      </c>
      <c r="E55" s="32" t="n"/>
      <c r="F55" s="22" t="n"/>
      <c r="G55" s="22" t="n"/>
      <c r="H55" s="33">
        <f>IF(OR(F55="",F55=0),"",G55/F55)</f>
        <v/>
      </c>
      <c r="I55" s="31">
        <f>IF(H55="","",IF(H55=1,"LIBERAR","NO LIBERAR"))</f>
        <v/>
      </c>
      <c r="J55" s="23" t="n"/>
      <c r="K55" s="32" t="n"/>
      <c r="L55" s="24" t="n"/>
    </row>
    <row r="56">
      <c r="A56" s="30" t="n"/>
      <c r="B56" s="23" t="n"/>
      <c r="C56" s="23" t="n"/>
      <c r="D56" s="31">
        <f>IF(B56="","","CWP"&amp;MID(B56,4,12))</f>
        <v/>
      </c>
      <c r="E56" s="32" t="n"/>
      <c r="F56" s="22" t="n"/>
      <c r="G56" s="22" t="n"/>
      <c r="H56" s="33">
        <f>IF(OR(F56="",F56=0),"",G56/F56)</f>
        <v/>
      </c>
      <c r="I56" s="31">
        <f>IF(H56="","",IF(H56=1,"LIBERAR","NO LIBERAR"))</f>
        <v/>
      </c>
      <c r="J56" s="23" t="n"/>
      <c r="K56" s="32" t="n"/>
      <c r="L56" s="24" t="n"/>
    </row>
    <row r="57">
      <c r="A57" s="30" t="n"/>
      <c r="B57" s="23" t="n"/>
      <c r="C57" s="23" t="n"/>
      <c r="D57" s="31">
        <f>IF(B57="","","CWP"&amp;MID(B57,4,12))</f>
        <v/>
      </c>
      <c r="E57" s="32" t="n"/>
      <c r="F57" s="22" t="n"/>
      <c r="G57" s="22" t="n"/>
      <c r="H57" s="33">
        <f>IF(OR(F57="",F57=0),"",G57/F57)</f>
        <v/>
      </c>
      <c r="I57" s="31">
        <f>IF(H57="","",IF(H57=1,"LIBERAR","NO LIBERAR"))</f>
        <v/>
      </c>
      <c r="J57" s="23" t="n"/>
      <c r="K57" s="32" t="n"/>
      <c r="L57" s="24" t="n"/>
    </row>
    <row r="58">
      <c r="A58" s="30" t="n"/>
      <c r="B58" s="23" t="n"/>
      <c r="C58" s="23" t="n"/>
      <c r="D58" s="31">
        <f>IF(B58="","","CWP"&amp;MID(B58,4,12))</f>
        <v/>
      </c>
      <c r="E58" s="32" t="n"/>
      <c r="F58" s="22" t="n"/>
      <c r="G58" s="22" t="n"/>
      <c r="H58" s="33">
        <f>IF(OR(F58="",F58=0),"",G58/F58)</f>
        <v/>
      </c>
      <c r="I58" s="31">
        <f>IF(H58="","",IF(H58=1,"LIBERAR","NO LIBERAR"))</f>
        <v/>
      </c>
      <c r="J58" s="23" t="n"/>
      <c r="K58" s="32" t="n"/>
      <c r="L58" s="24" t="n"/>
    </row>
    <row r="59">
      <c r="A59" s="30" t="n"/>
      <c r="B59" s="23" t="n"/>
      <c r="C59" s="23" t="n"/>
      <c r="D59" s="31">
        <f>IF(B59="","","CWP"&amp;MID(B59,4,12))</f>
        <v/>
      </c>
      <c r="E59" s="32" t="n"/>
      <c r="F59" s="22" t="n"/>
      <c r="G59" s="22" t="n"/>
      <c r="H59" s="33">
        <f>IF(OR(F59="",F59=0),"",G59/F59)</f>
        <v/>
      </c>
      <c r="I59" s="31">
        <f>IF(H59="","",IF(H59=1,"LIBERAR","NO LIBERAR"))</f>
        <v/>
      </c>
      <c r="J59" s="23" t="n"/>
      <c r="K59" s="32" t="n"/>
      <c r="L59" s="24" t="n"/>
    </row>
    <row r="60">
      <c r="A60" s="30" t="n"/>
      <c r="B60" s="23" t="n"/>
      <c r="C60" s="23" t="n"/>
      <c r="D60" s="31">
        <f>IF(B60="","","CWP"&amp;MID(B60,4,12))</f>
        <v/>
      </c>
      <c r="E60" s="32" t="n"/>
      <c r="F60" s="22" t="n"/>
      <c r="G60" s="22" t="n"/>
      <c r="H60" s="33">
        <f>IF(OR(F60="",F60=0),"",G60/F60)</f>
        <v/>
      </c>
      <c r="I60" s="31">
        <f>IF(H60="","",IF(H60=1,"LIBERAR","NO LIBERAR"))</f>
        <v/>
      </c>
      <c r="J60" s="23" t="n"/>
      <c r="K60" s="32" t="n"/>
      <c r="L60" s="24" t="n"/>
    </row>
    <row r="61">
      <c r="A61" s="30" t="n"/>
      <c r="B61" s="23" t="n"/>
      <c r="C61" s="23" t="n"/>
      <c r="D61" s="31">
        <f>IF(B61="","","CWP"&amp;MID(B61,4,12))</f>
        <v/>
      </c>
      <c r="E61" s="32" t="n"/>
      <c r="F61" s="22" t="n"/>
      <c r="G61" s="22" t="n"/>
      <c r="H61" s="33">
        <f>IF(OR(F61="",F61=0),"",G61/F61)</f>
        <v/>
      </c>
      <c r="I61" s="31">
        <f>IF(H61="","",IF(H61=1,"LIBERAR","NO LIBERAR"))</f>
        <v/>
      </c>
      <c r="J61" s="23" t="n"/>
      <c r="K61" s="32" t="n"/>
      <c r="L61" s="24" t="n"/>
    </row>
    <row r="62">
      <c r="A62" s="30" t="n"/>
      <c r="B62" s="23" t="n"/>
      <c r="C62" s="23" t="n"/>
      <c r="D62" s="31">
        <f>IF(B62="","","CWP"&amp;MID(B62,4,12))</f>
        <v/>
      </c>
      <c r="E62" s="32" t="n"/>
      <c r="F62" s="22" t="n"/>
      <c r="G62" s="22" t="n"/>
      <c r="H62" s="33">
        <f>IF(OR(F62="",F62=0),"",G62/F62)</f>
        <v/>
      </c>
      <c r="I62" s="31">
        <f>IF(H62="","",IF(H62=1,"LIBERAR","NO LIBERAR"))</f>
        <v/>
      </c>
      <c r="J62" s="23" t="n"/>
      <c r="K62" s="32" t="n"/>
      <c r="L62" s="24" t="n"/>
    </row>
    <row r="63">
      <c r="A63" s="30" t="n"/>
      <c r="B63" s="23" t="n"/>
      <c r="C63" s="23" t="n"/>
      <c r="D63" s="31">
        <f>IF(B63="","","CWP"&amp;MID(B63,4,12))</f>
        <v/>
      </c>
      <c r="E63" s="32" t="n"/>
      <c r="F63" s="22" t="n"/>
      <c r="G63" s="22" t="n"/>
      <c r="H63" s="33">
        <f>IF(OR(F63="",F63=0),"",G63/F63)</f>
        <v/>
      </c>
      <c r="I63" s="31">
        <f>IF(H63="","",IF(H63=1,"LIBERAR","NO LIBERAR"))</f>
        <v/>
      </c>
      <c r="J63" s="23" t="n"/>
      <c r="K63" s="32" t="n"/>
      <c r="L63" s="24" t="n"/>
    </row>
    <row r="64">
      <c r="A64" s="30" t="n"/>
      <c r="B64" s="23" t="n"/>
      <c r="C64" s="23" t="n"/>
      <c r="D64" s="31">
        <f>IF(B64="","","CWP"&amp;MID(B64,4,12))</f>
        <v/>
      </c>
      <c r="E64" s="32" t="n"/>
      <c r="F64" s="22" t="n"/>
      <c r="G64" s="22" t="n"/>
      <c r="H64" s="33">
        <f>IF(OR(F64="",F64=0),"",G64/F64)</f>
        <v/>
      </c>
      <c r="I64" s="31">
        <f>IF(H64="","",IF(H64=1,"LIBERAR","NO LIBERAR"))</f>
        <v/>
      </c>
      <c r="J64" s="23" t="n"/>
      <c r="K64" s="32" t="n"/>
      <c r="L64" s="24" t="n"/>
    </row>
    <row r="65">
      <c r="A65" s="30" t="n"/>
      <c r="B65" s="23" t="n"/>
      <c r="C65" s="23" t="n"/>
      <c r="D65" s="31">
        <f>IF(B65="","","CWP"&amp;MID(B65,4,12))</f>
        <v/>
      </c>
      <c r="E65" s="32" t="n"/>
      <c r="F65" s="22" t="n"/>
      <c r="G65" s="22" t="n"/>
      <c r="H65" s="33">
        <f>IF(OR(F65="",F65=0),"",G65/F65)</f>
        <v/>
      </c>
      <c r="I65" s="31">
        <f>IF(H65="","",IF(H65=1,"LIBERAR","NO LIBERAR"))</f>
        <v/>
      </c>
      <c r="J65" s="23" t="n"/>
      <c r="K65" s="32" t="n"/>
      <c r="L65" s="24" t="n"/>
    </row>
    <row r="66">
      <c r="A66" s="30" t="n"/>
      <c r="B66" s="23" t="n"/>
      <c r="C66" s="23" t="n"/>
      <c r="D66" s="31">
        <f>IF(B66="","","CWP"&amp;MID(B66,4,12))</f>
        <v/>
      </c>
      <c r="E66" s="32" t="n"/>
      <c r="F66" s="22" t="n"/>
      <c r="G66" s="22" t="n"/>
      <c r="H66" s="33">
        <f>IF(OR(F66="",F66=0),"",G66/F66)</f>
        <v/>
      </c>
      <c r="I66" s="31">
        <f>IF(H66="","",IF(H66=1,"LIBERAR","NO LIBERAR"))</f>
        <v/>
      </c>
      <c r="J66" s="23" t="n"/>
      <c r="K66" s="32" t="n"/>
      <c r="L66" s="24" t="n"/>
    </row>
    <row r="67">
      <c r="A67" s="30" t="n"/>
      <c r="B67" s="23" t="n"/>
      <c r="C67" s="23" t="n"/>
      <c r="D67" s="31">
        <f>IF(B67="","","CWP"&amp;MID(B67,4,12))</f>
        <v/>
      </c>
      <c r="E67" s="32" t="n"/>
      <c r="F67" s="22" t="n"/>
      <c r="G67" s="22" t="n"/>
      <c r="H67" s="33">
        <f>IF(OR(F67="",F67=0),"",G67/F67)</f>
        <v/>
      </c>
      <c r="I67" s="31">
        <f>IF(H67="","",IF(H67=1,"LIBERAR","NO LIBERAR"))</f>
        <v/>
      </c>
      <c r="J67" s="23" t="n"/>
      <c r="K67" s="32" t="n"/>
      <c r="L67" s="24" t="n"/>
    </row>
    <row r="68">
      <c r="A68" s="30" t="n"/>
      <c r="B68" s="23" t="n"/>
      <c r="C68" s="23" t="n"/>
      <c r="D68" s="31">
        <f>IF(B68="","","CWP"&amp;MID(B68,4,12))</f>
        <v/>
      </c>
      <c r="E68" s="32" t="n"/>
      <c r="F68" s="22" t="n"/>
      <c r="G68" s="22" t="n"/>
      <c r="H68" s="33">
        <f>IF(OR(F68="",F68=0),"",G68/F68)</f>
        <v/>
      </c>
      <c r="I68" s="31">
        <f>IF(H68="","",IF(H68=1,"LIBERAR","NO LIBERAR"))</f>
        <v/>
      </c>
      <c r="J68" s="23" t="n"/>
      <c r="K68" s="32" t="n"/>
      <c r="L68" s="24" t="n"/>
    </row>
    <row r="69">
      <c r="A69" s="30" t="n"/>
      <c r="B69" s="23" t="n"/>
      <c r="C69" s="23" t="n"/>
      <c r="D69" s="31">
        <f>IF(B69="","","CWP"&amp;MID(B69,4,12))</f>
        <v/>
      </c>
      <c r="E69" s="32" t="n"/>
      <c r="F69" s="22" t="n"/>
      <c r="G69" s="22" t="n"/>
      <c r="H69" s="33">
        <f>IF(OR(F69="",F69=0),"",G69/F69)</f>
        <v/>
      </c>
      <c r="I69" s="31">
        <f>IF(H69="","",IF(H69=1,"LIBERAR","NO LIBERAR"))</f>
        <v/>
      </c>
      <c r="J69" s="23" t="n"/>
      <c r="K69" s="32" t="n"/>
      <c r="L69" s="24" t="n"/>
    </row>
    <row r="70">
      <c r="A70" s="30" t="n"/>
      <c r="B70" s="23" t="n"/>
      <c r="C70" s="23" t="n"/>
      <c r="D70" s="31">
        <f>IF(B70="","","CWP"&amp;MID(B70,4,12))</f>
        <v/>
      </c>
      <c r="E70" s="32" t="n"/>
      <c r="F70" s="22" t="n"/>
      <c r="G70" s="22" t="n"/>
      <c r="H70" s="33">
        <f>IF(OR(F70="",F70=0),"",G70/F70)</f>
        <v/>
      </c>
      <c r="I70" s="31">
        <f>IF(H70="","",IF(H70=1,"LIBERAR","NO LIBERAR"))</f>
        <v/>
      </c>
      <c r="J70" s="23" t="n"/>
      <c r="K70" s="32" t="n"/>
      <c r="L70" s="24" t="n"/>
    </row>
    <row r="71">
      <c r="A71" s="30" t="n"/>
      <c r="B71" s="23" t="n"/>
      <c r="C71" s="23" t="n"/>
      <c r="D71" s="31">
        <f>IF(B71="","","CWP"&amp;MID(B71,4,12))</f>
        <v/>
      </c>
      <c r="E71" s="32" t="n"/>
      <c r="F71" s="22" t="n"/>
      <c r="G71" s="22" t="n"/>
      <c r="H71" s="33">
        <f>IF(OR(F71="",F71=0),"",G71/F71)</f>
        <v/>
      </c>
      <c r="I71" s="31">
        <f>IF(H71="","",IF(H71=1,"LIBERAR","NO LIBERAR"))</f>
        <v/>
      </c>
      <c r="J71" s="23" t="n"/>
      <c r="K71" s="32" t="n"/>
      <c r="L71" s="24" t="n"/>
    </row>
    <row r="72">
      <c r="A72" s="30" t="n"/>
      <c r="B72" s="23" t="n"/>
      <c r="C72" s="23" t="n"/>
      <c r="D72" s="31">
        <f>IF(B72="","","CWP"&amp;MID(B72,4,12))</f>
        <v/>
      </c>
      <c r="E72" s="32" t="n"/>
      <c r="F72" s="22" t="n"/>
      <c r="G72" s="22" t="n"/>
      <c r="H72" s="33">
        <f>IF(OR(F72="",F72=0),"",G72/F72)</f>
        <v/>
      </c>
      <c r="I72" s="31">
        <f>IF(H72="","",IF(H72=1,"LIBERAR","NO LIBERAR"))</f>
        <v/>
      </c>
      <c r="J72" s="23" t="n"/>
      <c r="K72" s="32" t="n"/>
      <c r="L72" s="24" t="n"/>
    </row>
    <row r="73">
      <c r="A73" s="30" t="n"/>
      <c r="B73" s="23" t="n"/>
      <c r="C73" s="23" t="n"/>
      <c r="D73" s="31">
        <f>IF(B73="","","CWP"&amp;MID(B73,4,12))</f>
        <v/>
      </c>
      <c r="E73" s="32" t="n"/>
      <c r="F73" s="22" t="n"/>
      <c r="G73" s="22" t="n"/>
      <c r="H73" s="33">
        <f>IF(OR(F73="",F73=0),"",G73/F73)</f>
        <v/>
      </c>
      <c r="I73" s="31">
        <f>IF(H73="","",IF(H73=1,"LIBERAR","NO LIBERAR"))</f>
        <v/>
      </c>
      <c r="J73" s="23" t="n"/>
      <c r="K73" s="32" t="n"/>
      <c r="L73" s="24" t="n"/>
    </row>
    <row r="74">
      <c r="A74" s="30" t="n"/>
      <c r="B74" s="23" t="n"/>
      <c r="C74" s="23" t="n"/>
      <c r="D74" s="31">
        <f>IF(B74="","","CWP"&amp;MID(B74,4,12))</f>
        <v/>
      </c>
      <c r="E74" s="32" t="n"/>
      <c r="F74" s="22" t="n"/>
      <c r="G74" s="22" t="n"/>
      <c r="H74" s="33">
        <f>IF(OR(F74="",F74=0),"",G74/F74)</f>
        <v/>
      </c>
      <c r="I74" s="31">
        <f>IF(H74="","",IF(H74=1,"LIBERAR","NO LIBERAR"))</f>
        <v/>
      </c>
      <c r="J74" s="23" t="n"/>
      <c r="K74" s="32" t="n"/>
      <c r="L74" s="24" t="n"/>
    </row>
    <row r="75">
      <c r="A75" s="30" t="n"/>
      <c r="B75" s="23" t="n"/>
      <c r="C75" s="23" t="n"/>
      <c r="D75" s="31">
        <f>IF(B75="","","CWP"&amp;MID(B75,4,12))</f>
        <v/>
      </c>
      <c r="E75" s="32" t="n"/>
      <c r="F75" s="22" t="n"/>
      <c r="G75" s="22" t="n"/>
      <c r="H75" s="33">
        <f>IF(OR(F75="",F75=0),"",G75/F75)</f>
        <v/>
      </c>
      <c r="I75" s="31">
        <f>IF(H75="","",IF(H75=1,"LIBERAR","NO LIBERAR"))</f>
        <v/>
      </c>
      <c r="J75" s="23" t="n"/>
      <c r="K75" s="32" t="n"/>
      <c r="L75" s="24" t="n"/>
    </row>
    <row r="76">
      <c r="A76" s="30" t="n"/>
      <c r="B76" s="23" t="n"/>
      <c r="C76" s="23" t="n"/>
      <c r="D76" s="31">
        <f>IF(B76="","","CWP"&amp;MID(B76,4,12))</f>
        <v/>
      </c>
      <c r="E76" s="32" t="n"/>
      <c r="F76" s="22" t="n"/>
      <c r="G76" s="22" t="n"/>
      <c r="H76" s="33">
        <f>IF(OR(F76="",F76=0),"",G76/F76)</f>
        <v/>
      </c>
      <c r="I76" s="31">
        <f>IF(H76="","",IF(H76=1,"LIBERAR","NO LIBERAR"))</f>
        <v/>
      </c>
      <c r="J76" s="23" t="n"/>
      <c r="K76" s="32" t="n"/>
      <c r="L76" s="24" t="n"/>
    </row>
    <row r="77">
      <c r="A77" s="30" t="n"/>
      <c r="B77" s="23" t="n"/>
      <c r="C77" s="23" t="n"/>
      <c r="D77" s="31">
        <f>IF(B77="","","CWP"&amp;MID(B77,4,12))</f>
        <v/>
      </c>
      <c r="E77" s="32" t="n"/>
      <c r="F77" s="22" t="n"/>
      <c r="G77" s="22" t="n"/>
      <c r="H77" s="33">
        <f>IF(OR(F77="",F77=0),"",G77/F77)</f>
        <v/>
      </c>
      <c r="I77" s="31">
        <f>IF(H77="","",IF(H77=1,"LIBERAR","NO LIBERAR"))</f>
        <v/>
      </c>
      <c r="J77" s="23" t="n"/>
      <c r="K77" s="32" t="n"/>
      <c r="L77" s="24" t="n"/>
    </row>
    <row r="78">
      <c r="A78" s="30" t="n"/>
      <c r="B78" s="23" t="n"/>
      <c r="C78" s="23" t="n"/>
      <c r="D78" s="31">
        <f>IF(B78="","","CWP"&amp;MID(B78,4,12))</f>
        <v/>
      </c>
      <c r="E78" s="32" t="n"/>
      <c r="F78" s="22" t="n"/>
      <c r="G78" s="22" t="n"/>
      <c r="H78" s="33">
        <f>IF(OR(F78="",F78=0),"",G78/F78)</f>
        <v/>
      </c>
      <c r="I78" s="31">
        <f>IF(H78="","",IF(H78=1,"LIBERAR","NO LIBERAR"))</f>
        <v/>
      </c>
      <c r="J78" s="23" t="n"/>
      <c r="K78" s="32" t="n"/>
      <c r="L78" s="24" t="n"/>
    </row>
    <row r="79">
      <c r="A79" s="30" t="n"/>
      <c r="B79" s="23" t="n"/>
      <c r="C79" s="23" t="n"/>
      <c r="D79" s="31">
        <f>IF(B79="","","CWP"&amp;MID(B79,4,12))</f>
        <v/>
      </c>
      <c r="E79" s="32" t="n"/>
      <c r="F79" s="22" t="n"/>
      <c r="G79" s="22" t="n"/>
      <c r="H79" s="33">
        <f>IF(OR(F79="",F79=0),"",G79/F79)</f>
        <v/>
      </c>
      <c r="I79" s="31">
        <f>IF(H79="","",IF(H79=1,"LIBERAR","NO LIBERAR"))</f>
        <v/>
      </c>
      <c r="J79" s="23" t="n"/>
      <c r="K79" s="32" t="n"/>
      <c r="L79" s="24" t="n"/>
    </row>
    <row r="80">
      <c r="A80" s="30" t="n"/>
      <c r="B80" s="23" t="n"/>
      <c r="C80" s="23" t="n"/>
      <c r="D80" s="31">
        <f>IF(B80="","","CWP"&amp;MID(B80,4,12))</f>
        <v/>
      </c>
      <c r="E80" s="32" t="n"/>
      <c r="F80" s="22" t="n"/>
      <c r="G80" s="22" t="n"/>
      <c r="H80" s="33">
        <f>IF(OR(F80="",F80=0),"",G80/F80)</f>
        <v/>
      </c>
      <c r="I80" s="31">
        <f>IF(H80="","",IF(H80=1,"LIBERAR","NO LIBERAR"))</f>
        <v/>
      </c>
      <c r="J80" s="23" t="n"/>
      <c r="K80" s="32" t="n"/>
      <c r="L80" s="24" t="n"/>
    </row>
    <row r="81">
      <c r="A81" s="30" t="n"/>
      <c r="B81" s="23" t="n"/>
      <c r="C81" s="23" t="n"/>
      <c r="D81" s="31">
        <f>IF(B81="","","CWP"&amp;MID(B81,4,12))</f>
        <v/>
      </c>
      <c r="E81" s="32" t="n"/>
      <c r="F81" s="22" t="n"/>
      <c r="G81" s="22" t="n"/>
      <c r="H81" s="33">
        <f>IF(OR(F81="",F81=0),"",G81/F81)</f>
        <v/>
      </c>
      <c r="I81" s="31">
        <f>IF(H81="","",IF(H81=1,"LIBERAR","NO LIBERAR"))</f>
        <v/>
      </c>
      <c r="J81" s="23" t="n"/>
      <c r="K81" s="32" t="n"/>
      <c r="L81" s="24" t="n"/>
    </row>
    <row r="82">
      <c r="A82" s="30" t="n"/>
      <c r="B82" s="23" t="n"/>
      <c r="C82" s="23" t="n"/>
      <c r="D82" s="31">
        <f>IF(B82="","","CWP"&amp;MID(B82,4,12))</f>
        <v/>
      </c>
      <c r="E82" s="32" t="n"/>
      <c r="F82" s="22" t="n"/>
      <c r="G82" s="22" t="n"/>
      <c r="H82" s="33">
        <f>IF(OR(F82="",F82=0),"",G82/F82)</f>
        <v/>
      </c>
      <c r="I82" s="31">
        <f>IF(H82="","",IF(H82=1,"LIBERAR","NO LIBERAR"))</f>
        <v/>
      </c>
      <c r="J82" s="23" t="n"/>
      <c r="K82" s="32" t="n"/>
      <c r="L82" s="24" t="n"/>
    </row>
    <row r="83">
      <c r="A83" s="30" t="n"/>
      <c r="B83" s="23" t="n"/>
      <c r="C83" s="23" t="n"/>
      <c r="D83" s="31">
        <f>IF(B83="","","CWP"&amp;MID(B83,4,12))</f>
        <v/>
      </c>
      <c r="E83" s="32" t="n"/>
      <c r="F83" s="22" t="n"/>
      <c r="G83" s="22" t="n"/>
      <c r="H83" s="33">
        <f>IF(OR(F83="",F83=0),"",G83/F83)</f>
        <v/>
      </c>
      <c r="I83" s="31">
        <f>IF(H83="","",IF(H83=1,"LIBERAR","NO LIBERAR"))</f>
        <v/>
      </c>
      <c r="J83" s="23" t="n"/>
      <c r="K83" s="32" t="n"/>
      <c r="L83" s="24" t="n"/>
    </row>
    <row r="84">
      <c r="A84" s="30" t="n"/>
      <c r="B84" s="23" t="n"/>
      <c r="C84" s="23" t="n"/>
      <c r="D84" s="31">
        <f>IF(B84="","","CWP"&amp;MID(B84,4,12))</f>
        <v/>
      </c>
      <c r="E84" s="32" t="n"/>
      <c r="F84" s="22" t="n"/>
      <c r="G84" s="22" t="n"/>
      <c r="H84" s="33">
        <f>IF(OR(F84="",F84=0),"",G84/F84)</f>
        <v/>
      </c>
      <c r="I84" s="31">
        <f>IF(H84="","",IF(H84=1,"LIBERAR","NO LIBERAR"))</f>
        <v/>
      </c>
      <c r="J84" s="23" t="n"/>
      <c r="K84" s="32" t="n"/>
      <c r="L84" s="24" t="n"/>
    </row>
    <row r="85">
      <c r="A85" s="30" t="n"/>
      <c r="B85" s="23" t="n"/>
      <c r="C85" s="23" t="n"/>
      <c r="D85" s="31">
        <f>IF(B85="","","CWP"&amp;MID(B85,4,12))</f>
        <v/>
      </c>
      <c r="E85" s="32" t="n"/>
      <c r="F85" s="22" t="n"/>
      <c r="G85" s="22" t="n"/>
      <c r="H85" s="33">
        <f>IF(OR(F85="",F85=0),"",G85/F85)</f>
        <v/>
      </c>
      <c r="I85" s="31">
        <f>IF(H85="","",IF(H85=1,"LIBERAR","NO LIBERAR"))</f>
        <v/>
      </c>
      <c r="J85" s="23" t="n"/>
      <c r="K85" s="32" t="n"/>
      <c r="L85" s="24" t="n"/>
    </row>
    <row r="86">
      <c r="A86" s="30" t="n"/>
      <c r="B86" s="23" t="n"/>
      <c r="C86" s="23" t="n"/>
      <c r="D86" s="31">
        <f>IF(B86="","","CWP"&amp;MID(B86,4,12))</f>
        <v/>
      </c>
      <c r="E86" s="32" t="n"/>
      <c r="F86" s="22" t="n"/>
      <c r="G86" s="22" t="n"/>
      <c r="H86" s="33">
        <f>IF(OR(F86="",F86=0),"",G86/F86)</f>
        <v/>
      </c>
      <c r="I86" s="31">
        <f>IF(H86="","",IF(H86=1,"LIBERAR","NO LIBERAR"))</f>
        <v/>
      </c>
      <c r="J86" s="23" t="n"/>
      <c r="K86" s="32" t="n"/>
      <c r="L86" s="24" t="n"/>
    </row>
    <row r="87">
      <c r="A87" s="30" t="n"/>
      <c r="B87" s="23" t="n"/>
      <c r="C87" s="23" t="n"/>
      <c r="D87" s="31">
        <f>IF(B87="","","CWP"&amp;MID(B87,4,12))</f>
        <v/>
      </c>
      <c r="E87" s="32" t="n"/>
      <c r="F87" s="22" t="n"/>
      <c r="G87" s="22" t="n"/>
      <c r="H87" s="33">
        <f>IF(OR(F87="",F87=0),"",G87/F87)</f>
        <v/>
      </c>
      <c r="I87" s="31">
        <f>IF(H87="","",IF(H87=1,"LIBERAR","NO LIBERAR"))</f>
        <v/>
      </c>
      <c r="J87" s="23" t="n"/>
      <c r="K87" s="32" t="n"/>
      <c r="L87" s="24" t="n"/>
    </row>
    <row r="88">
      <c r="A88" s="30" t="n"/>
      <c r="B88" s="23" t="n"/>
      <c r="C88" s="23" t="n"/>
      <c r="D88" s="31">
        <f>IF(B88="","","CWP"&amp;MID(B88,4,12))</f>
        <v/>
      </c>
      <c r="E88" s="32" t="n"/>
      <c r="F88" s="22" t="n"/>
      <c r="G88" s="22" t="n"/>
      <c r="H88" s="33">
        <f>IF(OR(F88="",F88=0),"",G88/F88)</f>
        <v/>
      </c>
      <c r="I88" s="31">
        <f>IF(H88="","",IF(H88=1,"LIBERAR","NO LIBERAR"))</f>
        <v/>
      </c>
      <c r="J88" s="23" t="n"/>
      <c r="K88" s="32" t="n"/>
      <c r="L88" s="24" t="n"/>
    </row>
    <row r="89">
      <c r="A89" s="30" t="n"/>
      <c r="B89" s="23" t="n"/>
      <c r="C89" s="23" t="n"/>
      <c r="D89" s="31">
        <f>IF(B89="","","CWP"&amp;MID(B89,4,12))</f>
        <v/>
      </c>
      <c r="E89" s="32" t="n"/>
      <c r="F89" s="22" t="n"/>
      <c r="G89" s="22" t="n"/>
      <c r="H89" s="33">
        <f>IF(OR(F89="",F89=0),"",G89/F89)</f>
        <v/>
      </c>
      <c r="I89" s="31">
        <f>IF(H89="","",IF(H89=1,"LIBERAR","NO LIBERAR"))</f>
        <v/>
      </c>
      <c r="J89" s="23" t="n"/>
      <c r="K89" s="32" t="n"/>
      <c r="L89" s="24" t="n"/>
    </row>
    <row r="90">
      <c r="A90" s="30" t="n"/>
      <c r="B90" s="23" t="n"/>
      <c r="C90" s="23" t="n"/>
      <c r="D90" s="31">
        <f>IF(B90="","","CWP"&amp;MID(B90,4,12))</f>
        <v/>
      </c>
      <c r="E90" s="32" t="n"/>
      <c r="F90" s="22" t="n"/>
      <c r="G90" s="22" t="n"/>
      <c r="H90" s="33">
        <f>IF(OR(F90="",F90=0),"",G90/F90)</f>
        <v/>
      </c>
      <c r="I90" s="31">
        <f>IF(H90="","",IF(H90=1,"LIBERAR","NO LIBERAR"))</f>
        <v/>
      </c>
      <c r="J90" s="23" t="n"/>
      <c r="K90" s="32" t="n"/>
      <c r="L90" s="24" t="n"/>
    </row>
    <row r="91">
      <c r="A91" s="30" t="n"/>
      <c r="B91" s="23" t="n"/>
      <c r="C91" s="23" t="n"/>
      <c r="D91" s="31">
        <f>IF(B91="","","CWP"&amp;MID(B91,4,12))</f>
        <v/>
      </c>
      <c r="E91" s="32" t="n"/>
      <c r="F91" s="22" t="n"/>
      <c r="G91" s="22" t="n"/>
      <c r="H91" s="33">
        <f>IF(OR(F91="",F91=0),"",G91/F91)</f>
        <v/>
      </c>
      <c r="I91" s="31">
        <f>IF(H91="","",IF(H91=1,"LIBERAR","NO LIBERAR"))</f>
        <v/>
      </c>
      <c r="J91" s="23" t="n"/>
      <c r="K91" s="32" t="n"/>
      <c r="L91" s="24" t="n"/>
    </row>
    <row r="92">
      <c r="A92" s="30" t="n"/>
      <c r="B92" s="23" t="n"/>
      <c r="C92" s="23" t="n"/>
      <c r="D92" s="31">
        <f>IF(B92="","","CWP"&amp;MID(B92,4,12))</f>
        <v/>
      </c>
      <c r="E92" s="32" t="n"/>
      <c r="F92" s="22" t="n"/>
      <c r="G92" s="22" t="n"/>
      <c r="H92" s="33">
        <f>IF(OR(F92="",F92=0),"",G92/F92)</f>
        <v/>
      </c>
      <c r="I92" s="31">
        <f>IF(H92="","",IF(H92=1,"LIBERAR","NO LIBERAR"))</f>
        <v/>
      </c>
      <c r="J92" s="23" t="n"/>
      <c r="K92" s="32" t="n"/>
      <c r="L92" s="24" t="n"/>
    </row>
    <row r="93">
      <c r="A93" s="30" t="n"/>
      <c r="B93" s="23" t="n"/>
      <c r="C93" s="23" t="n"/>
      <c r="D93" s="31">
        <f>IF(B93="","","CWP"&amp;MID(B93,4,12))</f>
        <v/>
      </c>
      <c r="E93" s="32" t="n"/>
      <c r="F93" s="22" t="n"/>
      <c r="G93" s="22" t="n"/>
      <c r="H93" s="33">
        <f>IF(OR(F93="",F93=0),"",G93/F93)</f>
        <v/>
      </c>
      <c r="I93" s="31">
        <f>IF(H93="","",IF(H93=1,"LIBERAR","NO LIBERAR"))</f>
        <v/>
      </c>
      <c r="J93" s="23" t="n"/>
      <c r="K93" s="32" t="n"/>
      <c r="L93" s="24" t="n"/>
    </row>
    <row r="94">
      <c r="A94" s="30" t="n"/>
      <c r="B94" s="23" t="n"/>
      <c r="C94" s="23" t="n"/>
      <c r="D94" s="31">
        <f>IF(B94="","","CWP"&amp;MID(B94,4,12))</f>
        <v/>
      </c>
      <c r="E94" s="32" t="n"/>
      <c r="F94" s="22" t="n"/>
      <c r="G94" s="22" t="n"/>
      <c r="H94" s="33">
        <f>IF(OR(F94="",F94=0),"",G94/F94)</f>
        <v/>
      </c>
      <c r="I94" s="31">
        <f>IF(H94="","",IF(H94=1,"LIBERAR","NO LIBERAR"))</f>
        <v/>
      </c>
      <c r="J94" s="23" t="n"/>
      <c r="K94" s="32" t="n"/>
      <c r="L94" s="24" t="n"/>
    </row>
    <row r="95">
      <c r="A95" s="30" t="n"/>
      <c r="B95" s="23" t="n"/>
      <c r="C95" s="23" t="n"/>
      <c r="D95" s="31">
        <f>IF(B95="","","CWP"&amp;MID(B95,4,12))</f>
        <v/>
      </c>
      <c r="E95" s="32" t="n"/>
      <c r="F95" s="22" t="n"/>
      <c r="G95" s="22" t="n"/>
      <c r="H95" s="33">
        <f>IF(OR(F95="",F95=0),"",G95/F95)</f>
        <v/>
      </c>
      <c r="I95" s="31">
        <f>IF(H95="","",IF(H95=1,"LIBERAR","NO LIBERAR"))</f>
        <v/>
      </c>
      <c r="J95" s="23" t="n"/>
      <c r="K95" s="32" t="n"/>
      <c r="L95" s="24" t="n"/>
    </row>
    <row r="96">
      <c r="A96" s="30" t="n"/>
      <c r="B96" s="23" t="n"/>
      <c r="C96" s="23" t="n"/>
      <c r="D96" s="31">
        <f>IF(B96="","","CWP"&amp;MID(B96,4,12))</f>
        <v/>
      </c>
      <c r="E96" s="32" t="n"/>
      <c r="F96" s="22" t="n"/>
      <c r="G96" s="22" t="n"/>
      <c r="H96" s="33">
        <f>IF(OR(F96="",F96=0),"",G96/F96)</f>
        <v/>
      </c>
      <c r="I96" s="31">
        <f>IF(H96="","",IF(H96=1,"LIBERAR","NO LIBERAR"))</f>
        <v/>
      </c>
      <c r="J96" s="23" t="n"/>
      <c r="K96" s="32" t="n"/>
      <c r="L96" s="24" t="n"/>
    </row>
    <row r="97">
      <c r="A97" s="30" t="n"/>
      <c r="B97" s="23" t="n"/>
      <c r="C97" s="23" t="n"/>
      <c r="D97" s="31">
        <f>IF(B97="","","CWP"&amp;MID(B97,4,12))</f>
        <v/>
      </c>
      <c r="E97" s="32" t="n"/>
      <c r="F97" s="22" t="n"/>
      <c r="G97" s="22" t="n"/>
      <c r="H97" s="33">
        <f>IF(OR(F97="",F97=0),"",G97/F97)</f>
        <v/>
      </c>
      <c r="I97" s="31">
        <f>IF(H97="","",IF(H97=1,"LIBERAR","NO LIBERAR"))</f>
        <v/>
      </c>
      <c r="J97" s="23" t="n"/>
      <c r="K97" s="32" t="n"/>
      <c r="L97" s="24" t="n"/>
    </row>
    <row r="98">
      <c r="A98" s="30" t="n"/>
      <c r="B98" s="23" t="n"/>
      <c r="C98" s="23" t="n"/>
      <c r="D98" s="31">
        <f>IF(B98="","","CWP"&amp;MID(B98,4,12))</f>
        <v/>
      </c>
      <c r="E98" s="32" t="n"/>
      <c r="F98" s="22" t="n"/>
      <c r="G98" s="22" t="n"/>
      <c r="H98" s="33">
        <f>IF(OR(F98="",F98=0),"",G98/F98)</f>
        <v/>
      </c>
      <c r="I98" s="31">
        <f>IF(H98="","",IF(H98=1,"LIBERAR","NO LIBERAR"))</f>
        <v/>
      </c>
      <c r="J98" s="23" t="n"/>
      <c r="K98" s="32" t="n"/>
      <c r="L98" s="24" t="n"/>
    </row>
    <row r="99">
      <c r="A99" s="30" t="n"/>
      <c r="B99" s="23" t="n"/>
      <c r="C99" s="23" t="n"/>
      <c r="D99" s="31">
        <f>IF(B99="","","CWP"&amp;MID(B99,4,12))</f>
        <v/>
      </c>
      <c r="E99" s="32" t="n"/>
      <c r="F99" s="22" t="n"/>
      <c r="G99" s="22" t="n"/>
      <c r="H99" s="33">
        <f>IF(OR(F99="",F99=0),"",G99/F99)</f>
        <v/>
      </c>
      <c r="I99" s="31">
        <f>IF(H99="","",IF(H99=1,"LIBERAR","NO LIBERAR"))</f>
        <v/>
      </c>
      <c r="J99" s="23" t="n"/>
      <c r="K99" s="32" t="n"/>
      <c r="L99" s="24" t="n"/>
    </row>
    <row r="100">
      <c r="A100" s="30" t="n"/>
      <c r="B100" s="23" t="n"/>
      <c r="C100" s="23" t="n"/>
      <c r="D100" s="31">
        <f>IF(B100="","","CWP"&amp;MID(B100,4,12))</f>
        <v/>
      </c>
      <c r="E100" s="32" t="n"/>
      <c r="F100" s="22" t="n"/>
      <c r="G100" s="22" t="n"/>
      <c r="H100" s="33">
        <f>IF(OR(F100="",F100=0),"",G100/F100)</f>
        <v/>
      </c>
      <c r="I100" s="31">
        <f>IF(H100="","",IF(H100=1,"LIBERAR","NO LIBERAR"))</f>
        <v/>
      </c>
      <c r="J100" s="23" t="n"/>
      <c r="K100" s="32" t="n"/>
      <c r="L100" s="24" t="n"/>
    </row>
    <row r="101">
      <c r="A101" s="30" t="n"/>
      <c r="B101" s="23" t="n"/>
      <c r="C101" s="23" t="n"/>
      <c r="D101" s="31">
        <f>IF(B101="","","CWP"&amp;MID(B101,4,12))</f>
        <v/>
      </c>
      <c r="E101" s="32" t="n"/>
      <c r="F101" s="22" t="n"/>
      <c r="G101" s="22" t="n"/>
      <c r="H101" s="33">
        <f>IF(OR(F101="",F101=0),"",G101/F101)</f>
        <v/>
      </c>
      <c r="I101" s="31">
        <f>IF(H101="","",IF(H101=1,"LIBERAR","NO LIBERAR"))</f>
        <v/>
      </c>
      <c r="J101" s="23" t="n"/>
      <c r="K101" s="32" t="n"/>
      <c r="L101" s="24" t="n"/>
    </row>
    <row r="102">
      <c r="A102" s="30" t="n"/>
      <c r="B102" s="23" t="n"/>
      <c r="C102" s="23" t="n"/>
      <c r="D102" s="31">
        <f>IF(B102="","","CWP"&amp;MID(B102,4,12))</f>
        <v/>
      </c>
      <c r="E102" s="32" t="n"/>
      <c r="F102" s="22" t="n"/>
      <c r="G102" s="22" t="n"/>
      <c r="H102" s="33">
        <f>IF(OR(F102="",F102=0),"",G102/F102)</f>
        <v/>
      </c>
      <c r="I102" s="31">
        <f>IF(H102="","",IF(H102=1,"LIBERAR","NO LIBERAR"))</f>
        <v/>
      </c>
      <c r="J102" s="23" t="n"/>
      <c r="K102" s="32" t="n"/>
      <c r="L102" s="24" t="n"/>
    </row>
    <row r="103">
      <c r="A103" s="30" t="n"/>
      <c r="B103" s="23" t="n"/>
      <c r="C103" s="23" t="n"/>
      <c r="D103" s="31">
        <f>IF(B103="","","CWP"&amp;MID(B103,4,12))</f>
        <v/>
      </c>
      <c r="E103" s="32" t="n"/>
      <c r="F103" s="22" t="n"/>
      <c r="G103" s="22" t="n"/>
      <c r="H103" s="33">
        <f>IF(OR(F103="",F103=0),"",G103/F103)</f>
        <v/>
      </c>
      <c r="I103" s="31">
        <f>IF(H103="","",IF(H103=1,"LIBERAR","NO LIBERAR"))</f>
        <v/>
      </c>
      <c r="J103" s="23" t="n"/>
      <c r="K103" s="32" t="n"/>
      <c r="L103" s="24" t="n"/>
    </row>
    <row r="104">
      <c r="A104" s="30" t="n"/>
      <c r="B104" s="23" t="n"/>
      <c r="C104" s="23" t="n"/>
      <c r="D104" s="31">
        <f>IF(B104="","","CWP"&amp;MID(B104,4,12))</f>
        <v/>
      </c>
      <c r="E104" s="32" t="n"/>
      <c r="F104" s="22" t="n"/>
      <c r="G104" s="22" t="n"/>
      <c r="H104" s="33">
        <f>IF(OR(F104="",F104=0),"",G104/F104)</f>
        <v/>
      </c>
      <c r="I104" s="31">
        <f>IF(H104="","",IF(H104=1,"LIBERAR","NO LIBERAR"))</f>
        <v/>
      </c>
      <c r="J104" s="23" t="n"/>
      <c r="K104" s="32" t="n"/>
      <c r="L104" s="24" t="n"/>
    </row>
    <row r="105">
      <c r="A105" s="30" t="n"/>
      <c r="B105" s="23" t="n"/>
      <c r="C105" s="23" t="n"/>
      <c r="D105" s="31">
        <f>IF(B105="","","CWP"&amp;MID(B105,4,12))</f>
        <v/>
      </c>
      <c r="E105" s="32" t="n"/>
      <c r="F105" s="22" t="n"/>
      <c r="G105" s="22" t="n"/>
      <c r="H105" s="33">
        <f>IF(OR(F105="",F105=0),"",G105/F105)</f>
        <v/>
      </c>
      <c r="I105" s="31">
        <f>IF(H105="","",IF(H105=1,"LIBERAR","NO LIBERAR"))</f>
        <v/>
      </c>
      <c r="J105" s="23" t="n"/>
      <c r="K105" s="32" t="n"/>
      <c r="L105" s="24" t="n"/>
    </row>
    <row r="106">
      <c r="A106" s="30" t="n"/>
      <c r="B106" s="23" t="n"/>
      <c r="C106" s="23" t="n"/>
      <c r="D106" s="31">
        <f>IF(B106="","","CWP"&amp;MID(B106,4,12))</f>
        <v/>
      </c>
      <c r="E106" s="32" t="n"/>
      <c r="F106" s="22" t="n"/>
      <c r="G106" s="22" t="n"/>
      <c r="H106" s="33">
        <f>IF(OR(F106="",F106=0),"",G106/F106)</f>
        <v/>
      </c>
      <c r="I106" s="31">
        <f>IF(H106="","",IF(H106=1,"LIBERAR","NO LIBERAR"))</f>
        <v/>
      </c>
      <c r="J106" s="23" t="n"/>
      <c r="K106" s="32" t="n"/>
      <c r="L106" s="24" t="n"/>
    </row>
    <row r="107">
      <c r="A107" s="30" t="n"/>
      <c r="B107" s="23" t="n"/>
      <c r="C107" s="23" t="n"/>
      <c r="D107" s="31">
        <f>IF(B107="","","CWP"&amp;MID(B107,4,12))</f>
        <v/>
      </c>
      <c r="E107" s="32" t="n"/>
      <c r="F107" s="22" t="n"/>
      <c r="G107" s="22" t="n"/>
      <c r="H107" s="33">
        <f>IF(OR(F107="",F107=0),"",G107/F107)</f>
        <v/>
      </c>
      <c r="I107" s="31">
        <f>IF(H107="","",IF(H107=1,"LIBERAR","NO LIBERAR"))</f>
        <v/>
      </c>
      <c r="J107" s="23" t="n"/>
      <c r="K107" s="32" t="n"/>
      <c r="L107" s="24" t="n"/>
    </row>
    <row r="108">
      <c r="A108" s="30" t="n"/>
      <c r="B108" s="23" t="n"/>
      <c r="C108" s="23" t="n"/>
      <c r="D108" s="31">
        <f>IF(B108="","","CWP"&amp;MID(B108,4,12))</f>
        <v/>
      </c>
      <c r="E108" s="32" t="n"/>
      <c r="F108" s="22" t="n"/>
      <c r="G108" s="22" t="n"/>
      <c r="H108" s="33">
        <f>IF(OR(F108="",F108=0),"",G108/F108)</f>
        <v/>
      </c>
      <c r="I108" s="31">
        <f>IF(H108="","",IF(H108=1,"LIBERAR","NO LIBERAR"))</f>
        <v/>
      </c>
      <c r="J108" s="23" t="n"/>
      <c r="K108" s="32" t="n"/>
      <c r="L108" s="24" t="n"/>
    </row>
    <row r="109">
      <c r="A109" s="30" t="n"/>
      <c r="B109" s="23" t="n"/>
      <c r="C109" s="23" t="n"/>
      <c r="D109" s="31">
        <f>IF(B109="","","CWP"&amp;MID(B109,4,12))</f>
        <v/>
      </c>
      <c r="E109" s="32" t="n"/>
      <c r="F109" s="22" t="n"/>
      <c r="G109" s="22" t="n"/>
      <c r="H109" s="33">
        <f>IF(OR(F109="",F109=0),"",G109/F109)</f>
        <v/>
      </c>
      <c r="I109" s="31">
        <f>IF(H109="","",IF(H109=1,"LIBERAR","NO LIBERAR"))</f>
        <v/>
      </c>
      <c r="J109" s="23" t="n"/>
      <c r="K109" s="32" t="n"/>
      <c r="L109" s="24" t="n"/>
    </row>
    <row r="110">
      <c r="A110" s="30" t="n"/>
      <c r="B110" s="23" t="n"/>
      <c r="C110" s="23" t="n"/>
      <c r="D110" s="31">
        <f>IF(B110="","","CWP"&amp;MID(B110,4,12))</f>
        <v/>
      </c>
      <c r="E110" s="32" t="n"/>
      <c r="F110" s="22" t="n"/>
      <c r="G110" s="22" t="n"/>
      <c r="H110" s="33">
        <f>IF(OR(F110="",F110=0),"",G110/F110)</f>
        <v/>
      </c>
      <c r="I110" s="31">
        <f>IF(H110="","",IF(H110=1,"LIBERAR","NO LIBERAR"))</f>
        <v/>
      </c>
      <c r="J110" s="23" t="n"/>
      <c r="K110" s="32" t="n"/>
      <c r="L110" s="24" t="n"/>
    </row>
    <row r="111">
      <c r="A111" s="30" t="n"/>
      <c r="B111" s="23" t="n"/>
      <c r="C111" s="23" t="n"/>
      <c r="D111" s="31">
        <f>IF(B111="","","CWP"&amp;MID(B111,4,12))</f>
        <v/>
      </c>
      <c r="E111" s="32" t="n"/>
      <c r="F111" s="22" t="n"/>
      <c r="G111" s="22" t="n"/>
      <c r="H111" s="33">
        <f>IF(OR(F111="",F111=0),"",G111/F111)</f>
        <v/>
      </c>
      <c r="I111" s="31">
        <f>IF(H111="","",IF(H111=1,"LIBERAR","NO LIBERAR"))</f>
        <v/>
      </c>
      <c r="J111" s="23" t="n"/>
      <c r="K111" s="32" t="n"/>
      <c r="L111" s="24" t="n"/>
    </row>
    <row r="112">
      <c r="A112" s="30" t="n"/>
      <c r="B112" s="23" t="n"/>
      <c r="C112" s="23" t="n"/>
      <c r="D112" s="31">
        <f>IF(B112="","","CWP"&amp;MID(B112,4,12))</f>
        <v/>
      </c>
      <c r="E112" s="32" t="n"/>
      <c r="F112" s="22" t="n"/>
      <c r="G112" s="22" t="n"/>
      <c r="H112" s="33">
        <f>IF(OR(F112="",F112=0),"",G112/F112)</f>
        <v/>
      </c>
      <c r="I112" s="31">
        <f>IF(H112="","",IF(H112=1,"LIBERAR","NO LIBERAR"))</f>
        <v/>
      </c>
      <c r="J112" s="23" t="n"/>
      <c r="K112" s="32" t="n"/>
      <c r="L112" s="24" t="n"/>
    </row>
    <row r="113">
      <c r="A113" s="30" t="n"/>
      <c r="B113" s="23" t="n"/>
      <c r="C113" s="23" t="n"/>
      <c r="D113" s="31">
        <f>IF(B113="","","CWP"&amp;MID(B113,4,12))</f>
        <v/>
      </c>
      <c r="E113" s="32" t="n"/>
      <c r="F113" s="22" t="n"/>
      <c r="G113" s="22" t="n"/>
      <c r="H113" s="33">
        <f>IF(OR(F113="",F113=0),"",G113/F113)</f>
        <v/>
      </c>
      <c r="I113" s="31">
        <f>IF(H113="","",IF(H113=1,"LIBERAR","NO LIBERAR"))</f>
        <v/>
      </c>
      <c r="J113" s="23" t="n"/>
      <c r="K113" s="32" t="n"/>
      <c r="L113" s="24" t="n"/>
    </row>
    <row r="114">
      <c r="A114" s="30" t="n"/>
      <c r="B114" s="23" t="n"/>
      <c r="C114" s="23" t="n"/>
      <c r="D114" s="31">
        <f>IF(B114="","","CWP"&amp;MID(B114,4,12))</f>
        <v/>
      </c>
      <c r="E114" s="32" t="n"/>
      <c r="F114" s="22" t="n"/>
      <c r="G114" s="22" t="n"/>
      <c r="H114" s="33">
        <f>IF(OR(F114="",F114=0),"",G114/F114)</f>
        <v/>
      </c>
      <c r="I114" s="31">
        <f>IF(H114="","",IF(H114=1,"LIBERAR","NO LIBERAR"))</f>
        <v/>
      </c>
      <c r="J114" s="23" t="n"/>
      <c r="K114" s="32" t="n"/>
      <c r="L114" s="24" t="n"/>
    </row>
    <row r="115">
      <c r="A115" s="30" t="n"/>
      <c r="B115" s="23" t="n"/>
      <c r="C115" s="23" t="n"/>
      <c r="D115" s="31">
        <f>IF(B115="","","CWP"&amp;MID(B115,4,12))</f>
        <v/>
      </c>
      <c r="E115" s="32" t="n"/>
      <c r="F115" s="22" t="n"/>
      <c r="G115" s="22" t="n"/>
      <c r="H115" s="33">
        <f>IF(OR(F115="",F115=0),"",G115/F115)</f>
        <v/>
      </c>
      <c r="I115" s="31">
        <f>IF(H115="","",IF(H115=1,"LIBERAR","NO LIBERAR"))</f>
        <v/>
      </c>
      <c r="J115" s="23" t="n"/>
      <c r="K115" s="32" t="n"/>
      <c r="L115" s="24" t="n"/>
    </row>
    <row r="116">
      <c r="A116" s="30" t="n"/>
      <c r="B116" s="23" t="n"/>
      <c r="C116" s="23" t="n"/>
      <c r="D116" s="31">
        <f>IF(B116="","","CWP"&amp;MID(B116,4,12))</f>
        <v/>
      </c>
      <c r="E116" s="32" t="n"/>
      <c r="F116" s="22" t="n"/>
      <c r="G116" s="22" t="n"/>
      <c r="H116" s="33">
        <f>IF(OR(F116="",F116=0),"",G116/F116)</f>
        <v/>
      </c>
      <c r="I116" s="31">
        <f>IF(H116="","",IF(H116=1,"LIBERAR","NO LIBERAR"))</f>
        <v/>
      </c>
      <c r="J116" s="23" t="n"/>
      <c r="K116" s="32" t="n"/>
      <c r="L116" s="24" t="n"/>
    </row>
    <row r="117">
      <c r="A117" s="30" t="n"/>
      <c r="B117" s="23" t="n"/>
      <c r="C117" s="23" t="n"/>
      <c r="D117" s="31">
        <f>IF(B117="","","CWP"&amp;MID(B117,4,12))</f>
        <v/>
      </c>
      <c r="E117" s="32" t="n"/>
      <c r="F117" s="22" t="n"/>
      <c r="G117" s="22" t="n"/>
      <c r="H117" s="33">
        <f>IF(OR(F117="",F117=0),"",G117/F117)</f>
        <v/>
      </c>
      <c r="I117" s="31">
        <f>IF(H117="","",IF(H117=1,"LIBERAR","NO LIBERAR"))</f>
        <v/>
      </c>
      <c r="J117" s="23" t="n"/>
      <c r="K117" s="32" t="n"/>
      <c r="L117" s="24" t="n"/>
    </row>
    <row r="118">
      <c r="A118" s="30" t="n"/>
      <c r="B118" s="23" t="n"/>
      <c r="C118" s="23" t="n"/>
      <c r="D118" s="31">
        <f>IF(B118="","","CWP"&amp;MID(B118,4,12))</f>
        <v/>
      </c>
      <c r="E118" s="32" t="n"/>
      <c r="F118" s="22" t="n"/>
      <c r="G118" s="22" t="n"/>
      <c r="H118" s="33">
        <f>IF(OR(F118="",F118=0),"",G118/F118)</f>
        <v/>
      </c>
      <c r="I118" s="31">
        <f>IF(H118="","",IF(H118=1,"LIBERAR","NO LIBERAR"))</f>
        <v/>
      </c>
      <c r="J118" s="23" t="n"/>
      <c r="K118" s="32" t="n"/>
      <c r="L118" s="24" t="n"/>
    </row>
    <row r="119">
      <c r="A119" s="30" t="n"/>
      <c r="B119" s="23" t="n"/>
      <c r="C119" s="23" t="n"/>
      <c r="D119" s="31">
        <f>IF(B119="","","CWP"&amp;MID(B119,4,12))</f>
        <v/>
      </c>
      <c r="E119" s="32" t="n"/>
      <c r="F119" s="22" t="n"/>
      <c r="G119" s="22" t="n"/>
      <c r="H119" s="33">
        <f>IF(OR(F119="",F119=0),"",G119/F119)</f>
        <v/>
      </c>
      <c r="I119" s="31">
        <f>IF(H119="","",IF(H119=1,"LIBERAR","NO LIBERAR"))</f>
        <v/>
      </c>
      <c r="J119" s="23" t="n"/>
      <c r="K119" s="32" t="n"/>
      <c r="L119" s="24" t="n"/>
    </row>
    <row r="120">
      <c r="A120" s="30" t="n"/>
      <c r="B120" s="23" t="n"/>
      <c r="C120" s="23" t="n"/>
      <c r="D120" s="31">
        <f>IF(B120="","","CWP"&amp;MID(B120,4,12))</f>
        <v/>
      </c>
      <c r="E120" s="32" t="n"/>
      <c r="F120" s="22" t="n"/>
      <c r="G120" s="22" t="n"/>
      <c r="H120" s="33">
        <f>IF(OR(F120="",F120=0),"",G120/F120)</f>
        <v/>
      </c>
      <c r="I120" s="31">
        <f>IF(H120="","",IF(H120=1,"LIBERAR","NO LIBERAR"))</f>
        <v/>
      </c>
      <c r="J120" s="23" t="n"/>
      <c r="K120" s="32" t="n"/>
      <c r="L120" s="24" t="n"/>
    </row>
    <row r="121">
      <c r="A121" s="30" t="n"/>
      <c r="B121" s="23" t="n"/>
      <c r="C121" s="23" t="n"/>
      <c r="D121" s="31">
        <f>IF(B121="","","CWP"&amp;MID(B121,4,12))</f>
        <v/>
      </c>
      <c r="E121" s="32" t="n"/>
      <c r="F121" s="22" t="n"/>
      <c r="G121" s="22" t="n"/>
      <c r="H121" s="33">
        <f>IF(OR(F121="",F121=0),"",G121/F121)</f>
        <v/>
      </c>
      <c r="I121" s="31">
        <f>IF(H121="","",IF(H121=1,"LIBERAR","NO LIBERAR"))</f>
        <v/>
      </c>
      <c r="J121" s="23" t="n"/>
      <c r="K121" s="32" t="n"/>
      <c r="L121" s="24" t="n"/>
    </row>
    <row r="122">
      <c r="A122" s="30" t="n"/>
      <c r="B122" s="23" t="n"/>
      <c r="C122" s="23" t="n"/>
      <c r="D122" s="31">
        <f>IF(B122="","","CWP"&amp;MID(B122,4,12))</f>
        <v/>
      </c>
      <c r="E122" s="32" t="n"/>
      <c r="F122" s="22" t="n"/>
      <c r="G122" s="22" t="n"/>
      <c r="H122" s="33">
        <f>IF(OR(F122="",F122=0),"",G122/F122)</f>
        <v/>
      </c>
      <c r="I122" s="31">
        <f>IF(H122="","",IF(H122=1,"LIBERAR","NO LIBERAR"))</f>
        <v/>
      </c>
      <c r="J122" s="23" t="n"/>
      <c r="K122" s="32" t="n"/>
      <c r="L122" s="24" t="n"/>
    </row>
    <row r="123">
      <c r="A123" s="30" t="n"/>
      <c r="B123" s="23" t="n"/>
      <c r="C123" s="23" t="n"/>
      <c r="D123" s="31">
        <f>IF(B123="","","CWP"&amp;MID(B123,4,12))</f>
        <v/>
      </c>
      <c r="E123" s="32" t="n"/>
      <c r="F123" s="22" t="n"/>
      <c r="G123" s="22" t="n"/>
      <c r="H123" s="33">
        <f>IF(OR(F123="",F123=0),"",G123/F123)</f>
        <v/>
      </c>
      <c r="I123" s="31">
        <f>IF(H123="","",IF(H123=1,"LIBERAR","NO LIBERAR"))</f>
        <v/>
      </c>
      <c r="J123" s="23" t="n"/>
      <c r="K123" s="32" t="n"/>
      <c r="L123" s="24" t="n"/>
    </row>
    <row r="124">
      <c r="A124" s="30" t="n"/>
      <c r="B124" s="23" t="n"/>
      <c r="C124" s="23" t="n"/>
      <c r="D124" s="31">
        <f>IF(B124="","","CWP"&amp;MID(B124,4,12))</f>
        <v/>
      </c>
      <c r="E124" s="32" t="n"/>
      <c r="F124" s="22" t="n"/>
      <c r="G124" s="22" t="n"/>
      <c r="H124" s="33">
        <f>IF(OR(F124="",F124=0),"",G124/F124)</f>
        <v/>
      </c>
      <c r="I124" s="31">
        <f>IF(H124="","",IF(H124=1,"LIBERAR","NO LIBERAR"))</f>
        <v/>
      </c>
      <c r="J124" s="23" t="n"/>
      <c r="K124" s="32" t="n"/>
      <c r="L124" s="24" t="n"/>
    </row>
    <row r="125">
      <c r="A125" s="30" t="n"/>
      <c r="B125" s="23" t="n"/>
      <c r="C125" s="23" t="n"/>
      <c r="D125" s="31">
        <f>IF(B125="","","CWP"&amp;MID(B125,4,12))</f>
        <v/>
      </c>
      <c r="E125" s="32" t="n"/>
      <c r="F125" s="22" t="n"/>
      <c r="G125" s="22" t="n"/>
      <c r="H125" s="33">
        <f>IF(OR(F125="",F125=0),"",G125/F125)</f>
        <v/>
      </c>
      <c r="I125" s="31">
        <f>IF(H125="","",IF(H125=1,"LIBERAR","NO LIBERAR"))</f>
        <v/>
      </c>
      <c r="J125" s="23" t="n"/>
      <c r="K125" s="32" t="n"/>
      <c r="L125" s="24" t="n"/>
    </row>
    <row r="126">
      <c r="A126" s="30" t="n"/>
      <c r="B126" s="23" t="n"/>
      <c r="C126" s="23" t="n"/>
      <c r="D126" s="31">
        <f>IF(B126="","","CWP"&amp;MID(B126,4,12))</f>
        <v/>
      </c>
      <c r="E126" s="32" t="n"/>
      <c r="F126" s="22" t="n"/>
      <c r="G126" s="22" t="n"/>
      <c r="H126" s="33">
        <f>IF(OR(F126="",F126=0),"",G126/F126)</f>
        <v/>
      </c>
      <c r="I126" s="31">
        <f>IF(H126="","",IF(H126=1,"LIBERAR","NO LIBERAR"))</f>
        <v/>
      </c>
      <c r="J126" s="23" t="n"/>
      <c r="K126" s="32" t="n"/>
      <c r="L126" s="24" t="n"/>
    </row>
    <row r="127">
      <c r="A127" s="30" t="n"/>
      <c r="B127" s="23" t="n"/>
      <c r="C127" s="23" t="n"/>
      <c r="D127" s="31">
        <f>IF(B127="","","CWP"&amp;MID(B127,4,12))</f>
        <v/>
      </c>
      <c r="E127" s="32" t="n"/>
      <c r="F127" s="22" t="n"/>
      <c r="G127" s="22" t="n"/>
      <c r="H127" s="33">
        <f>IF(OR(F127="",F127=0),"",G127/F127)</f>
        <v/>
      </c>
      <c r="I127" s="31">
        <f>IF(H127="","",IF(H127=1,"LIBERAR","NO LIBERAR"))</f>
        <v/>
      </c>
      <c r="J127" s="23" t="n"/>
      <c r="K127" s="32" t="n"/>
      <c r="L127" s="24" t="n"/>
    </row>
    <row r="128">
      <c r="A128" s="30" t="n"/>
      <c r="B128" s="23" t="n"/>
      <c r="C128" s="23" t="n"/>
      <c r="D128" s="31">
        <f>IF(B128="","","CWP"&amp;MID(B128,4,12))</f>
        <v/>
      </c>
      <c r="E128" s="32" t="n"/>
      <c r="F128" s="22" t="n"/>
      <c r="G128" s="22" t="n"/>
      <c r="H128" s="33">
        <f>IF(OR(F128="",F128=0),"",G128/F128)</f>
        <v/>
      </c>
      <c r="I128" s="31">
        <f>IF(H128="","",IF(H128=1,"LIBERAR","NO LIBERAR"))</f>
        <v/>
      </c>
      <c r="J128" s="23" t="n"/>
      <c r="K128" s="32" t="n"/>
      <c r="L128" s="24" t="n"/>
    </row>
    <row r="129">
      <c r="A129" s="30" t="n"/>
      <c r="B129" s="23" t="n"/>
      <c r="C129" s="23" t="n"/>
      <c r="D129" s="31">
        <f>IF(B129="","","CWP"&amp;MID(B129,4,12))</f>
        <v/>
      </c>
      <c r="E129" s="32" t="n"/>
      <c r="F129" s="22" t="n"/>
      <c r="G129" s="22" t="n"/>
      <c r="H129" s="33">
        <f>IF(OR(F129="",F129=0),"",G129/F129)</f>
        <v/>
      </c>
      <c r="I129" s="31">
        <f>IF(H129="","",IF(H129=1,"LIBERAR","NO LIBERAR"))</f>
        <v/>
      </c>
      <c r="J129" s="23" t="n"/>
      <c r="K129" s="32" t="n"/>
      <c r="L129" s="24" t="n"/>
    </row>
    <row r="130">
      <c r="A130" s="30" t="n"/>
      <c r="B130" s="23" t="n"/>
      <c r="C130" s="23" t="n"/>
      <c r="D130" s="31">
        <f>IF(B130="","","CWP"&amp;MID(B130,4,12))</f>
        <v/>
      </c>
      <c r="E130" s="32" t="n"/>
      <c r="F130" s="22" t="n"/>
      <c r="G130" s="22" t="n"/>
      <c r="H130" s="33">
        <f>IF(OR(F130="",F130=0),"",G130/F130)</f>
        <v/>
      </c>
      <c r="I130" s="31">
        <f>IF(H130="","",IF(H130=1,"LIBERAR","NO LIBERAR"))</f>
        <v/>
      </c>
      <c r="J130" s="23" t="n"/>
      <c r="K130" s="32" t="n"/>
      <c r="L130" s="24" t="n"/>
    </row>
    <row r="131">
      <c r="A131" s="30" t="n"/>
      <c r="B131" s="23" t="n"/>
      <c r="C131" s="23" t="n"/>
      <c r="D131" s="31">
        <f>IF(B131="","","CWP"&amp;MID(B131,4,12))</f>
        <v/>
      </c>
      <c r="E131" s="32" t="n"/>
      <c r="F131" s="22" t="n"/>
      <c r="G131" s="22" t="n"/>
      <c r="H131" s="33">
        <f>IF(OR(F131="",F131=0),"",G131/F131)</f>
        <v/>
      </c>
      <c r="I131" s="31">
        <f>IF(H131="","",IF(H131=1,"LIBERAR","NO LIBERAR"))</f>
        <v/>
      </c>
      <c r="J131" s="23" t="n"/>
      <c r="K131" s="32" t="n"/>
      <c r="L131" s="24" t="n"/>
    </row>
    <row r="132">
      <c r="A132" s="30" t="n"/>
      <c r="B132" s="23" t="n"/>
      <c r="C132" s="23" t="n"/>
      <c r="D132" s="31">
        <f>IF(B132="","","CWP"&amp;MID(B132,4,12))</f>
        <v/>
      </c>
      <c r="E132" s="32" t="n"/>
      <c r="F132" s="22" t="n"/>
      <c r="G132" s="22" t="n"/>
      <c r="H132" s="33">
        <f>IF(OR(F132="",F132=0),"",G132/F132)</f>
        <v/>
      </c>
      <c r="I132" s="31">
        <f>IF(H132="","",IF(H132=1,"LIBERAR","NO LIBERAR"))</f>
        <v/>
      </c>
      <c r="J132" s="23" t="n"/>
      <c r="K132" s="32" t="n"/>
      <c r="L132" s="24" t="n"/>
    </row>
    <row r="133">
      <c r="A133" s="30" t="n"/>
      <c r="B133" s="23" t="n"/>
      <c r="C133" s="23" t="n"/>
      <c r="D133" s="31">
        <f>IF(B133="","","CWP"&amp;MID(B133,4,12))</f>
        <v/>
      </c>
      <c r="E133" s="32" t="n"/>
      <c r="F133" s="22" t="n"/>
      <c r="G133" s="22" t="n"/>
      <c r="H133" s="33">
        <f>IF(OR(F133="",F133=0),"",G133/F133)</f>
        <v/>
      </c>
      <c r="I133" s="31">
        <f>IF(H133="","",IF(H133=1,"LIBERAR","NO LIBERAR"))</f>
        <v/>
      </c>
      <c r="J133" s="23" t="n"/>
      <c r="K133" s="32" t="n"/>
      <c r="L133" s="24" t="n"/>
    </row>
    <row r="134">
      <c r="A134" s="30" t="n"/>
      <c r="B134" s="23" t="n"/>
      <c r="C134" s="23" t="n"/>
      <c r="D134" s="31">
        <f>IF(B134="","","CWP"&amp;MID(B134,4,12))</f>
        <v/>
      </c>
      <c r="E134" s="32" t="n"/>
      <c r="F134" s="22" t="n"/>
      <c r="G134" s="22" t="n"/>
      <c r="H134" s="33">
        <f>IF(OR(F134="",F134=0),"",G134/F134)</f>
        <v/>
      </c>
      <c r="I134" s="31">
        <f>IF(H134="","",IF(H134=1,"LIBERAR","NO LIBERAR"))</f>
        <v/>
      </c>
      <c r="J134" s="23" t="n"/>
      <c r="K134" s="32" t="n"/>
      <c r="L134" s="24" t="n"/>
    </row>
    <row r="135">
      <c r="A135" s="30" t="n"/>
      <c r="B135" s="23" t="n"/>
      <c r="C135" s="23" t="n"/>
      <c r="D135" s="31">
        <f>IF(B135="","","CWP"&amp;MID(B135,4,12))</f>
        <v/>
      </c>
      <c r="E135" s="32" t="n"/>
      <c r="F135" s="22" t="n"/>
      <c r="G135" s="22" t="n"/>
      <c r="H135" s="33">
        <f>IF(OR(F135="",F135=0),"",G135/F135)</f>
        <v/>
      </c>
      <c r="I135" s="31">
        <f>IF(H135="","",IF(H135=1,"LIBERAR","NO LIBERAR"))</f>
        <v/>
      </c>
      <c r="J135" s="23" t="n"/>
      <c r="K135" s="32" t="n"/>
      <c r="L135" s="24" t="n"/>
    </row>
    <row r="136">
      <c r="A136" s="30" t="n"/>
      <c r="B136" s="23" t="n"/>
      <c r="C136" s="23" t="n"/>
      <c r="D136" s="31">
        <f>IF(B136="","","CWP"&amp;MID(B136,4,12))</f>
        <v/>
      </c>
      <c r="E136" s="32" t="n"/>
      <c r="F136" s="22" t="n"/>
      <c r="G136" s="22" t="n"/>
      <c r="H136" s="33">
        <f>IF(OR(F136="",F136=0),"",G136/F136)</f>
        <v/>
      </c>
      <c r="I136" s="31">
        <f>IF(H136="","",IF(H136=1,"LIBERAR","NO LIBERAR"))</f>
        <v/>
      </c>
      <c r="J136" s="23" t="n"/>
      <c r="K136" s="32" t="n"/>
      <c r="L136" s="24" t="n"/>
    </row>
    <row r="137">
      <c r="A137" s="30" t="n"/>
      <c r="B137" s="23" t="n"/>
      <c r="C137" s="23" t="n"/>
      <c r="D137" s="31">
        <f>IF(B137="","","CWP"&amp;MID(B137,4,12))</f>
        <v/>
      </c>
      <c r="E137" s="32" t="n"/>
      <c r="F137" s="22" t="n"/>
      <c r="G137" s="22" t="n"/>
      <c r="H137" s="33">
        <f>IF(OR(F137="",F137=0),"",G137/F137)</f>
        <v/>
      </c>
      <c r="I137" s="31">
        <f>IF(H137="","",IF(H137=1,"LIBERAR","NO LIBERAR"))</f>
        <v/>
      </c>
      <c r="J137" s="23" t="n"/>
      <c r="K137" s="32" t="n"/>
      <c r="L137" s="24" t="n"/>
    </row>
    <row r="138">
      <c r="A138" s="30" t="n"/>
      <c r="B138" s="23" t="n"/>
      <c r="C138" s="23" t="n"/>
      <c r="D138" s="31">
        <f>IF(B138="","","CWP"&amp;MID(B138,4,12))</f>
        <v/>
      </c>
      <c r="E138" s="32" t="n"/>
      <c r="F138" s="22" t="n"/>
      <c r="G138" s="22" t="n"/>
      <c r="H138" s="33">
        <f>IF(OR(F138="",F138=0),"",G138/F138)</f>
        <v/>
      </c>
      <c r="I138" s="31">
        <f>IF(H138="","",IF(H138=1,"LIBERAR","NO LIBERAR"))</f>
        <v/>
      </c>
      <c r="J138" s="23" t="n"/>
      <c r="K138" s="32" t="n"/>
      <c r="L138" s="24" t="n"/>
    </row>
    <row r="139">
      <c r="A139" s="30" t="n"/>
      <c r="B139" s="23" t="n"/>
      <c r="C139" s="23" t="n"/>
      <c r="D139" s="31">
        <f>IF(B139="","","CWP"&amp;MID(B139,4,12))</f>
        <v/>
      </c>
      <c r="E139" s="32" t="n"/>
      <c r="F139" s="22" t="n"/>
      <c r="G139" s="22" t="n"/>
      <c r="H139" s="33">
        <f>IF(OR(F139="",F139=0),"",G139/F139)</f>
        <v/>
      </c>
      <c r="I139" s="31">
        <f>IF(H139="","",IF(H139=1,"LIBERAR","NO LIBERAR"))</f>
        <v/>
      </c>
      <c r="J139" s="23" t="n"/>
      <c r="K139" s="32" t="n"/>
      <c r="L139" s="24" t="n"/>
    </row>
    <row r="140">
      <c r="A140" s="30" t="n"/>
      <c r="B140" s="23" t="n"/>
      <c r="C140" s="23" t="n"/>
      <c r="D140" s="31">
        <f>IF(B140="","","CWP"&amp;MID(B140,4,12))</f>
        <v/>
      </c>
      <c r="E140" s="32" t="n"/>
      <c r="F140" s="22" t="n"/>
      <c r="G140" s="22" t="n"/>
      <c r="H140" s="33">
        <f>IF(OR(F140="",F140=0),"",G140/F140)</f>
        <v/>
      </c>
      <c r="I140" s="31">
        <f>IF(H140="","",IF(H140=1,"LIBERAR","NO LIBERAR"))</f>
        <v/>
      </c>
      <c r="J140" s="23" t="n"/>
      <c r="K140" s="32" t="n"/>
      <c r="L140" s="24" t="n"/>
    </row>
    <row r="141">
      <c r="A141" s="30" t="n"/>
      <c r="B141" s="23" t="n"/>
      <c r="C141" s="23" t="n"/>
      <c r="D141" s="31">
        <f>IF(B141="","","CWP"&amp;MID(B141,4,12))</f>
        <v/>
      </c>
      <c r="E141" s="32" t="n"/>
      <c r="F141" s="22" t="n"/>
      <c r="G141" s="22" t="n"/>
      <c r="H141" s="33">
        <f>IF(OR(F141="",F141=0),"",G141/F141)</f>
        <v/>
      </c>
      <c r="I141" s="31">
        <f>IF(H141="","",IF(H141=1,"LIBERAR","NO LIBERAR"))</f>
        <v/>
      </c>
      <c r="J141" s="23" t="n"/>
      <c r="K141" s="32" t="n"/>
      <c r="L141" s="24" t="n"/>
    </row>
    <row r="142">
      <c r="A142" s="30" t="n"/>
      <c r="B142" s="23" t="n"/>
      <c r="C142" s="23" t="n"/>
      <c r="D142" s="31">
        <f>IF(B142="","","CWP"&amp;MID(B142,4,12))</f>
        <v/>
      </c>
      <c r="E142" s="32" t="n"/>
      <c r="F142" s="22" t="n"/>
      <c r="G142" s="22" t="n"/>
      <c r="H142" s="33">
        <f>IF(OR(F142="",F142=0),"",G142/F142)</f>
        <v/>
      </c>
      <c r="I142" s="31">
        <f>IF(H142="","",IF(H142=1,"LIBERAR","NO LIBERAR"))</f>
        <v/>
      </c>
      <c r="J142" s="23" t="n"/>
      <c r="K142" s="32" t="n"/>
      <c r="L142" s="24" t="n"/>
    </row>
    <row r="143">
      <c r="A143" s="30" t="n"/>
      <c r="B143" s="23" t="n"/>
      <c r="C143" s="23" t="n"/>
      <c r="D143" s="31">
        <f>IF(B143="","","CWP"&amp;MID(B143,4,12))</f>
        <v/>
      </c>
      <c r="E143" s="32" t="n"/>
      <c r="F143" s="22" t="n"/>
      <c r="G143" s="22" t="n"/>
      <c r="H143" s="33">
        <f>IF(OR(F143="",F143=0),"",G143/F143)</f>
        <v/>
      </c>
      <c r="I143" s="31">
        <f>IF(H143="","",IF(H143=1,"LIBERAR","NO LIBERAR"))</f>
        <v/>
      </c>
      <c r="J143" s="23" t="n"/>
      <c r="K143" s="32" t="n"/>
      <c r="L143" s="24" t="n"/>
    </row>
    <row r="144">
      <c r="A144" s="30" t="n"/>
      <c r="B144" s="23" t="n"/>
      <c r="C144" s="23" t="n"/>
      <c r="D144" s="31">
        <f>IF(B144="","","CWP"&amp;MID(B144,4,12))</f>
        <v/>
      </c>
      <c r="E144" s="32" t="n"/>
      <c r="F144" s="22" t="n"/>
      <c r="G144" s="22" t="n"/>
      <c r="H144" s="33">
        <f>IF(OR(F144="",F144=0),"",G144/F144)</f>
        <v/>
      </c>
      <c r="I144" s="31">
        <f>IF(H144="","",IF(H144=1,"LIBERAR","NO LIBERAR"))</f>
        <v/>
      </c>
      <c r="J144" s="23" t="n"/>
      <c r="K144" s="32" t="n"/>
      <c r="L144" s="24" t="n"/>
    </row>
    <row r="145">
      <c r="A145" s="30" t="n"/>
      <c r="B145" s="23" t="n"/>
      <c r="C145" s="23" t="n"/>
      <c r="D145" s="31">
        <f>IF(B145="","","CWP"&amp;MID(B145,4,12))</f>
        <v/>
      </c>
      <c r="E145" s="32" t="n"/>
      <c r="F145" s="22" t="n"/>
      <c r="G145" s="22" t="n"/>
      <c r="H145" s="33">
        <f>IF(OR(F145="",F145=0),"",G145/F145)</f>
        <v/>
      </c>
      <c r="I145" s="31">
        <f>IF(H145="","",IF(H145=1,"LIBERAR","NO LIBERAR"))</f>
        <v/>
      </c>
      <c r="J145" s="23" t="n"/>
      <c r="K145" s="32" t="n"/>
      <c r="L145" s="24" t="n"/>
    </row>
    <row r="146">
      <c r="A146" s="30" t="n"/>
      <c r="B146" s="23" t="n"/>
      <c r="C146" s="23" t="n"/>
      <c r="D146" s="31">
        <f>IF(B146="","","CWP"&amp;MID(B146,4,12))</f>
        <v/>
      </c>
      <c r="E146" s="32" t="n"/>
      <c r="F146" s="22" t="n"/>
      <c r="G146" s="22" t="n"/>
      <c r="H146" s="33">
        <f>IF(OR(F146="",F146=0),"",G146/F146)</f>
        <v/>
      </c>
      <c r="I146" s="31">
        <f>IF(H146="","",IF(H146=1,"LIBERAR","NO LIBERAR"))</f>
        <v/>
      </c>
      <c r="J146" s="23" t="n"/>
      <c r="K146" s="32" t="n"/>
      <c r="L146" s="24" t="n"/>
    </row>
    <row r="147">
      <c r="A147" s="30" t="n"/>
      <c r="B147" s="23" t="n"/>
      <c r="C147" s="23" t="n"/>
      <c r="D147" s="31">
        <f>IF(B147="","","CWP"&amp;MID(B147,4,12))</f>
        <v/>
      </c>
      <c r="E147" s="32" t="n"/>
      <c r="F147" s="22" t="n"/>
      <c r="G147" s="22" t="n"/>
      <c r="H147" s="33">
        <f>IF(OR(F147="",F147=0),"",G147/F147)</f>
        <v/>
      </c>
      <c r="I147" s="31">
        <f>IF(H147="","",IF(H147=1,"LIBERAR","NO LIBERAR"))</f>
        <v/>
      </c>
      <c r="J147" s="23" t="n"/>
      <c r="K147" s="32" t="n"/>
      <c r="L147" s="24" t="n"/>
    </row>
    <row r="148">
      <c r="A148" s="30" t="n"/>
      <c r="B148" s="23" t="n"/>
      <c r="C148" s="23" t="n"/>
      <c r="D148" s="31">
        <f>IF(B148="","","CWP"&amp;MID(B148,4,12))</f>
        <v/>
      </c>
      <c r="E148" s="32" t="n"/>
      <c r="F148" s="22" t="n"/>
      <c r="G148" s="22" t="n"/>
      <c r="H148" s="33">
        <f>IF(OR(F148="",F148=0),"",G148/F148)</f>
        <v/>
      </c>
      <c r="I148" s="31">
        <f>IF(H148="","",IF(H148=1,"LIBERAR","NO LIBERAR"))</f>
        <v/>
      </c>
      <c r="J148" s="23" t="n"/>
      <c r="K148" s="32" t="n"/>
      <c r="L148" s="24" t="n"/>
    </row>
    <row r="149">
      <c r="A149" s="30" t="n"/>
      <c r="B149" s="23" t="n"/>
      <c r="C149" s="23" t="n"/>
      <c r="D149" s="31">
        <f>IF(B149="","","CWP"&amp;MID(B149,4,12))</f>
        <v/>
      </c>
      <c r="E149" s="32" t="n"/>
      <c r="F149" s="22" t="n"/>
      <c r="G149" s="22" t="n"/>
      <c r="H149" s="33">
        <f>IF(OR(F149="",F149=0),"",G149/F149)</f>
        <v/>
      </c>
      <c r="I149" s="31">
        <f>IF(H149="","",IF(H149=1,"LIBERAR","NO LIBERAR"))</f>
        <v/>
      </c>
      <c r="J149" s="23" t="n"/>
      <c r="K149" s="32" t="n"/>
      <c r="L149" s="24" t="n"/>
    </row>
    <row r="150">
      <c r="A150" s="30" t="n"/>
      <c r="B150" s="23" t="n"/>
      <c r="C150" s="23" t="n"/>
      <c r="D150" s="31">
        <f>IF(B150="","","CWP"&amp;MID(B150,4,12))</f>
        <v/>
      </c>
      <c r="E150" s="32" t="n"/>
      <c r="F150" s="22" t="n"/>
      <c r="G150" s="22" t="n"/>
      <c r="H150" s="33">
        <f>IF(OR(F150="",F150=0),"",G150/F150)</f>
        <v/>
      </c>
      <c r="I150" s="31">
        <f>IF(H150="","",IF(H150=1,"LIBERAR","NO LIBERAR"))</f>
        <v/>
      </c>
      <c r="J150" s="23" t="n"/>
      <c r="K150" s="32" t="n"/>
      <c r="L150" s="24" t="n"/>
    </row>
    <row r="151">
      <c r="A151" s="30" t="n"/>
      <c r="B151" s="23" t="n"/>
      <c r="C151" s="23" t="n"/>
      <c r="D151" s="31">
        <f>IF(B151="","","CWP"&amp;MID(B151,4,12))</f>
        <v/>
      </c>
      <c r="E151" s="32" t="n"/>
      <c r="F151" s="22" t="n"/>
      <c r="G151" s="22" t="n"/>
      <c r="H151" s="33">
        <f>IF(OR(F151="",F151=0),"",G151/F151)</f>
        <v/>
      </c>
      <c r="I151" s="31">
        <f>IF(H151="","",IF(H151=1,"LIBERAR","NO LIBERAR"))</f>
        <v/>
      </c>
      <c r="J151" s="23" t="n"/>
      <c r="K151" s="32" t="n"/>
      <c r="L151" s="24" t="n"/>
    </row>
    <row r="152">
      <c r="A152" s="30" t="n"/>
      <c r="B152" s="23" t="n"/>
      <c r="C152" s="23" t="n"/>
      <c r="D152" s="31">
        <f>IF(B152="","","CWP"&amp;MID(B152,4,12))</f>
        <v/>
      </c>
      <c r="E152" s="32" t="n"/>
      <c r="F152" s="22" t="n"/>
      <c r="G152" s="22" t="n"/>
      <c r="H152" s="33">
        <f>IF(OR(F152="",F152=0),"",G152/F152)</f>
        <v/>
      </c>
      <c r="I152" s="31">
        <f>IF(H152="","",IF(H152=1,"LIBERAR","NO LIBERAR"))</f>
        <v/>
      </c>
      <c r="J152" s="23" t="n"/>
      <c r="K152" s="32" t="n"/>
      <c r="L152" s="24" t="n"/>
    </row>
    <row r="153">
      <c r="A153" s="30" t="n"/>
      <c r="B153" s="23" t="n"/>
      <c r="C153" s="23" t="n"/>
      <c r="D153" s="31">
        <f>IF(B153="","","CWP"&amp;MID(B153,4,12))</f>
        <v/>
      </c>
      <c r="E153" s="32" t="n"/>
      <c r="F153" s="22" t="n"/>
      <c r="G153" s="22" t="n"/>
      <c r="H153" s="33">
        <f>IF(OR(F153="",F153=0),"",G153/F153)</f>
        <v/>
      </c>
      <c r="I153" s="31">
        <f>IF(H153="","",IF(H153=1,"LIBERAR","NO LIBERAR"))</f>
        <v/>
      </c>
      <c r="J153" s="23" t="n"/>
      <c r="K153" s="32" t="n"/>
      <c r="L153" s="24" t="n"/>
    </row>
    <row r="154">
      <c r="A154" s="30" t="n"/>
      <c r="B154" s="23" t="n"/>
      <c r="C154" s="23" t="n"/>
      <c r="D154" s="31">
        <f>IF(B154="","","CWP"&amp;MID(B154,4,12))</f>
        <v/>
      </c>
      <c r="E154" s="32" t="n"/>
      <c r="F154" s="22" t="n"/>
      <c r="G154" s="22" t="n"/>
      <c r="H154" s="33">
        <f>IF(OR(F154="",F154=0),"",G154/F154)</f>
        <v/>
      </c>
      <c r="I154" s="31">
        <f>IF(H154="","",IF(H154=1,"LIBERAR","NO LIBERAR"))</f>
        <v/>
      </c>
      <c r="J154" s="23" t="n"/>
      <c r="K154" s="32" t="n"/>
      <c r="L154" s="24" t="n"/>
    </row>
    <row r="155">
      <c r="A155" s="30" t="n"/>
      <c r="B155" s="23" t="n"/>
      <c r="C155" s="23" t="n"/>
      <c r="D155" s="31">
        <f>IF(B155="","","CWP"&amp;MID(B155,4,12))</f>
        <v/>
      </c>
      <c r="E155" s="32" t="n"/>
      <c r="F155" s="22" t="n"/>
      <c r="G155" s="22" t="n"/>
      <c r="H155" s="33">
        <f>IF(OR(F155="",F155=0),"",G155/F155)</f>
        <v/>
      </c>
      <c r="I155" s="31">
        <f>IF(H155="","",IF(H155=1,"LIBERAR","NO LIBERAR"))</f>
        <v/>
      </c>
      <c r="J155" s="23" t="n"/>
      <c r="K155" s="32" t="n"/>
      <c r="L155" s="24" t="n"/>
    </row>
    <row r="156">
      <c r="A156" s="30" t="n"/>
      <c r="B156" s="23" t="n"/>
      <c r="C156" s="23" t="n"/>
      <c r="D156" s="31">
        <f>IF(B156="","","CWP"&amp;MID(B156,4,12))</f>
        <v/>
      </c>
      <c r="E156" s="32" t="n"/>
      <c r="F156" s="22" t="n"/>
      <c r="G156" s="22" t="n"/>
      <c r="H156" s="33">
        <f>IF(OR(F156="",F156=0),"",G156/F156)</f>
        <v/>
      </c>
      <c r="I156" s="31">
        <f>IF(H156="","",IF(H156=1,"LIBERAR","NO LIBERAR"))</f>
        <v/>
      </c>
      <c r="J156" s="23" t="n"/>
      <c r="K156" s="32" t="n"/>
      <c r="L156" s="24" t="n"/>
    </row>
    <row r="157">
      <c r="A157" s="30" t="n"/>
      <c r="B157" s="23" t="n"/>
      <c r="C157" s="23" t="n"/>
      <c r="D157" s="31">
        <f>IF(B157="","","CWP"&amp;MID(B157,4,12))</f>
        <v/>
      </c>
      <c r="E157" s="32" t="n"/>
      <c r="F157" s="22" t="n"/>
      <c r="G157" s="22" t="n"/>
      <c r="H157" s="33">
        <f>IF(OR(F157="",F157=0),"",G157/F157)</f>
        <v/>
      </c>
      <c r="I157" s="31">
        <f>IF(H157="","",IF(H157=1,"LIBERAR","NO LIBERAR"))</f>
        <v/>
      </c>
      <c r="J157" s="23" t="n"/>
      <c r="K157" s="32" t="n"/>
      <c r="L157" s="24" t="n"/>
    </row>
    <row r="158">
      <c r="A158" s="30" t="n"/>
      <c r="B158" s="23" t="n"/>
      <c r="C158" s="23" t="n"/>
      <c r="D158" s="31">
        <f>IF(B158="","","CWP"&amp;MID(B158,4,12))</f>
        <v/>
      </c>
      <c r="E158" s="32" t="n"/>
      <c r="F158" s="22" t="n"/>
      <c r="G158" s="22" t="n"/>
      <c r="H158" s="33">
        <f>IF(OR(F158="",F158=0),"",G158/F158)</f>
        <v/>
      </c>
      <c r="I158" s="31">
        <f>IF(H158="","",IF(H158=1,"LIBERAR","NO LIBERAR"))</f>
        <v/>
      </c>
      <c r="J158" s="23" t="n"/>
      <c r="K158" s="32" t="n"/>
      <c r="L158" s="24" t="n"/>
    </row>
    <row r="159">
      <c r="A159" s="30" t="n"/>
      <c r="B159" s="23" t="n"/>
      <c r="C159" s="23" t="n"/>
      <c r="D159" s="31">
        <f>IF(B159="","","CWP"&amp;MID(B159,4,12))</f>
        <v/>
      </c>
      <c r="E159" s="32" t="n"/>
      <c r="F159" s="22" t="n"/>
      <c r="G159" s="22" t="n"/>
      <c r="H159" s="33">
        <f>IF(OR(F159="",F159=0),"",G159/F159)</f>
        <v/>
      </c>
      <c r="I159" s="31">
        <f>IF(H159="","",IF(H159=1,"LIBERAR","NO LIBERAR"))</f>
        <v/>
      </c>
      <c r="J159" s="23" t="n"/>
      <c r="K159" s="32" t="n"/>
      <c r="L159" s="24" t="n"/>
    </row>
    <row r="160">
      <c r="A160" s="30" t="n"/>
      <c r="B160" s="23" t="n"/>
      <c r="C160" s="23" t="n"/>
      <c r="D160" s="31">
        <f>IF(B160="","","CWP"&amp;MID(B160,4,12))</f>
        <v/>
      </c>
      <c r="E160" s="32" t="n"/>
      <c r="F160" s="22" t="n"/>
      <c r="G160" s="22" t="n"/>
      <c r="H160" s="33">
        <f>IF(OR(F160="",F160=0),"",G160/F160)</f>
        <v/>
      </c>
      <c r="I160" s="31">
        <f>IF(H160="","",IF(H160=1,"LIBERAR","NO LIBERAR"))</f>
        <v/>
      </c>
      <c r="J160" s="23" t="n"/>
      <c r="K160" s="32" t="n"/>
      <c r="L160" s="24" t="n"/>
    </row>
    <row r="161">
      <c r="A161" s="30" t="n"/>
      <c r="B161" s="23" t="n"/>
      <c r="C161" s="23" t="n"/>
      <c r="D161" s="31">
        <f>IF(B161="","","CWP"&amp;MID(B161,4,12))</f>
        <v/>
      </c>
      <c r="E161" s="32" t="n"/>
      <c r="F161" s="22" t="n"/>
      <c r="G161" s="22" t="n"/>
      <c r="H161" s="33">
        <f>IF(OR(F161="",F161=0),"",G161/F161)</f>
        <v/>
      </c>
      <c r="I161" s="31">
        <f>IF(H161="","",IF(H161=1,"LIBERAR","NO LIBERAR"))</f>
        <v/>
      </c>
      <c r="J161" s="23" t="n"/>
      <c r="K161" s="32" t="n"/>
      <c r="L161" s="24" t="n"/>
    </row>
    <row r="162">
      <c r="A162" s="30" t="n"/>
      <c r="B162" s="23" t="n"/>
      <c r="C162" s="23" t="n"/>
      <c r="D162" s="31">
        <f>IF(B162="","","CWP"&amp;MID(B162,4,12))</f>
        <v/>
      </c>
      <c r="E162" s="32" t="n"/>
      <c r="F162" s="22" t="n"/>
      <c r="G162" s="22" t="n"/>
      <c r="H162" s="33">
        <f>IF(OR(F162="",F162=0),"",G162/F162)</f>
        <v/>
      </c>
      <c r="I162" s="31">
        <f>IF(H162="","",IF(H162=1,"LIBERAR","NO LIBERAR"))</f>
        <v/>
      </c>
      <c r="J162" s="23" t="n"/>
      <c r="K162" s="32" t="n"/>
      <c r="L162" s="24" t="n"/>
    </row>
    <row r="163">
      <c r="A163" s="30" t="n"/>
      <c r="B163" s="23" t="n"/>
      <c r="C163" s="23" t="n"/>
      <c r="D163" s="31">
        <f>IF(B163="","","CWP"&amp;MID(B163,4,12))</f>
        <v/>
      </c>
      <c r="E163" s="32" t="n"/>
      <c r="F163" s="22" t="n"/>
      <c r="G163" s="22" t="n"/>
      <c r="H163" s="33">
        <f>IF(OR(F163="",F163=0),"",G163/F163)</f>
        <v/>
      </c>
      <c r="I163" s="31">
        <f>IF(H163="","",IF(H163=1,"LIBERAR","NO LIBERAR"))</f>
        <v/>
      </c>
      <c r="J163" s="23" t="n"/>
      <c r="K163" s="32" t="n"/>
      <c r="L163" s="24" t="n"/>
    </row>
    <row r="164">
      <c r="A164" s="30" t="n"/>
      <c r="B164" s="23" t="n"/>
      <c r="C164" s="23" t="n"/>
      <c r="D164" s="31">
        <f>IF(B164="","","CWP"&amp;MID(B164,4,12))</f>
        <v/>
      </c>
      <c r="E164" s="32" t="n"/>
      <c r="F164" s="22" t="n"/>
      <c r="G164" s="22" t="n"/>
      <c r="H164" s="33">
        <f>IF(OR(F164="",F164=0),"",G164/F164)</f>
        <v/>
      </c>
      <c r="I164" s="31">
        <f>IF(H164="","",IF(H164=1,"LIBERAR","NO LIBERAR"))</f>
        <v/>
      </c>
      <c r="J164" s="23" t="n"/>
      <c r="K164" s="32" t="n"/>
      <c r="L164" s="24" t="n"/>
    </row>
    <row r="165">
      <c r="A165" s="30" t="n"/>
      <c r="B165" s="23" t="n"/>
      <c r="C165" s="23" t="n"/>
      <c r="D165" s="31">
        <f>IF(B165="","","CWP"&amp;MID(B165,4,12))</f>
        <v/>
      </c>
      <c r="E165" s="32" t="n"/>
      <c r="F165" s="22" t="n"/>
      <c r="G165" s="22" t="n"/>
      <c r="H165" s="33">
        <f>IF(OR(F165="",F165=0),"",G165/F165)</f>
        <v/>
      </c>
      <c r="I165" s="31">
        <f>IF(H165="","",IF(H165=1,"LIBERAR","NO LIBERAR"))</f>
        <v/>
      </c>
      <c r="J165" s="23" t="n"/>
      <c r="K165" s="32" t="n"/>
      <c r="L165" s="24" t="n"/>
    </row>
    <row r="166">
      <c r="A166" s="30" t="n"/>
      <c r="B166" s="23" t="n"/>
      <c r="C166" s="23" t="n"/>
      <c r="D166" s="31">
        <f>IF(B166="","","CWP"&amp;MID(B166,4,12))</f>
        <v/>
      </c>
      <c r="E166" s="32" t="n"/>
      <c r="F166" s="22" t="n"/>
      <c r="G166" s="22" t="n"/>
      <c r="H166" s="33">
        <f>IF(OR(F166="",F166=0),"",G166/F166)</f>
        <v/>
      </c>
      <c r="I166" s="31">
        <f>IF(H166="","",IF(H166=1,"LIBERAR","NO LIBERAR"))</f>
        <v/>
      </c>
      <c r="J166" s="23" t="n"/>
      <c r="K166" s="32" t="n"/>
      <c r="L166" s="24" t="n"/>
    </row>
    <row r="167">
      <c r="A167" s="30" t="n"/>
      <c r="B167" s="23" t="n"/>
      <c r="C167" s="23" t="n"/>
      <c r="D167" s="31">
        <f>IF(B167="","","CWP"&amp;MID(B167,4,12))</f>
        <v/>
      </c>
      <c r="E167" s="32" t="n"/>
      <c r="F167" s="22" t="n"/>
      <c r="G167" s="22" t="n"/>
      <c r="H167" s="33">
        <f>IF(OR(F167="",F167=0),"",G167/F167)</f>
        <v/>
      </c>
      <c r="I167" s="31">
        <f>IF(H167="","",IF(H167=1,"LIBERAR","NO LIBERAR"))</f>
        <v/>
      </c>
      <c r="J167" s="23" t="n"/>
      <c r="K167" s="32" t="n"/>
      <c r="L167" s="24" t="n"/>
    </row>
    <row r="168">
      <c r="A168" s="30" t="n"/>
      <c r="B168" s="23" t="n"/>
      <c r="C168" s="23" t="n"/>
      <c r="D168" s="31">
        <f>IF(B168="","","CWP"&amp;MID(B168,4,12))</f>
        <v/>
      </c>
      <c r="E168" s="32" t="n"/>
      <c r="F168" s="22" t="n"/>
      <c r="G168" s="22" t="n"/>
      <c r="H168" s="33">
        <f>IF(OR(F168="",F168=0),"",G168/F168)</f>
        <v/>
      </c>
      <c r="I168" s="31">
        <f>IF(H168="","",IF(H168=1,"LIBERAR","NO LIBERAR"))</f>
        <v/>
      </c>
      <c r="J168" s="23" t="n"/>
      <c r="K168" s="32" t="n"/>
      <c r="L168" s="24" t="n"/>
    </row>
    <row r="169">
      <c r="A169" s="30" t="n"/>
      <c r="B169" s="23" t="n"/>
      <c r="C169" s="23" t="n"/>
      <c r="D169" s="31">
        <f>IF(B169="","","CWP"&amp;MID(B169,4,12))</f>
        <v/>
      </c>
      <c r="E169" s="32" t="n"/>
      <c r="F169" s="22" t="n"/>
      <c r="G169" s="22" t="n"/>
      <c r="H169" s="33">
        <f>IF(OR(F169="",F169=0),"",G169/F169)</f>
        <v/>
      </c>
      <c r="I169" s="31">
        <f>IF(H169="","",IF(H169=1,"LIBERAR","NO LIBERAR"))</f>
        <v/>
      </c>
      <c r="J169" s="23" t="n"/>
      <c r="K169" s="32" t="n"/>
      <c r="L169" s="24" t="n"/>
    </row>
    <row r="170">
      <c r="A170" s="30" t="n"/>
      <c r="B170" s="23" t="n"/>
      <c r="C170" s="23" t="n"/>
      <c r="D170" s="31">
        <f>IF(B170="","","CWP"&amp;MID(B170,4,12))</f>
        <v/>
      </c>
      <c r="E170" s="32" t="n"/>
      <c r="F170" s="22" t="n"/>
      <c r="G170" s="22" t="n"/>
      <c r="H170" s="33">
        <f>IF(OR(F170="",F170=0),"",G170/F170)</f>
        <v/>
      </c>
      <c r="I170" s="31">
        <f>IF(H170="","",IF(H170=1,"LIBERAR","NO LIBERAR"))</f>
        <v/>
      </c>
      <c r="J170" s="23" t="n"/>
      <c r="K170" s="32" t="n"/>
      <c r="L170" s="24" t="n"/>
    </row>
    <row r="171">
      <c r="A171" s="30" t="n"/>
      <c r="B171" s="23" t="n"/>
      <c r="C171" s="23" t="n"/>
      <c r="D171" s="31">
        <f>IF(B171="","","CWP"&amp;MID(B171,4,12))</f>
        <v/>
      </c>
      <c r="E171" s="32" t="n"/>
      <c r="F171" s="22" t="n"/>
      <c r="G171" s="22" t="n"/>
      <c r="H171" s="33">
        <f>IF(OR(F171="",F171=0),"",G171/F171)</f>
        <v/>
      </c>
      <c r="I171" s="31">
        <f>IF(H171="","",IF(H171=1,"LIBERAR","NO LIBERAR"))</f>
        <v/>
      </c>
      <c r="J171" s="23" t="n"/>
      <c r="K171" s="32" t="n"/>
      <c r="L171" s="24" t="n"/>
    </row>
    <row r="172">
      <c r="A172" s="30" t="n"/>
      <c r="B172" s="23" t="n"/>
      <c r="C172" s="23" t="n"/>
      <c r="D172" s="31">
        <f>IF(B172="","","CWP"&amp;MID(B172,4,12))</f>
        <v/>
      </c>
      <c r="E172" s="32" t="n"/>
      <c r="F172" s="22" t="n"/>
      <c r="G172" s="22" t="n"/>
      <c r="H172" s="33">
        <f>IF(OR(F172="",F172=0),"",G172/F172)</f>
        <v/>
      </c>
      <c r="I172" s="31">
        <f>IF(H172="","",IF(H172=1,"LIBERAR","NO LIBERAR"))</f>
        <v/>
      </c>
      <c r="J172" s="23" t="n"/>
      <c r="K172" s="32" t="n"/>
      <c r="L172" s="24" t="n"/>
    </row>
    <row r="173">
      <c r="A173" s="30" t="n"/>
      <c r="B173" s="23" t="n"/>
      <c r="C173" s="23" t="n"/>
      <c r="D173" s="31">
        <f>IF(B173="","","CWP"&amp;MID(B173,4,12))</f>
        <v/>
      </c>
      <c r="E173" s="32" t="n"/>
      <c r="F173" s="22" t="n"/>
      <c r="G173" s="22" t="n"/>
      <c r="H173" s="33">
        <f>IF(OR(F173="",F173=0),"",G173/F173)</f>
        <v/>
      </c>
      <c r="I173" s="31">
        <f>IF(H173="","",IF(H173=1,"LIBERAR","NO LIBERAR"))</f>
        <v/>
      </c>
      <c r="J173" s="23" t="n"/>
      <c r="K173" s="32" t="n"/>
      <c r="L173" s="24" t="n"/>
    </row>
    <row r="174">
      <c r="A174" s="30" t="n"/>
      <c r="B174" s="23" t="n"/>
      <c r="C174" s="23" t="n"/>
      <c r="D174" s="31">
        <f>IF(B174="","","CWP"&amp;MID(B174,4,12))</f>
        <v/>
      </c>
      <c r="E174" s="32" t="n"/>
      <c r="F174" s="22" t="n"/>
      <c r="G174" s="22" t="n"/>
      <c r="H174" s="33">
        <f>IF(OR(F174="",F174=0),"",G174/F174)</f>
        <v/>
      </c>
      <c r="I174" s="31">
        <f>IF(H174="","",IF(H174=1,"LIBERAR","NO LIBERAR"))</f>
        <v/>
      </c>
      <c r="J174" s="23" t="n"/>
      <c r="K174" s="32" t="n"/>
      <c r="L174" s="24" t="n"/>
    </row>
    <row r="175">
      <c r="A175" s="30" t="n"/>
      <c r="B175" s="23" t="n"/>
      <c r="C175" s="23" t="n"/>
      <c r="D175" s="31">
        <f>IF(B175="","","CWP"&amp;MID(B175,4,12))</f>
        <v/>
      </c>
      <c r="E175" s="32" t="n"/>
      <c r="F175" s="22" t="n"/>
      <c r="G175" s="22" t="n"/>
      <c r="H175" s="33">
        <f>IF(OR(F175="",F175=0),"",G175/F175)</f>
        <v/>
      </c>
      <c r="I175" s="31">
        <f>IF(H175="","",IF(H175=1,"LIBERAR","NO LIBERAR"))</f>
        <v/>
      </c>
      <c r="J175" s="23" t="n"/>
      <c r="K175" s="32" t="n"/>
      <c r="L175" s="24" t="n"/>
    </row>
    <row r="176">
      <c r="A176" s="30" t="n"/>
      <c r="B176" s="23" t="n"/>
      <c r="C176" s="23" t="n"/>
      <c r="D176" s="31">
        <f>IF(B176="","","CWP"&amp;MID(B176,4,12))</f>
        <v/>
      </c>
      <c r="E176" s="32" t="n"/>
      <c r="F176" s="22" t="n"/>
      <c r="G176" s="22" t="n"/>
      <c r="H176" s="33">
        <f>IF(OR(F176="",F176=0),"",G176/F176)</f>
        <v/>
      </c>
      <c r="I176" s="31">
        <f>IF(H176="","",IF(H176=1,"LIBERAR","NO LIBERAR"))</f>
        <v/>
      </c>
      <c r="J176" s="23" t="n"/>
      <c r="K176" s="32" t="n"/>
      <c r="L176" s="24" t="n"/>
    </row>
    <row r="177">
      <c r="A177" s="30" t="n"/>
      <c r="B177" s="23" t="n"/>
      <c r="C177" s="23" t="n"/>
      <c r="D177" s="31">
        <f>IF(B177="","","CWP"&amp;MID(B177,4,12))</f>
        <v/>
      </c>
      <c r="E177" s="32" t="n"/>
      <c r="F177" s="22" t="n"/>
      <c r="G177" s="22" t="n"/>
      <c r="H177" s="33">
        <f>IF(OR(F177="",F177=0),"",G177/F177)</f>
        <v/>
      </c>
      <c r="I177" s="31">
        <f>IF(H177="","",IF(H177=1,"LIBERAR","NO LIBERAR"))</f>
        <v/>
      </c>
      <c r="J177" s="23" t="n"/>
      <c r="K177" s="32" t="n"/>
      <c r="L177" s="24" t="n"/>
    </row>
    <row r="178">
      <c r="A178" s="30" t="n"/>
      <c r="B178" s="23" t="n"/>
      <c r="C178" s="23" t="n"/>
      <c r="D178" s="31">
        <f>IF(B178="","","CWP"&amp;MID(B178,4,12))</f>
        <v/>
      </c>
      <c r="E178" s="32" t="n"/>
      <c r="F178" s="22" t="n"/>
      <c r="G178" s="22" t="n"/>
      <c r="H178" s="33">
        <f>IF(OR(F178="",F178=0),"",G178/F178)</f>
        <v/>
      </c>
      <c r="I178" s="31">
        <f>IF(H178="","",IF(H178=1,"LIBERAR","NO LIBERAR"))</f>
        <v/>
      </c>
      <c r="J178" s="23" t="n"/>
      <c r="K178" s="32" t="n"/>
      <c r="L178" s="24" t="n"/>
    </row>
    <row r="179">
      <c r="A179" s="30" t="n"/>
      <c r="B179" s="23" t="n"/>
      <c r="C179" s="23" t="n"/>
      <c r="D179" s="31">
        <f>IF(B179="","","CWP"&amp;MID(B179,4,12))</f>
        <v/>
      </c>
      <c r="E179" s="32" t="n"/>
      <c r="F179" s="22" t="n"/>
      <c r="G179" s="22" t="n"/>
      <c r="H179" s="33">
        <f>IF(OR(F179="",F179=0),"",G179/F179)</f>
        <v/>
      </c>
      <c r="I179" s="31">
        <f>IF(H179="","",IF(H179=1,"LIBERAR","NO LIBERAR"))</f>
        <v/>
      </c>
      <c r="J179" s="23" t="n"/>
      <c r="K179" s="32" t="n"/>
      <c r="L179" s="24" t="n"/>
    </row>
    <row r="180">
      <c r="A180" s="30" t="n"/>
      <c r="B180" s="23" t="n"/>
      <c r="C180" s="23" t="n"/>
      <c r="D180" s="31">
        <f>IF(B180="","","CWP"&amp;MID(B180,4,12))</f>
        <v/>
      </c>
      <c r="E180" s="32" t="n"/>
      <c r="F180" s="22" t="n"/>
      <c r="G180" s="22" t="n"/>
      <c r="H180" s="33">
        <f>IF(OR(F180="",F180=0),"",G180/F180)</f>
        <v/>
      </c>
      <c r="I180" s="31">
        <f>IF(H180="","",IF(H180=1,"LIBERAR","NO LIBERAR"))</f>
        <v/>
      </c>
      <c r="J180" s="23" t="n"/>
      <c r="K180" s="32" t="n"/>
      <c r="L180" s="24" t="n"/>
    </row>
    <row r="181">
      <c r="A181" s="30" t="n"/>
      <c r="B181" s="23" t="n"/>
      <c r="C181" s="23" t="n"/>
      <c r="D181" s="31">
        <f>IF(B181="","","CWP"&amp;MID(B181,4,12))</f>
        <v/>
      </c>
      <c r="E181" s="32" t="n"/>
      <c r="F181" s="22" t="n"/>
      <c r="G181" s="22" t="n"/>
      <c r="H181" s="33">
        <f>IF(OR(F181="",F181=0),"",G181/F181)</f>
        <v/>
      </c>
      <c r="I181" s="31">
        <f>IF(H181="","",IF(H181=1,"LIBERAR","NO LIBERAR"))</f>
        <v/>
      </c>
      <c r="J181" s="23" t="n"/>
      <c r="K181" s="32" t="n"/>
      <c r="L181" s="24" t="n"/>
    </row>
    <row r="182">
      <c r="A182" s="30" t="n"/>
      <c r="B182" s="23" t="n"/>
      <c r="C182" s="23" t="n"/>
      <c r="D182" s="31">
        <f>IF(B182="","","CWP"&amp;MID(B182,4,12))</f>
        <v/>
      </c>
      <c r="E182" s="32" t="n"/>
      <c r="F182" s="22" t="n"/>
      <c r="G182" s="22" t="n"/>
      <c r="H182" s="33">
        <f>IF(OR(F182="",F182=0),"",G182/F182)</f>
        <v/>
      </c>
      <c r="I182" s="31">
        <f>IF(H182="","",IF(H182=1,"LIBERAR","NO LIBERAR"))</f>
        <v/>
      </c>
      <c r="J182" s="23" t="n"/>
      <c r="K182" s="32" t="n"/>
      <c r="L182" s="24" t="n"/>
    </row>
    <row r="183">
      <c r="A183" s="30" t="n"/>
      <c r="B183" s="23" t="n"/>
      <c r="C183" s="23" t="n"/>
      <c r="D183" s="31">
        <f>IF(B183="","","CWP"&amp;MID(B183,4,12))</f>
        <v/>
      </c>
      <c r="E183" s="32" t="n"/>
      <c r="F183" s="22" t="n"/>
      <c r="G183" s="22" t="n"/>
      <c r="H183" s="33">
        <f>IF(OR(F183="",F183=0),"",G183/F183)</f>
        <v/>
      </c>
      <c r="I183" s="31">
        <f>IF(H183="","",IF(H183=1,"LIBERAR","NO LIBERAR"))</f>
        <v/>
      </c>
      <c r="J183" s="23" t="n"/>
      <c r="K183" s="32" t="n"/>
      <c r="L183" s="24" t="n"/>
    </row>
    <row r="184">
      <c r="A184" s="30" t="n"/>
      <c r="B184" s="23" t="n"/>
      <c r="C184" s="23" t="n"/>
      <c r="D184" s="31">
        <f>IF(B184="","","CWP"&amp;MID(B184,4,12))</f>
        <v/>
      </c>
      <c r="E184" s="32" t="n"/>
      <c r="F184" s="22" t="n"/>
      <c r="G184" s="22" t="n"/>
      <c r="H184" s="33">
        <f>IF(OR(F184="",F184=0),"",G184/F184)</f>
        <v/>
      </c>
      <c r="I184" s="31">
        <f>IF(H184="","",IF(H184=1,"LIBERAR","NO LIBERAR"))</f>
        <v/>
      </c>
      <c r="J184" s="23" t="n"/>
      <c r="K184" s="32" t="n"/>
      <c r="L184" s="24" t="n"/>
    </row>
    <row r="185">
      <c r="A185" s="30" t="n"/>
      <c r="B185" s="23" t="n"/>
      <c r="C185" s="23" t="n"/>
      <c r="D185" s="31">
        <f>IF(B185="","","CWP"&amp;MID(B185,4,12))</f>
        <v/>
      </c>
      <c r="E185" s="32" t="n"/>
      <c r="F185" s="22" t="n"/>
      <c r="G185" s="22" t="n"/>
      <c r="H185" s="33">
        <f>IF(OR(F185="",F185=0),"",G185/F185)</f>
        <v/>
      </c>
      <c r="I185" s="31">
        <f>IF(H185="","",IF(H185=1,"LIBERAR","NO LIBERAR"))</f>
        <v/>
      </c>
      <c r="J185" s="23" t="n"/>
      <c r="K185" s="32" t="n"/>
      <c r="L185" s="24" t="n"/>
    </row>
    <row r="186">
      <c r="A186" s="30" t="n"/>
      <c r="B186" s="23" t="n"/>
      <c r="C186" s="23" t="n"/>
      <c r="D186" s="31">
        <f>IF(B186="","","CWP"&amp;MID(B186,4,12))</f>
        <v/>
      </c>
      <c r="E186" s="32" t="n"/>
      <c r="F186" s="22" t="n"/>
      <c r="G186" s="22" t="n"/>
      <c r="H186" s="33">
        <f>IF(OR(F186="",F186=0),"",G186/F186)</f>
        <v/>
      </c>
      <c r="I186" s="31">
        <f>IF(H186="","",IF(H186=1,"LIBERAR","NO LIBERAR"))</f>
        <v/>
      </c>
      <c r="J186" s="23" t="n"/>
      <c r="K186" s="32" t="n"/>
      <c r="L186" s="24" t="n"/>
    </row>
    <row r="187">
      <c r="A187" s="30" t="n"/>
      <c r="B187" s="23" t="n"/>
      <c r="C187" s="23" t="n"/>
      <c r="D187" s="31">
        <f>IF(B187="","","CWP"&amp;MID(B187,4,12))</f>
        <v/>
      </c>
      <c r="E187" s="32" t="n"/>
      <c r="F187" s="22" t="n"/>
      <c r="G187" s="22" t="n"/>
      <c r="H187" s="33">
        <f>IF(OR(F187="",F187=0),"",G187/F187)</f>
        <v/>
      </c>
      <c r="I187" s="31">
        <f>IF(H187="","",IF(H187=1,"LIBERAR","NO LIBERAR"))</f>
        <v/>
      </c>
      <c r="J187" s="23" t="n"/>
      <c r="K187" s="32" t="n"/>
      <c r="L187" s="24" t="n"/>
    </row>
    <row r="188">
      <c r="A188" s="30" t="n"/>
      <c r="B188" s="23" t="n"/>
      <c r="C188" s="23" t="n"/>
      <c r="D188" s="31">
        <f>IF(B188="","","CWP"&amp;MID(B188,4,12))</f>
        <v/>
      </c>
      <c r="E188" s="32" t="n"/>
      <c r="F188" s="22" t="n"/>
      <c r="G188" s="22" t="n"/>
      <c r="H188" s="33">
        <f>IF(OR(F188="",F188=0),"",G188/F188)</f>
        <v/>
      </c>
      <c r="I188" s="31">
        <f>IF(H188="","",IF(H188=1,"LIBERAR","NO LIBERAR"))</f>
        <v/>
      </c>
      <c r="J188" s="23" t="n"/>
      <c r="K188" s="32" t="n"/>
      <c r="L188" s="24" t="n"/>
    </row>
    <row r="189">
      <c r="A189" s="30" t="n"/>
      <c r="B189" s="23" t="n"/>
      <c r="C189" s="23" t="n"/>
      <c r="D189" s="31">
        <f>IF(B189="","","CWP"&amp;MID(B189,4,12))</f>
        <v/>
      </c>
      <c r="E189" s="32" t="n"/>
      <c r="F189" s="22" t="n"/>
      <c r="G189" s="22" t="n"/>
      <c r="H189" s="33">
        <f>IF(OR(F189="",F189=0),"",G189/F189)</f>
        <v/>
      </c>
      <c r="I189" s="31">
        <f>IF(H189="","",IF(H189=1,"LIBERAR","NO LIBERAR"))</f>
        <v/>
      </c>
      <c r="J189" s="23" t="n"/>
      <c r="K189" s="32" t="n"/>
      <c r="L189" s="24" t="n"/>
    </row>
    <row r="190">
      <c r="A190" s="30" t="n"/>
      <c r="B190" s="23" t="n"/>
      <c r="C190" s="23" t="n"/>
      <c r="D190" s="31">
        <f>IF(B190="","","CWP"&amp;MID(B190,4,12))</f>
        <v/>
      </c>
      <c r="E190" s="32" t="n"/>
      <c r="F190" s="22" t="n"/>
      <c r="G190" s="22" t="n"/>
      <c r="H190" s="33">
        <f>IF(OR(F190="",F190=0),"",G190/F190)</f>
        <v/>
      </c>
      <c r="I190" s="31">
        <f>IF(H190="","",IF(H190=1,"LIBERAR","NO LIBERAR"))</f>
        <v/>
      </c>
      <c r="J190" s="23" t="n"/>
      <c r="K190" s="32" t="n"/>
      <c r="L190" s="24" t="n"/>
    </row>
    <row r="191">
      <c r="A191" s="30" t="n"/>
      <c r="B191" s="23" t="n"/>
      <c r="C191" s="23" t="n"/>
      <c r="D191" s="31">
        <f>IF(B191="","","CWP"&amp;MID(B191,4,12))</f>
        <v/>
      </c>
      <c r="E191" s="32" t="n"/>
      <c r="F191" s="22" t="n"/>
      <c r="G191" s="22" t="n"/>
      <c r="H191" s="33">
        <f>IF(OR(F191="",F191=0),"",G191/F191)</f>
        <v/>
      </c>
      <c r="I191" s="31">
        <f>IF(H191="","",IF(H191=1,"LIBERAR","NO LIBERAR"))</f>
        <v/>
      </c>
      <c r="J191" s="23" t="n"/>
      <c r="K191" s="32" t="n"/>
      <c r="L191" s="24" t="n"/>
    </row>
    <row r="192">
      <c r="A192" s="30" t="n"/>
      <c r="B192" s="23" t="n"/>
      <c r="C192" s="23" t="n"/>
      <c r="D192" s="31">
        <f>IF(B192="","","CWP"&amp;MID(B192,4,12))</f>
        <v/>
      </c>
      <c r="E192" s="32" t="n"/>
      <c r="F192" s="22" t="n"/>
      <c r="G192" s="22" t="n"/>
      <c r="H192" s="33">
        <f>IF(OR(F192="",F192=0),"",G192/F192)</f>
        <v/>
      </c>
      <c r="I192" s="31">
        <f>IF(H192="","",IF(H192=1,"LIBERAR","NO LIBERAR"))</f>
        <v/>
      </c>
      <c r="J192" s="23" t="n"/>
      <c r="K192" s="32" t="n"/>
      <c r="L192" s="24" t="n"/>
    </row>
    <row r="193">
      <c r="A193" s="30" t="n"/>
      <c r="B193" s="23" t="n"/>
      <c r="C193" s="23" t="n"/>
      <c r="D193" s="31">
        <f>IF(B193="","","CWP"&amp;MID(B193,4,12))</f>
        <v/>
      </c>
      <c r="E193" s="32" t="n"/>
      <c r="F193" s="22" t="n"/>
      <c r="G193" s="22" t="n"/>
      <c r="H193" s="33">
        <f>IF(OR(F193="",F193=0),"",G193/F193)</f>
        <v/>
      </c>
      <c r="I193" s="31">
        <f>IF(H193="","",IF(H193=1,"LIBERAR","NO LIBERAR"))</f>
        <v/>
      </c>
      <c r="J193" s="23" t="n"/>
      <c r="K193" s="32" t="n"/>
      <c r="L193" s="24" t="n"/>
    </row>
    <row r="194">
      <c r="A194" s="30" t="n"/>
      <c r="B194" s="23" t="n"/>
      <c r="C194" s="23" t="n"/>
      <c r="D194" s="31">
        <f>IF(B194="","","CWP"&amp;MID(B194,4,12))</f>
        <v/>
      </c>
      <c r="E194" s="32" t="n"/>
      <c r="F194" s="22" t="n"/>
      <c r="G194" s="22" t="n"/>
      <c r="H194" s="33">
        <f>IF(OR(F194="",F194=0),"",G194/F194)</f>
        <v/>
      </c>
      <c r="I194" s="31">
        <f>IF(H194="","",IF(H194=1,"LIBERAR","NO LIBERAR"))</f>
        <v/>
      </c>
      <c r="J194" s="23" t="n"/>
      <c r="K194" s="32" t="n"/>
      <c r="L194" s="24" t="n"/>
    </row>
    <row r="195">
      <c r="A195" s="30" t="n"/>
      <c r="B195" s="23" t="n"/>
      <c r="C195" s="23" t="n"/>
      <c r="D195" s="31">
        <f>IF(B195="","","CWP"&amp;MID(B195,4,12))</f>
        <v/>
      </c>
      <c r="E195" s="32" t="n"/>
      <c r="F195" s="22" t="n"/>
      <c r="G195" s="22" t="n"/>
      <c r="H195" s="33">
        <f>IF(OR(F195="",F195=0),"",G195/F195)</f>
        <v/>
      </c>
      <c r="I195" s="31">
        <f>IF(H195="","",IF(H195=1,"LIBERAR","NO LIBERAR"))</f>
        <v/>
      </c>
      <c r="J195" s="23" t="n"/>
      <c r="K195" s="32" t="n"/>
      <c r="L195" s="24" t="n"/>
    </row>
    <row r="196">
      <c r="A196" s="30" t="n"/>
      <c r="B196" s="23" t="n"/>
      <c r="C196" s="23" t="n"/>
      <c r="D196" s="31">
        <f>IF(B196="","","CWP"&amp;MID(B196,4,12))</f>
        <v/>
      </c>
      <c r="E196" s="32" t="n"/>
      <c r="F196" s="22" t="n"/>
      <c r="G196" s="22" t="n"/>
      <c r="H196" s="33">
        <f>IF(OR(F196="",F196=0),"",G196/F196)</f>
        <v/>
      </c>
      <c r="I196" s="31">
        <f>IF(H196="","",IF(H196=1,"LIBERAR","NO LIBERAR"))</f>
        <v/>
      </c>
      <c r="J196" s="23" t="n"/>
      <c r="K196" s="32" t="n"/>
      <c r="L196" s="24" t="n"/>
    </row>
    <row r="197">
      <c r="A197" s="30" t="n"/>
      <c r="B197" s="23" t="n"/>
      <c r="C197" s="23" t="n"/>
      <c r="D197" s="31">
        <f>IF(B197="","","CWP"&amp;MID(B197,4,12))</f>
        <v/>
      </c>
      <c r="E197" s="32" t="n"/>
      <c r="F197" s="22" t="n"/>
      <c r="G197" s="22" t="n"/>
      <c r="H197" s="33">
        <f>IF(OR(F197="",F197=0),"",G197/F197)</f>
        <v/>
      </c>
      <c r="I197" s="31">
        <f>IF(H197="","",IF(H197=1,"LIBERAR","NO LIBERAR"))</f>
        <v/>
      </c>
      <c r="J197" s="23" t="n"/>
      <c r="K197" s="32" t="n"/>
      <c r="L197" s="24" t="n"/>
    </row>
    <row r="198">
      <c r="A198" s="30" t="n"/>
      <c r="B198" s="23" t="n"/>
      <c r="C198" s="23" t="n"/>
      <c r="D198" s="31">
        <f>IF(B198="","","CWP"&amp;MID(B198,4,12))</f>
        <v/>
      </c>
      <c r="E198" s="32" t="n"/>
      <c r="F198" s="22" t="n"/>
      <c r="G198" s="22" t="n"/>
      <c r="H198" s="33">
        <f>IF(OR(F198="",F198=0),"",G198/F198)</f>
        <v/>
      </c>
      <c r="I198" s="31">
        <f>IF(H198="","",IF(H198=1,"LIBERAR","NO LIBERAR"))</f>
        <v/>
      </c>
      <c r="J198" s="23" t="n"/>
      <c r="K198" s="32" t="n"/>
      <c r="L198" s="24" t="n"/>
    </row>
    <row r="199">
      <c r="A199" s="30" t="n"/>
      <c r="B199" s="23" t="n"/>
      <c r="C199" s="23" t="n"/>
      <c r="D199" s="31">
        <f>IF(B199="","","CWP"&amp;MID(B199,4,12))</f>
        <v/>
      </c>
      <c r="E199" s="32" t="n"/>
      <c r="F199" s="22" t="n"/>
      <c r="G199" s="22" t="n"/>
      <c r="H199" s="33">
        <f>IF(OR(F199="",F199=0),"",G199/F199)</f>
        <v/>
      </c>
      <c r="I199" s="31">
        <f>IF(H199="","",IF(H199=1,"LIBERAR","NO LIBERAR"))</f>
        <v/>
      </c>
      <c r="J199" s="23" t="n"/>
      <c r="K199" s="32" t="n"/>
      <c r="L199" s="24" t="n"/>
    </row>
    <row r="200">
      <c r="A200" s="30" t="n"/>
      <c r="B200" s="23" t="n"/>
      <c r="C200" s="23" t="n"/>
      <c r="D200" s="31">
        <f>IF(B200="","","CWP"&amp;MID(B200,4,12))</f>
        <v/>
      </c>
      <c r="E200" s="32" t="n"/>
      <c r="F200" s="22" t="n"/>
      <c r="G200" s="22" t="n"/>
      <c r="H200" s="33">
        <f>IF(OR(F200="",F200=0),"",G200/F200)</f>
        <v/>
      </c>
      <c r="I200" s="31">
        <f>IF(H200="","",IF(H200=1,"LIBERAR","NO LIBERAR"))</f>
        <v/>
      </c>
      <c r="J200" s="23" t="n"/>
      <c r="K200" s="32" t="n"/>
      <c r="L200" s="24" t="n"/>
    </row>
    <row r="201">
      <c r="A201" s="30" t="n"/>
      <c r="B201" s="23" t="n"/>
      <c r="C201" s="23" t="n"/>
      <c r="D201" s="31">
        <f>IF(B201="","","CWP"&amp;MID(B201,4,12))</f>
        <v/>
      </c>
      <c r="E201" s="32" t="n"/>
      <c r="F201" s="22" t="n"/>
      <c r="G201" s="22" t="n"/>
      <c r="H201" s="33">
        <f>IF(OR(F201="",F201=0),"",G201/F201)</f>
        <v/>
      </c>
      <c r="I201" s="31">
        <f>IF(H201="","",IF(H201=1,"LIBERAR","NO LIBERAR"))</f>
        <v/>
      </c>
      <c r="J201" s="23" t="n"/>
      <c r="K201" s="32" t="n"/>
      <c r="L201" s="24" t="n"/>
    </row>
    <row r="202">
      <c r="A202" s="30" t="n"/>
      <c r="B202" s="23" t="n"/>
      <c r="C202" s="23" t="n"/>
      <c r="D202" s="31">
        <f>IF(B202="","","CWP"&amp;MID(B202,4,12))</f>
        <v/>
      </c>
      <c r="E202" s="32" t="n"/>
      <c r="F202" s="22" t="n"/>
      <c r="G202" s="22" t="n"/>
      <c r="H202" s="33">
        <f>IF(OR(F202="",F202=0),"",G202/F202)</f>
        <v/>
      </c>
      <c r="I202" s="31">
        <f>IF(H202="","",IF(H202=1,"LIBERAR","NO LIBERAR"))</f>
        <v/>
      </c>
      <c r="J202" s="23" t="n"/>
      <c r="K202" s="32" t="n"/>
      <c r="L202" s="24" t="n"/>
    </row>
    <row r="203">
      <c r="A203" s="30" t="n"/>
      <c r="B203" s="23" t="n"/>
      <c r="C203" s="23" t="n"/>
      <c r="D203" s="31">
        <f>IF(B203="","","CWP"&amp;MID(B203,4,12))</f>
        <v/>
      </c>
      <c r="E203" s="32" t="n"/>
      <c r="F203" s="22" t="n"/>
      <c r="G203" s="22" t="n"/>
      <c r="H203" s="33">
        <f>IF(OR(F203="",F203=0),"",G203/F203)</f>
        <v/>
      </c>
      <c r="I203" s="31">
        <f>IF(H203="","",IF(H203=1,"LIBERAR","NO LIBERAR"))</f>
        <v/>
      </c>
      <c r="J203" s="23" t="n"/>
      <c r="K203" s="32" t="n"/>
      <c r="L203" s="24" t="n"/>
    </row>
    <row r="204">
      <c r="A204" s="30" t="n"/>
      <c r="B204" s="23" t="n"/>
      <c r="C204" s="23" t="n"/>
      <c r="D204" s="31">
        <f>IF(B204="","","CWP"&amp;MID(B204,4,12))</f>
        <v/>
      </c>
      <c r="E204" s="32" t="n"/>
      <c r="F204" s="22" t="n"/>
      <c r="G204" s="22" t="n"/>
      <c r="H204" s="33">
        <f>IF(OR(F204="",F204=0),"",G204/F204)</f>
        <v/>
      </c>
      <c r="I204" s="31">
        <f>IF(H204="","",IF(H204=1,"LIBERAR","NO LIBERAR"))</f>
        <v/>
      </c>
      <c r="J204" s="23" t="n"/>
      <c r="K204" s="32" t="n"/>
      <c r="L204" s="24" t="n"/>
    </row>
    <row r="205">
      <c r="A205" s="30" t="n"/>
      <c r="B205" s="23" t="n"/>
      <c r="C205" s="23" t="n"/>
      <c r="D205" s="31">
        <f>IF(B205="","","CWP"&amp;MID(B205,4,12))</f>
        <v/>
      </c>
      <c r="E205" s="32" t="n"/>
      <c r="F205" s="22" t="n"/>
      <c r="G205" s="22" t="n"/>
      <c r="H205" s="33">
        <f>IF(OR(F205="",F205=0),"",G205/F205)</f>
        <v/>
      </c>
      <c r="I205" s="31">
        <f>IF(H205="","",IF(H205=1,"LIBERAR","NO LIBERAR"))</f>
        <v/>
      </c>
      <c r="J205" s="23" t="n"/>
      <c r="K205" s="32" t="n"/>
      <c r="L205" s="24" t="n"/>
    </row>
    <row r="206">
      <c r="A206" s="30" t="n"/>
      <c r="B206" s="23" t="n"/>
      <c r="C206" s="23" t="n"/>
      <c r="D206" s="31">
        <f>IF(B206="","","CWP"&amp;MID(B206,4,12))</f>
        <v/>
      </c>
      <c r="E206" s="32" t="n"/>
      <c r="F206" s="22" t="n"/>
      <c r="G206" s="22" t="n"/>
      <c r="H206" s="33">
        <f>IF(OR(F206="",F206=0),"",G206/F206)</f>
        <v/>
      </c>
      <c r="I206" s="31">
        <f>IF(H206="","",IF(H206=1,"LIBERAR","NO LIBERAR"))</f>
        <v/>
      </c>
      <c r="J206" s="23" t="n"/>
      <c r="K206" s="32" t="n"/>
      <c r="L206" s="24" t="n"/>
    </row>
    <row r="207">
      <c r="A207" s="30" t="n"/>
      <c r="B207" s="23" t="n"/>
      <c r="C207" s="23" t="n"/>
      <c r="D207" s="31">
        <f>IF(B207="","","CWP"&amp;MID(B207,4,12))</f>
        <v/>
      </c>
      <c r="E207" s="32" t="n"/>
      <c r="F207" s="22" t="n"/>
      <c r="G207" s="22" t="n"/>
      <c r="H207" s="33">
        <f>IF(OR(F207="",F207=0),"",G207/F207)</f>
        <v/>
      </c>
      <c r="I207" s="31">
        <f>IF(H207="","",IF(H207=1,"LIBERAR","NO LIBERAR"))</f>
        <v/>
      </c>
      <c r="J207" s="23" t="n"/>
      <c r="K207" s="32" t="n"/>
      <c r="L207" s="24" t="n"/>
    </row>
    <row r="208">
      <c r="A208" s="30" t="n"/>
      <c r="B208" s="23" t="n"/>
      <c r="C208" s="23" t="n"/>
      <c r="D208" s="31">
        <f>IF(B208="","","CWP"&amp;MID(B208,4,12))</f>
        <v/>
      </c>
      <c r="E208" s="32" t="n"/>
      <c r="F208" s="22" t="n"/>
      <c r="G208" s="22" t="n"/>
      <c r="H208" s="33">
        <f>IF(OR(F208="",F208=0),"",G208/F208)</f>
        <v/>
      </c>
      <c r="I208" s="31">
        <f>IF(H208="","",IF(H208=1,"LIBERAR","NO LIBERAR"))</f>
        <v/>
      </c>
      <c r="J208" s="23" t="n"/>
      <c r="K208" s="32" t="n"/>
      <c r="L208" s="24" t="n"/>
    </row>
    <row r="209">
      <c r="A209" s="30" t="n"/>
      <c r="B209" s="23" t="n"/>
      <c r="C209" s="23" t="n"/>
      <c r="D209" s="31">
        <f>IF(B209="","","CWP"&amp;MID(B209,4,12))</f>
        <v/>
      </c>
      <c r="E209" s="32" t="n"/>
      <c r="F209" s="22" t="n"/>
      <c r="G209" s="22" t="n"/>
      <c r="H209" s="33">
        <f>IF(OR(F209="",F209=0),"",G209/F209)</f>
        <v/>
      </c>
      <c r="I209" s="31">
        <f>IF(H209="","",IF(H209=1,"LIBERAR","NO LIBERAR"))</f>
        <v/>
      </c>
      <c r="J209" s="23" t="n"/>
      <c r="K209" s="32" t="n"/>
      <c r="L209" s="24" t="n"/>
    </row>
    <row r="210">
      <c r="A210" s="30" t="n"/>
      <c r="B210" s="23" t="n"/>
      <c r="C210" s="23" t="n"/>
      <c r="D210" s="31">
        <f>IF(B210="","","CWP"&amp;MID(B210,4,12))</f>
        <v/>
      </c>
      <c r="E210" s="32" t="n"/>
      <c r="F210" s="22" t="n"/>
      <c r="G210" s="22" t="n"/>
      <c r="H210" s="33">
        <f>IF(OR(F210="",F210=0),"",G210/F210)</f>
        <v/>
      </c>
      <c r="I210" s="31">
        <f>IF(H210="","",IF(H210=1,"LIBERAR","NO LIBERAR"))</f>
        <v/>
      </c>
      <c r="J210" s="23" t="n"/>
      <c r="K210" s="32" t="n"/>
      <c r="L210" s="24" t="n"/>
    </row>
    <row r="211">
      <c r="A211" s="30" t="n"/>
      <c r="B211" s="23" t="n"/>
      <c r="C211" s="23" t="n"/>
      <c r="D211" s="31">
        <f>IF(B211="","","CWP"&amp;MID(B211,4,12))</f>
        <v/>
      </c>
      <c r="E211" s="32" t="n"/>
      <c r="F211" s="22" t="n"/>
      <c r="G211" s="22" t="n"/>
      <c r="H211" s="33">
        <f>IF(OR(F211="",F211=0),"",G211/F211)</f>
        <v/>
      </c>
      <c r="I211" s="31">
        <f>IF(H211="","",IF(H211=1,"LIBERAR","NO LIBERAR"))</f>
        <v/>
      </c>
      <c r="J211" s="23" t="n"/>
      <c r="K211" s="32" t="n"/>
      <c r="L211" s="24" t="n"/>
    </row>
    <row r="212">
      <c r="A212" s="30" t="n"/>
      <c r="B212" s="23" t="n"/>
      <c r="C212" s="23" t="n"/>
      <c r="D212" s="31">
        <f>IF(B212="","","CWP"&amp;MID(B212,4,12))</f>
        <v/>
      </c>
      <c r="E212" s="32" t="n"/>
      <c r="F212" s="22" t="n"/>
      <c r="G212" s="22" t="n"/>
      <c r="H212" s="33">
        <f>IF(OR(F212="",F212=0),"",G212/F212)</f>
        <v/>
      </c>
      <c r="I212" s="31">
        <f>IF(H212="","",IF(H212=1,"LIBERAR","NO LIBERAR"))</f>
        <v/>
      </c>
      <c r="J212" s="23" t="n"/>
      <c r="K212" s="32" t="n"/>
      <c r="L212" s="24" t="n"/>
    </row>
    <row r="213">
      <c r="A213" s="30" t="n"/>
      <c r="B213" s="23" t="n"/>
      <c r="C213" s="23" t="n"/>
      <c r="D213" s="31">
        <f>IF(B213="","","CWP"&amp;MID(B213,4,12))</f>
        <v/>
      </c>
      <c r="E213" s="32" t="n"/>
      <c r="F213" s="22" t="n"/>
      <c r="G213" s="22" t="n"/>
      <c r="H213" s="33">
        <f>IF(OR(F213="",F213=0),"",G213/F213)</f>
        <v/>
      </c>
      <c r="I213" s="31">
        <f>IF(H213="","",IF(H213=1,"LIBERAR","NO LIBERAR"))</f>
        <v/>
      </c>
      <c r="J213" s="23" t="n"/>
      <c r="K213" s="32" t="n"/>
      <c r="L213" s="24" t="n"/>
    </row>
    <row r="214">
      <c r="A214" s="30" t="n"/>
      <c r="B214" s="23" t="n"/>
      <c r="C214" s="23" t="n"/>
      <c r="D214" s="31">
        <f>IF(B214="","","CWP"&amp;MID(B214,4,12))</f>
        <v/>
      </c>
      <c r="E214" s="32" t="n"/>
      <c r="F214" s="22" t="n"/>
      <c r="G214" s="22" t="n"/>
      <c r="H214" s="33">
        <f>IF(OR(F214="",F214=0),"",G214/F214)</f>
        <v/>
      </c>
      <c r="I214" s="31">
        <f>IF(H214="","",IF(H214=1,"LIBERAR","NO LIBERAR"))</f>
        <v/>
      </c>
      <c r="J214" s="23" t="n"/>
      <c r="K214" s="32" t="n"/>
      <c r="L214" s="24" t="n"/>
    </row>
    <row r="215">
      <c r="A215" s="30" t="n"/>
      <c r="B215" s="23" t="n"/>
      <c r="C215" s="23" t="n"/>
      <c r="D215" s="31">
        <f>IF(B215="","","CWP"&amp;MID(B215,4,12))</f>
        <v/>
      </c>
      <c r="E215" s="32" t="n"/>
      <c r="F215" s="22" t="n"/>
      <c r="G215" s="22" t="n"/>
      <c r="H215" s="33">
        <f>IF(OR(F215="",F215=0),"",G215/F215)</f>
        <v/>
      </c>
      <c r="I215" s="31">
        <f>IF(H215="","",IF(H215=1,"LIBERAR","NO LIBERAR"))</f>
        <v/>
      </c>
      <c r="J215" s="23" t="n"/>
      <c r="K215" s="32" t="n"/>
      <c r="L215" s="24" t="n"/>
    </row>
    <row r="216">
      <c r="A216" s="30" t="n"/>
      <c r="B216" s="23" t="n"/>
      <c r="C216" s="23" t="n"/>
      <c r="D216" s="31">
        <f>IF(B216="","","CWP"&amp;MID(B216,4,12))</f>
        <v/>
      </c>
      <c r="E216" s="32" t="n"/>
      <c r="F216" s="22" t="n"/>
      <c r="G216" s="22" t="n"/>
      <c r="H216" s="33">
        <f>IF(OR(F216="",F216=0),"",G216/F216)</f>
        <v/>
      </c>
      <c r="I216" s="31">
        <f>IF(H216="","",IF(H216=1,"LIBERAR","NO LIBERAR"))</f>
        <v/>
      </c>
      <c r="J216" s="23" t="n"/>
      <c r="K216" s="32" t="n"/>
      <c r="L216" s="24" t="n"/>
    </row>
    <row r="217">
      <c r="A217" s="30" t="n"/>
      <c r="B217" s="23" t="n"/>
      <c r="C217" s="23" t="n"/>
      <c r="D217" s="31">
        <f>IF(B217="","","CWP"&amp;MID(B217,4,12))</f>
        <v/>
      </c>
      <c r="E217" s="32" t="n"/>
      <c r="F217" s="22" t="n"/>
      <c r="G217" s="22" t="n"/>
      <c r="H217" s="33">
        <f>IF(OR(F217="",F217=0),"",G217/F217)</f>
        <v/>
      </c>
      <c r="I217" s="31">
        <f>IF(H217="","",IF(H217=1,"LIBERAR","NO LIBERAR"))</f>
        <v/>
      </c>
      <c r="J217" s="23" t="n"/>
      <c r="K217" s="32" t="n"/>
      <c r="L217" s="24" t="n"/>
    </row>
    <row r="218">
      <c r="A218" s="30" t="n"/>
      <c r="B218" s="23" t="n"/>
      <c r="C218" s="23" t="n"/>
      <c r="D218" s="31">
        <f>IF(B218="","","CWP"&amp;MID(B218,4,12))</f>
        <v/>
      </c>
      <c r="E218" s="32" t="n"/>
      <c r="F218" s="22" t="n"/>
      <c r="G218" s="22" t="n"/>
      <c r="H218" s="33">
        <f>IF(OR(F218="",F218=0),"",G218/F218)</f>
        <v/>
      </c>
      <c r="I218" s="31">
        <f>IF(H218="","",IF(H218=1,"LIBERAR","NO LIBERAR"))</f>
        <v/>
      </c>
      <c r="J218" s="23" t="n"/>
      <c r="K218" s="32" t="n"/>
      <c r="L218" s="24" t="n"/>
    </row>
    <row r="219">
      <c r="A219" s="30" t="n"/>
      <c r="B219" s="23" t="n"/>
      <c r="C219" s="23" t="n"/>
      <c r="D219" s="31">
        <f>IF(B219="","","CWP"&amp;MID(B219,4,12))</f>
        <v/>
      </c>
      <c r="E219" s="32" t="n"/>
      <c r="F219" s="22" t="n"/>
      <c r="G219" s="22" t="n"/>
      <c r="H219" s="33">
        <f>IF(OR(F219="",F219=0),"",G219/F219)</f>
        <v/>
      </c>
      <c r="I219" s="31">
        <f>IF(H219="","",IF(H219=1,"LIBERAR","NO LIBERAR"))</f>
        <v/>
      </c>
      <c r="J219" s="23" t="n"/>
      <c r="K219" s="32" t="n"/>
      <c r="L219" s="24" t="n"/>
    </row>
    <row r="220">
      <c r="A220" s="30" t="n"/>
      <c r="B220" s="23" t="n"/>
      <c r="C220" s="23" t="n"/>
      <c r="D220" s="31">
        <f>IF(B220="","","CWP"&amp;MID(B220,4,12))</f>
        <v/>
      </c>
      <c r="E220" s="32" t="n"/>
      <c r="F220" s="22" t="n"/>
      <c r="G220" s="22" t="n"/>
      <c r="H220" s="33">
        <f>IF(OR(F220="",F220=0),"",G220/F220)</f>
        <v/>
      </c>
      <c r="I220" s="31">
        <f>IF(H220="","",IF(H220=1,"LIBERAR","NO LIBERAR"))</f>
        <v/>
      </c>
      <c r="J220" s="23" t="n"/>
      <c r="K220" s="32" t="n"/>
      <c r="L220" s="24" t="n"/>
    </row>
    <row r="221">
      <c r="A221" s="30" t="n"/>
      <c r="B221" s="23" t="n"/>
      <c r="C221" s="23" t="n"/>
      <c r="D221" s="31">
        <f>IF(B221="","","CWP"&amp;MID(B221,4,12))</f>
        <v/>
      </c>
      <c r="E221" s="32" t="n"/>
      <c r="F221" s="22" t="n"/>
      <c r="G221" s="22" t="n"/>
      <c r="H221" s="33">
        <f>IF(OR(F221="",F221=0),"",G221/F221)</f>
        <v/>
      </c>
      <c r="I221" s="31">
        <f>IF(H221="","",IF(H221=1,"LIBERAR","NO LIBERAR"))</f>
        <v/>
      </c>
      <c r="J221" s="23" t="n"/>
      <c r="K221" s="32" t="n"/>
      <c r="L221" s="24" t="n"/>
    </row>
    <row r="222">
      <c r="A222" s="30" t="n"/>
      <c r="B222" s="23" t="n"/>
      <c r="C222" s="23" t="n"/>
      <c r="D222" s="31">
        <f>IF(B222="","","CWP"&amp;MID(B222,4,12))</f>
        <v/>
      </c>
      <c r="E222" s="32" t="n"/>
      <c r="F222" s="22" t="n"/>
      <c r="G222" s="22" t="n"/>
      <c r="H222" s="33">
        <f>IF(OR(F222="",F222=0),"",G222/F222)</f>
        <v/>
      </c>
      <c r="I222" s="31">
        <f>IF(H222="","",IF(H222=1,"LIBERAR","NO LIBERAR"))</f>
        <v/>
      </c>
      <c r="J222" s="23" t="n"/>
      <c r="K222" s="32" t="n"/>
      <c r="L222" s="24" t="n"/>
    </row>
    <row r="223">
      <c r="A223" s="30" t="n"/>
      <c r="B223" s="23" t="n"/>
      <c r="C223" s="23" t="n"/>
      <c r="D223" s="31">
        <f>IF(B223="","","CWP"&amp;MID(B223,4,12))</f>
        <v/>
      </c>
      <c r="E223" s="32" t="n"/>
      <c r="F223" s="22" t="n"/>
      <c r="G223" s="22" t="n"/>
      <c r="H223" s="33">
        <f>IF(OR(F223="",F223=0),"",G223/F223)</f>
        <v/>
      </c>
      <c r="I223" s="31">
        <f>IF(H223="","",IF(H223=1,"LIBERAR","NO LIBERAR"))</f>
        <v/>
      </c>
      <c r="J223" s="23" t="n"/>
      <c r="K223" s="32" t="n"/>
      <c r="L223" s="24" t="n"/>
    </row>
    <row r="224">
      <c r="A224" s="30" t="n"/>
      <c r="B224" s="23" t="n"/>
      <c r="C224" s="23" t="n"/>
      <c r="D224" s="31">
        <f>IF(B224="","","CWP"&amp;MID(B224,4,12))</f>
        <v/>
      </c>
      <c r="E224" s="32" t="n"/>
      <c r="F224" s="22" t="n"/>
      <c r="G224" s="22" t="n"/>
      <c r="H224" s="33">
        <f>IF(OR(F224="",F224=0),"",G224/F224)</f>
        <v/>
      </c>
      <c r="I224" s="31">
        <f>IF(H224="","",IF(H224=1,"LIBERAR","NO LIBERAR"))</f>
        <v/>
      </c>
      <c r="J224" s="23" t="n"/>
      <c r="K224" s="32" t="n"/>
      <c r="L224" s="24" t="n"/>
    </row>
    <row r="225">
      <c r="A225" s="30" t="n"/>
      <c r="B225" s="23" t="n"/>
      <c r="C225" s="23" t="n"/>
      <c r="D225" s="31">
        <f>IF(B225="","","CWP"&amp;MID(B225,4,12))</f>
        <v/>
      </c>
      <c r="E225" s="32" t="n"/>
      <c r="F225" s="22" t="n"/>
      <c r="G225" s="22" t="n"/>
      <c r="H225" s="33">
        <f>IF(OR(F225="",F225=0),"",G225/F225)</f>
        <v/>
      </c>
      <c r="I225" s="31">
        <f>IF(H225="","",IF(H225=1,"LIBERAR","NO LIBERAR"))</f>
        <v/>
      </c>
      <c r="J225" s="23" t="n"/>
      <c r="K225" s="32" t="n"/>
      <c r="L225" s="24" t="n"/>
    </row>
    <row r="226">
      <c r="A226" s="30" t="n"/>
      <c r="B226" s="23" t="n"/>
      <c r="C226" s="23" t="n"/>
      <c r="D226" s="31">
        <f>IF(B226="","","CWP"&amp;MID(B226,4,12))</f>
        <v/>
      </c>
      <c r="E226" s="32" t="n"/>
      <c r="F226" s="22" t="n"/>
      <c r="G226" s="22" t="n"/>
      <c r="H226" s="33">
        <f>IF(OR(F226="",F226=0),"",G226/F226)</f>
        <v/>
      </c>
      <c r="I226" s="31">
        <f>IF(H226="","",IF(H226=1,"LIBERAR","NO LIBERAR"))</f>
        <v/>
      </c>
      <c r="J226" s="23" t="n"/>
      <c r="K226" s="32" t="n"/>
      <c r="L226" s="24" t="n"/>
    </row>
    <row r="227">
      <c r="A227" s="30" t="n"/>
      <c r="B227" s="23" t="n"/>
      <c r="C227" s="23" t="n"/>
      <c r="D227" s="31">
        <f>IF(B227="","","CWP"&amp;MID(B227,4,12))</f>
        <v/>
      </c>
      <c r="E227" s="32" t="n"/>
      <c r="F227" s="22" t="n"/>
      <c r="G227" s="22" t="n"/>
      <c r="H227" s="33">
        <f>IF(OR(F227="",F227=0),"",G227/F227)</f>
        <v/>
      </c>
      <c r="I227" s="31">
        <f>IF(H227="","",IF(H227=1,"LIBERAR","NO LIBERAR"))</f>
        <v/>
      </c>
      <c r="J227" s="23" t="n"/>
      <c r="K227" s="32" t="n"/>
      <c r="L227" s="24" t="n"/>
    </row>
    <row r="228">
      <c r="A228" s="30" t="n"/>
      <c r="B228" s="23" t="n"/>
      <c r="C228" s="23" t="n"/>
      <c r="D228" s="31">
        <f>IF(B228="","","CWP"&amp;MID(B228,4,12))</f>
        <v/>
      </c>
      <c r="E228" s="32" t="n"/>
      <c r="F228" s="22" t="n"/>
      <c r="G228" s="22" t="n"/>
      <c r="H228" s="33">
        <f>IF(OR(F228="",F228=0),"",G228/F228)</f>
        <v/>
      </c>
      <c r="I228" s="31">
        <f>IF(H228="","",IF(H228=1,"LIBERAR","NO LIBERAR"))</f>
        <v/>
      </c>
      <c r="J228" s="23" t="n"/>
      <c r="K228" s="32" t="n"/>
      <c r="L228" s="24" t="n"/>
    </row>
    <row r="229">
      <c r="A229" s="30" t="n"/>
      <c r="B229" s="23" t="n"/>
      <c r="C229" s="23" t="n"/>
      <c r="D229" s="31">
        <f>IF(B229="","","CWP"&amp;MID(B229,4,12))</f>
        <v/>
      </c>
      <c r="E229" s="32" t="n"/>
      <c r="F229" s="22" t="n"/>
      <c r="G229" s="22" t="n"/>
      <c r="H229" s="33">
        <f>IF(OR(F229="",F229=0),"",G229/F229)</f>
        <v/>
      </c>
      <c r="I229" s="31">
        <f>IF(H229="","",IF(H229=1,"LIBERAR","NO LIBERAR"))</f>
        <v/>
      </c>
      <c r="J229" s="23" t="n"/>
      <c r="K229" s="32" t="n"/>
      <c r="L229" s="24" t="n"/>
    </row>
    <row r="230">
      <c r="A230" s="30" t="n"/>
      <c r="B230" s="23" t="n"/>
      <c r="C230" s="23" t="n"/>
      <c r="D230" s="31">
        <f>IF(B230="","","CWP"&amp;MID(B230,4,12))</f>
        <v/>
      </c>
      <c r="E230" s="32" t="n"/>
      <c r="F230" s="22" t="n"/>
      <c r="G230" s="22" t="n"/>
      <c r="H230" s="33">
        <f>IF(OR(F230="",F230=0),"",G230/F230)</f>
        <v/>
      </c>
      <c r="I230" s="31">
        <f>IF(H230="","",IF(H230=1,"LIBERAR","NO LIBERAR"))</f>
        <v/>
      </c>
      <c r="J230" s="23" t="n"/>
      <c r="K230" s="32" t="n"/>
      <c r="L230" s="24" t="n"/>
    </row>
    <row r="231">
      <c r="A231" s="30" t="n"/>
      <c r="B231" s="23" t="n"/>
      <c r="C231" s="23" t="n"/>
      <c r="D231" s="31">
        <f>IF(B231="","","CWP"&amp;MID(B231,4,12))</f>
        <v/>
      </c>
      <c r="E231" s="32" t="n"/>
      <c r="F231" s="22" t="n"/>
      <c r="G231" s="22" t="n"/>
      <c r="H231" s="33">
        <f>IF(OR(F231="",F231=0),"",G231/F231)</f>
        <v/>
      </c>
      <c r="I231" s="31">
        <f>IF(H231="","",IF(H231=1,"LIBERAR","NO LIBERAR"))</f>
        <v/>
      </c>
      <c r="J231" s="23" t="n"/>
      <c r="K231" s="32" t="n"/>
      <c r="L231" s="24" t="n"/>
    </row>
    <row r="232">
      <c r="A232" s="30" t="n"/>
      <c r="B232" s="23" t="n"/>
      <c r="C232" s="23" t="n"/>
      <c r="D232" s="31">
        <f>IF(B232="","","CWP"&amp;MID(B232,4,12))</f>
        <v/>
      </c>
      <c r="E232" s="32" t="n"/>
      <c r="F232" s="22" t="n"/>
      <c r="G232" s="22" t="n"/>
      <c r="H232" s="33">
        <f>IF(OR(F232="",F232=0),"",G232/F232)</f>
        <v/>
      </c>
      <c r="I232" s="31">
        <f>IF(H232="","",IF(H232=1,"LIBERAR","NO LIBERAR"))</f>
        <v/>
      </c>
      <c r="J232" s="23" t="n"/>
      <c r="K232" s="32" t="n"/>
      <c r="L232" s="24" t="n"/>
    </row>
    <row r="233">
      <c r="A233" s="30" t="n"/>
      <c r="B233" s="23" t="n"/>
      <c r="C233" s="23" t="n"/>
      <c r="D233" s="31">
        <f>IF(B233="","","CWP"&amp;MID(B233,4,12))</f>
        <v/>
      </c>
      <c r="E233" s="32" t="n"/>
      <c r="F233" s="22" t="n"/>
      <c r="G233" s="22" t="n"/>
      <c r="H233" s="33">
        <f>IF(OR(F233="",F233=0),"",G233/F233)</f>
        <v/>
      </c>
      <c r="I233" s="31">
        <f>IF(H233="","",IF(H233=1,"LIBERAR","NO LIBERAR"))</f>
        <v/>
      </c>
      <c r="J233" s="23" t="n"/>
      <c r="K233" s="32" t="n"/>
      <c r="L233" s="24" t="n"/>
    </row>
    <row r="234">
      <c r="A234" s="30" t="n"/>
      <c r="B234" s="23" t="n"/>
      <c r="C234" s="23" t="n"/>
      <c r="D234" s="31">
        <f>IF(B234="","","CWP"&amp;MID(B234,4,12))</f>
        <v/>
      </c>
      <c r="E234" s="32" t="n"/>
      <c r="F234" s="22" t="n"/>
      <c r="G234" s="22" t="n"/>
      <c r="H234" s="33">
        <f>IF(OR(F234="",F234=0),"",G234/F234)</f>
        <v/>
      </c>
      <c r="I234" s="31">
        <f>IF(H234="","",IF(H234=1,"LIBERAR","NO LIBERAR"))</f>
        <v/>
      </c>
      <c r="J234" s="23" t="n"/>
      <c r="K234" s="32" t="n"/>
      <c r="L234" s="24" t="n"/>
    </row>
    <row r="235">
      <c r="A235" s="30" t="n"/>
      <c r="B235" s="23" t="n"/>
      <c r="C235" s="23" t="n"/>
      <c r="D235" s="31">
        <f>IF(B235="","","CWP"&amp;MID(B235,4,12))</f>
        <v/>
      </c>
      <c r="E235" s="32" t="n"/>
      <c r="F235" s="22" t="n"/>
      <c r="G235" s="22" t="n"/>
      <c r="H235" s="33">
        <f>IF(OR(F235="",F235=0),"",G235/F235)</f>
        <v/>
      </c>
      <c r="I235" s="31">
        <f>IF(H235="","",IF(H235=1,"LIBERAR","NO LIBERAR"))</f>
        <v/>
      </c>
      <c r="J235" s="23" t="n"/>
      <c r="K235" s="32" t="n"/>
      <c r="L235" s="24" t="n"/>
    </row>
    <row r="236">
      <c r="A236" s="30" t="n"/>
      <c r="B236" s="23" t="n"/>
      <c r="C236" s="23" t="n"/>
      <c r="D236" s="31">
        <f>IF(B236="","","CWP"&amp;MID(B236,4,12))</f>
        <v/>
      </c>
      <c r="E236" s="32" t="n"/>
      <c r="F236" s="22" t="n"/>
      <c r="G236" s="22" t="n"/>
      <c r="H236" s="33">
        <f>IF(OR(F236="",F236=0),"",G236/F236)</f>
        <v/>
      </c>
      <c r="I236" s="31">
        <f>IF(H236="","",IF(H236=1,"LIBERAR","NO LIBERAR"))</f>
        <v/>
      </c>
      <c r="J236" s="23" t="n"/>
      <c r="K236" s="32" t="n"/>
      <c r="L236" s="24" t="n"/>
    </row>
    <row r="237">
      <c r="A237" s="30" t="n"/>
      <c r="B237" s="23" t="n"/>
      <c r="C237" s="23" t="n"/>
      <c r="D237" s="31">
        <f>IF(B237="","","CWP"&amp;MID(B237,4,12))</f>
        <v/>
      </c>
      <c r="E237" s="32" t="n"/>
      <c r="F237" s="22" t="n"/>
      <c r="G237" s="22" t="n"/>
      <c r="H237" s="33">
        <f>IF(OR(F237="",F237=0),"",G237/F237)</f>
        <v/>
      </c>
      <c r="I237" s="31">
        <f>IF(H237="","",IF(H237=1,"LIBERAR","NO LIBERAR"))</f>
        <v/>
      </c>
      <c r="J237" s="23" t="n"/>
      <c r="K237" s="32" t="n"/>
      <c r="L237" s="24" t="n"/>
    </row>
    <row r="238">
      <c r="A238" s="30" t="n"/>
      <c r="B238" s="23" t="n"/>
      <c r="C238" s="23" t="n"/>
      <c r="D238" s="31">
        <f>IF(B238="","","CWP"&amp;MID(B238,4,12))</f>
        <v/>
      </c>
      <c r="E238" s="32" t="n"/>
      <c r="F238" s="22" t="n"/>
      <c r="G238" s="22" t="n"/>
      <c r="H238" s="33">
        <f>IF(OR(F238="",F238=0),"",G238/F238)</f>
        <v/>
      </c>
      <c r="I238" s="31">
        <f>IF(H238="","",IF(H238=1,"LIBERAR","NO LIBERAR"))</f>
        <v/>
      </c>
      <c r="J238" s="23" t="n"/>
      <c r="K238" s="32" t="n"/>
      <c r="L238" s="24" t="n"/>
    </row>
    <row r="239">
      <c r="A239" s="30" t="n"/>
      <c r="B239" s="23" t="n"/>
      <c r="C239" s="23" t="n"/>
      <c r="D239" s="31">
        <f>IF(B239="","","CWP"&amp;MID(B239,4,12))</f>
        <v/>
      </c>
      <c r="E239" s="32" t="n"/>
      <c r="F239" s="22" t="n"/>
      <c r="G239" s="22" t="n"/>
      <c r="H239" s="33">
        <f>IF(OR(F239="",F239=0),"",G239/F239)</f>
        <v/>
      </c>
      <c r="I239" s="31">
        <f>IF(H239="","",IF(H239=1,"LIBERAR","NO LIBERAR"))</f>
        <v/>
      </c>
      <c r="J239" s="23" t="n"/>
      <c r="K239" s="32" t="n"/>
      <c r="L239" s="24" t="n"/>
    </row>
    <row r="240">
      <c r="A240" s="30" t="n"/>
      <c r="B240" s="23" t="n"/>
      <c r="C240" s="23" t="n"/>
      <c r="D240" s="31">
        <f>IF(B240="","","CWP"&amp;MID(B240,4,12))</f>
        <v/>
      </c>
      <c r="E240" s="32" t="n"/>
      <c r="F240" s="22" t="n"/>
      <c r="G240" s="22" t="n"/>
      <c r="H240" s="33">
        <f>IF(OR(F240="",F240=0),"",G240/F240)</f>
        <v/>
      </c>
      <c r="I240" s="31">
        <f>IF(H240="","",IF(H240=1,"LIBERAR","NO LIBERAR"))</f>
        <v/>
      </c>
      <c r="J240" s="23" t="n"/>
      <c r="K240" s="32" t="n"/>
      <c r="L240" s="24" t="n"/>
    </row>
    <row r="241">
      <c r="A241" s="30" t="n"/>
      <c r="B241" s="23" t="n"/>
      <c r="C241" s="23" t="n"/>
      <c r="D241" s="31">
        <f>IF(B241="","","CWP"&amp;MID(B241,4,12))</f>
        <v/>
      </c>
      <c r="E241" s="32" t="n"/>
      <c r="F241" s="22" t="n"/>
      <c r="G241" s="22" t="n"/>
      <c r="H241" s="33">
        <f>IF(OR(F241="",F241=0),"",G241/F241)</f>
        <v/>
      </c>
      <c r="I241" s="31">
        <f>IF(H241="","",IF(H241=1,"LIBERAR","NO LIBERAR"))</f>
        <v/>
      </c>
      <c r="J241" s="23" t="n"/>
      <c r="K241" s="32" t="n"/>
      <c r="L241" s="24" t="n"/>
    </row>
    <row r="242">
      <c r="A242" s="30" t="n"/>
      <c r="B242" s="23" t="n"/>
      <c r="C242" s="23" t="n"/>
      <c r="D242" s="31">
        <f>IF(B242="","","CWP"&amp;MID(B242,4,12))</f>
        <v/>
      </c>
      <c r="E242" s="32" t="n"/>
      <c r="F242" s="22" t="n"/>
      <c r="G242" s="22" t="n"/>
      <c r="H242" s="33">
        <f>IF(OR(F242="",F242=0),"",G242/F242)</f>
        <v/>
      </c>
      <c r="I242" s="31">
        <f>IF(H242="","",IF(H242=1,"LIBERAR","NO LIBERAR"))</f>
        <v/>
      </c>
      <c r="J242" s="23" t="n"/>
      <c r="K242" s="32" t="n"/>
      <c r="L242" s="24" t="n"/>
    </row>
    <row r="243">
      <c r="A243" s="30" t="n"/>
      <c r="B243" s="23" t="n"/>
      <c r="C243" s="23" t="n"/>
      <c r="D243" s="31">
        <f>IF(B243="","","CWP"&amp;MID(B243,4,12))</f>
        <v/>
      </c>
      <c r="E243" s="32" t="n"/>
      <c r="F243" s="22" t="n"/>
      <c r="G243" s="22" t="n"/>
      <c r="H243" s="33">
        <f>IF(OR(F243="",F243=0),"",G243/F243)</f>
        <v/>
      </c>
      <c r="I243" s="31">
        <f>IF(H243="","",IF(H243=1,"LIBERAR","NO LIBERAR"))</f>
        <v/>
      </c>
      <c r="J243" s="23" t="n"/>
      <c r="K243" s="32" t="n"/>
      <c r="L243" s="24" t="n"/>
    </row>
    <row r="244">
      <c r="A244" s="30" t="n"/>
      <c r="B244" s="23" t="n"/>
      <c r="C244" s="23" t="n"/>
      <c r="D244" s="31">
        <f>IF(B244="","","CWP"&amp;MID(B244,4,12))</f>
        <v/>
      </c>
      <c r="E244" s="32" t="n"/>
      <c r="F244" s="22" t="n"/>
      <c r="G244" s="22" t="n"/>
      <c r="H244" s="33">
        <f>IF(OR(F244="",F244=0),"",G244/F244)</f>
        <v/>
      </c>
      <c r="I244" s="31">
        <f>IF(H244="","",IF(H244=1,"LIBERAR","NO LIBERAR"))</f>
        <v/>
      </c>
      <c r="J244" s="23" t="n"/>
      <c r="K244" s="32" t="n"/>
      <c r="L244" s="24" t="n"/>
    </row>
    <row r="245">
      <c r="A245" s="30" t="n"/>
      <c r="B245" s="23" t="n"/>
      <c r="C245" s="23" t="n"/>
      <c r="D245" s="31">
        <f>IF(B245="","","CWP"&amp;MID(B245,4,12))</f>
        <v/>
      </c>
      <c r="E245" s="32" t="n"/>
      <c r="F245" s="22" t="n"/>
      <c r="G245" s="22" t="n"/>
      <c r="H245" s="33">
        <f>IF(OR(F245="",F245=0),"",G245/F245)</f>
        <v/>
      </c>
      <c r="I245" s="31">
        <f>IF(H245="","",IF(H245=1,"LIBERAR","NO LIBERAR"))</f>
        <v/>
      </c>
      <c r="J245" s="23" t="n"/>
      <c r="K245" s="32" t="n"/>
      <c r="L245" s="24" t="n"/>
    </row>
    <row r="246">
      <c r="A246" s="30" t="n"/>
      <c r="B246" s="23" t="n"/>
      <c r="C246" s="23" t="n"/>
      <c r="D246" s="31">
        <f>IF(B246="","","CWP"&amp;MID(B246,4,12))</f>
        <v/>
      </c>
      <c r="E246" s="32" t="n"/>
      <c r="F246" s="22" t="n"/>
      <c r="G246" s="22" t="n"/>
      <c r="H246" s="33">
        <f>IF(OR(F246="",F246=0),"",G246/F246)</f>
        <v/>
      </c>
      <c r="I246" s="31">
        <f>IF(H246="","",IF(H246=1,"LIBERAR","NO LIBERAR"))</f>
        <v/>
      </c>
      <c r="J246" s="23" t="n"/>
      <c r="K246" s="32" t="n"/>
      <c r="L246" s="24" t="n"/>
    </row>
    <row r="247">
      <c r="A247" s="30" t="n"/>
      <c r="B247" s="23" t="n"/>
      <c r="C247" s="23" t="n"/>
      <c r="D247" s="31">
        <f>IF(B247="","","CWP"&amp;MID(B247,4,12))</f>
        <v/>
      </c>
      <c r="E247" s="32" t="n"/>
      <c r="F247" s="22" t="n"/>
      <c r="G247" s="22" t="n"/>
      <c r="H247" s="33">
        <f>IF(OR(F247="",F247=0),"",G247/F247)</f>
        <v/>
      </c>
      <c r="I247" s="31">
        <f>IF(H247="","",IF(H247=1,"LIBERAR","NO LIBERAR"))</f>
        <v/>
      </c>
      <c r="J247" s="23" t="n"/>
      <c r="K247" s="32" t="n"/>
      <c r="L247" s="24" t="n"/>
    </row>
    <row r="248">
      <c r="A248" s="30" t="n"/>
      <c r="B248" s="23" t="n"/>
      <c r="C248" s="23" t="n"/>
      <c r="D248" s="31">
        <f>IF(B248="","","CWP"&amp;MID(B248,4,12))</f>
        <v/>
      </c>
      <c r="E248" s="32" t="n"/>
      <c r="F248" s="22" t="n"/>
      <c r="G248" s="22" t="n"/>
      <c r="H248" s="33">
        <f>IF(OR(F248="",F248=0),"",G248/F248)</f>
        <v/>
      </c>
      <c r="I248" s="31">
        <f>IF(H248="","",IF(H248=1,"LIBERAR","NO LIBERAR"))</f>
        <v/>
      </c>
      <c r="J248" s="23" t="n"/>
      <c r="K248" s="32" t="n"/>
      <c r="L248" s="24" t="n"/>
    </row>
    <row r="249">
      <c r="A249" s="30" t="n"/>
      <c r="B249" s="23" t="n"/>
      <c r="C249" s="23" t="n"/>
      <c r="D249" s="31">
        <f>IF(B249="","","CWP"&amp;MID(B249,4,12))</f>
        <v/>
      </c>
      <c r="E249" s="32" t="n"/>
      <c r="F249" s="22" t="n"/>
      <c r="G249" s="22" t="n"/>
      <c r="H249" s="33">
        <f>IF(OR(F249="",F249=0),"",G249/F249)</f>
        <v/>
      </c>
      <c r="I249" s="31">
        <f>IF(H249="","",IF(H249=1,"LIBERAR","NO LIBERAR"))</f>
        <v/>
      </c>
      <c r="J249" s="23" t="n"/>
      <c r="K249" s="32" t="n"/>
      <c r="L249" s="24" t="n"/>
    </row>
    <row r="250">
      <c r="A250" s="30" t="n"/>
      <c r="B250" s="23" t="n"/>
      <c r="C250" s="23" t="n"/>
      <c r="D250" s="31">
        <f>IF(B250="","","CWP"&amp;MID(B250,4,12))</f>
        <v/>
      </c>
      <c r="E250" s="32" t="n"/>
      <c r="F250" s="22" t="n"/>
      <c r="G250" s="22" t="n"/>
      <c r="H250" s="33">
        <f>IF(OR(F250="",F250=0),"",G250/F250)</f>
        <v/>
      </c>
      <c r="I250" s="31">
        <f>IF(H250="","",IF(H250=1,"LIBERAR","NO LIBERAR"))</f>
        <v/>
      </c>
      <c r="J250" s="23" t="n"/>
      <c r="K250" s="32" t="n"/>
      <c r="L250" s="24" t="n"/>
    </row>
    <row r="251">
      <c r="A251" s="30" t="n"/>
      <c r="B251" s="23" t="n"/>
      <c r="C251" s="23" t="n"/>
      <c r="D251" s="31">
        <f>IF(B251="","","CWP"&amp;MID(B251,4,12))</f>
        <v/>
      </c>
      <c r="E251" s="32" t="n"/>
      <c r="F251" s="22" t="n"/>
      <c r="G251" s="22" t="n"/>
      <c r="H251" s="33">
        <f>IF(OR(F251="",F251=0),"",G251/F251)</f>
        <v/>
      </c>
      <c r="I251" s="31">
        <f>IF(H251="","",IF(H251=1,"LIBERAR","NO LIBERAR"))</f>
        <v/>
      </c>
      <c r="J251" s="23" t="n"/>
      <c r="K251" s="32" t="n"/>
      <c r="L251" s="24" t="n"/>
    </row>
    <row r="252">
      <c r="A252" s="30" t="n"/>
      <c r="B252" s="23" t="n"/>
      <c r="C252" s="23" t="n"/>
      <c r="D252" s="31">
        <f>IF(B252="","","CWP"&amp;MID(B252,4,12))</f>
        <v/>
      </c>
      <c r="E252" s="32" t="n"/>
      <c r="F252" s="22" t="n"/>
      <c r="G252" s="22" t="n"/>
      <c r="H252" s="33">
        <f>IF(OR(F252="",F252=0),"",G252/F252)</f>
        <v/>
      </c>
      <c r="I252" s="31">
        <f>IF(H252="","",IF(H252=1,"LIBERAR","NO LIBERAR"))</f>
        <v/>
      </c>
      <c r="J252" s="23" t="n"/>
      <c r="K252" s="32" t="n"/>
      <c r="L252" s="24" t="n"/>
    </row>
    <row r="253">
      <c r="A253" s="30" t="n"/>
      <c r="B253" s="23" t="n"/>
      <c r="C253" s="23" t="n"/>
      <c r="D253" s="31">
        <f>IF(B253="","","CWP"&amp;MID(B253,4,12))</f>
        <v/>
      </c>
      <c r="E253" s="32" t="n"/>
      <c r="F253" s="22" t="n"/>
      <c r="G253" s="22" t="n"/>
      <c r="H253" s="33">
        <f>IF(OR(F253="",F253=0),"",G253/F253)</f>
        <v/>
      </c>
      <c r="I253" s="31">
        <f>IF(H253="","",IF(H253=1,"LIBERAR","NO LIBERAR"))</f>
        <v/>
      </c>
      <c r="J253" s="23" t="n"/>
      <c r="K253" s="32" t="n"/>
      <c r="L253" s="24" t="n"/>
    </row>
    <row r="254">
      <c r="A254" s="30" t="n"/>
      <c r="B254" s="23" t="n"/>
      <c r="C254" s="23" t="n"/>
      <c r="D254" s="31">
        <f>IF(B254="","","CWP"&amp;MID(B254,4,12))</f>
        <v/>
      </c>
      <c r="E254" s="32" t="n"/>
      <c r="F254" s="22" t="n"/>
      <c r="G254" s="22" t="n"/>
      <c r="H254" s="33">
        <f>IF(OR(F254="",F254=0),"",G254/F254)</f>
        <v/>
      </c>
      <c r="I254" s="31">
        <f>IF(H254="","",IF(H254=1,"LIBERAR","NO LIBERAR"))</f>
        <v/>
      </c>
      <c r="J254" s="23" t="n"/>
      <c r="K254" s="32" t="n"/>
      <c r="L254" s="24" t="n"/>
    </row>
    <row r="255">
      <c r="A255" s="30" t="n"/>
      <c r="B255" s="23" t="n"/>
      <c r="C255" s="23" t="n"/>
      <c r="D255" s="31">
        <f>IF(B255="","","CWP"&amp;MID(B255,4,12))</f>
        <v/>
      </c>
      <c r="E255" s="32" t="n"/>
      <c r="F255" s="22" t="n"/>
      <c r="G255" s="22" t="n"/>
      <c r="H255" s="33">
        <f>IF(OR(F255="",F255=0),"",G255/F255)</f>
        <v/>
      </c>
      <c r="I255" s="31">
        <f>IF(H255="","",IF(H255=1,"LIBERAR","NO LIBERAR"))</f>
        <v/>
      </c>
      <c r="J255" s="23" t="n"/>
      <c r="K255" s="32" t="n"/>
      <c r="L255" s="24" t="n"/>
    </row>
    <row r="256">
      <c r="A256" s="30" t="n"/>
      <c r="B256" s="23" t="n"/>
      <c r="C256" s="23" t="n"/>
      <c r="D256" s="31">
        <f>IF(B256="","","CWP"&amp;MID(B256,4,12))</f>
        <v/>
      </c>
      <c r="E256" s="32" t="n"/>
      <c r="F256" s="22" t="n"/>
      <c r="G256" s="22" t="n"/>
      <c r="H256" s="33">
        <f>IF(OR(F256="",F256=0),"",G256/F256)</f>
        <v/>
      </c>
      <c r="I256" s="31">
        <f>IF(H256="","",IF(H256=1,"LIBERAR","NO LIBERAR"))</f>
        <v/>
      </c>
      <c r="J256" s="23" t="n"/>
      <c r="K256" s="32" t="n"/>
      <c r="L256" s="24" t="n"/>
    </row>
    <row r="257">
      <c r="A257" s="30" t="n"/>
      <c r="B257" s="23" t="n"/>
      <c r="C257" s="23" t="n"/>
      <c r="D257" s="31">
        <f>IF(B257="","","CWP"&amp;MID(B257,4,12))</f>
        <v/>
      </c>
      <c r="E257" s="32" t="n"/>
      <c r="F257" s="22" t="n"/>
      <c r="G257" s="22" t="n"/>
      <c r="H257" s="33">
        <f>IF(OR(F257="",F257=0),"",G257/F257)</f>
        <v/>
      </c>
      <c r="I257" s="31">
        <f>IF(H257="","",IF(H257=1,"LIBERAR","NO LIBERAR"))</f>
        <v/>
      </c>
      <c r="J257" s="23" t="n"/>
      <c r="K257" s="32" t="n"/>
      <c r="L257" s="24" t="n"/>
    </row>
    <row r="258">
      <c r="A258" s="30" t="n"/>
      <c r="B258" s="23" t="n"/>
      <c r="C258" s="23" t="n"/>
      <c r="D258" s="31">
        <f>IF(B258="","","CWP"&amp;MID(B258,4,12))</f>
        <v/>
      </c>
      <c r="E258" s="32" t="n"/>
      <c r="F258" s="22" t="n"/>
      <c r="G258" s="22" t="n"/>
      <c r="H258" s="33">
        <f>IF(OR(F258="",F258=0),"",G258/F258)</f>
        <v/>
      </c>
      <c r="I258" s="31">
        <f>IF(H258="","",IF(H258=1,"LIBERAR","NO LIBERAR"))</f>
        <v/>
      </c>
      <c r="J258" s="23" t="n"/>
      <c r="K258" s="32" t="n"/>
      <c r="L258" s="24" t="n"/>
    </row>
    <row r="259">
      <c r="A259" s="30" t="n"/>
      <c r="B259" s="23" t="n"/>
      <c r="C259" s="23" t="n"/>
      <c r="D259" s="31">
        <f>IF(B259="","","CWP"&amp;MID(B259,4,12))</f>
        <v/>
      </c>
      <c r="E259" s="32" t="n"/>
      <c r="F259" s="22" t="n"/>
      <c r="G259" s="22" t="n"/>
      <c r="H259" s="33">
        <f>IF(OR(F259="",F259=0),"",G259/F259)</f>
        <v/>
      </c>
      <c r="I259" s="31">
        <f>IF(H259="","",IF(H259=1,"LIBERAR","NO LIBERAR"))</f>
        <v/>
      </c>
      <c r="J259" s="23" t="n"/>
      <c r="K259" s="32" t="n"/>
      <c r="L259" s="24" t="n"/>
    </row>
    <row r="260">
      <c r="A260" s="30" t="n"/>
      <c r="B260" s="23" t="n"/>
      <c r="C260" s="23" t="n"/>
      <c r="D260" s="31">
        <f>IF(B260="","","CWP"&amp;MID(B260,4,12))</f>
        <v/>
      </c>
      <c r="E260" s="32" t="n"/>
      <c r="F260" s="22" t="n"/>
      <c r="G260" s="22" t="n"/>
      <c r="H260" s="33">
        <f>IF(OR(F260="",F260=0),"",G260/F260)</f>
        <v/>
      </c>
      <c r="I260" s="31">
        <f>IF(H260="","",IF(H260=1,"LIBERAR","NO LIBERAR"))</f>
        <v/>
      </c>
      <c r="J260" s="23" t="n"/>
      <c r="K260" s="32" t="n"/>
      <c r="L260" s="24" t="n"/>
    </row>
    <row r="261">
      <c r="A261" s="30" t="n"/>
      <c r="B261" s="23" t="n"/>
      <c r="C261" s="23" t="n"/>
      <c r="D261" s="31">
        <f>IF(B261="","","CWP"&amp;MID(B261,4,12))</f>
        <v/>
      </c>
      <c r="E261" s="32" t="n"/>
      <c r="F261" s="22" t="n"/>
      <c r="G261" s="22" t="n"/>
      <c r="H261" s="33">
        <f>IF(OR(F261="",F261=0),"",G261/F261)</f>
        <v/>
      </c>
      <c r="I261" s="31">
        <f>IF(H261="","",IF(H261=1,"LIBERAR","NO LIBERAR"))</f>
        <v/>
      </c>
      <c r="J261" s="23" t="n"/>
      <c r="K261" s="32" t="n"/>
      <c r="L261" s="24" t="n"/>
    </row>
    <row r="262">
      <c r="A262" s="30" t="n"/>
      <c r="B262" s="23" t="n"/>
      <c r="C262" s="23" t="n"/>
      <c r="D262" s="31">
        <f>IF(B262="","","CWP"&amp;MID(B262,4,12))</f>
        <v/>
      </c>
      <c r="E262" s="32" t="n"/>
      <c r="F262" s="22" t="n"/>
      <c r="G262" s="22" t="n"/>
      <c r="H262" s="33">
        <f>IF(OR(F262="",F262=0),"",G262/F262)</f>
        <v/>
      </c>
      <c r="I262" s="31">
        <f>IF(H262="","",IF(H262=1,"LIBERAR","NO LIBERAR"))</f>
        <v/>
      </c>
      <c r="J262" s="23" t="n"/>
      <c r="K262" s="32" t="n"/>
      <c r="L262" s="24" t="n"/>
    </row>
    <row r="263">
      <c r="A263" s="30" t="n"/>
      <c r="B263" s="23" t="n"/>
      <c r="C263" s="23" t="n"/>
      <c r="D263" s="31">
        <f>IF(B263="","","CWP"&amp;MID(B263,4,12))</f>
        <v/>
      </c>
      <c r="E263" s="32" t="n"/>
      <c r="F263" s="22" t="n"/>
      <c r="G263" s="22" t="n"/>
      <c r="H263" s="33">
        <f>IF(OR(F263="",F263=0),"",G263/F263)</f>
        <v/>
      </c>
      <c r="I263" s="31">
        <f>IF(H263="","",IF(H263=1,"LIBERAR","NO LIBERAR"))</f>
        <v/>
      </c>
      <c r="J263" s="23" t="n"/>
      <c r="K263" s="32" t="n"/>
      <c r="L263" s="24" t="n"/>
    </row>
    <row r="264">
      <c r="A264" s="30" t="n"/>
      <c r="B264" s="23" t="n"/>
      <c r="C264" s="23" t="n"/>
      <c r="D264" s="31">
        <f>IF(B264="","","CWP"&amp;MID(B264,4,12))</f>
        <v/>
      </c>
      <c r="E264" s="32" t="n"/>
      <c r="F264" s="22" t="n"/>
      <c r="G264" s="22" t="n"/>
      <c r="H264" s="33">
        <f>IF(OR(F264="",F264=0),"",G264/F264)</f>
        <v/>
      </c>
      <c r="I264" s="31">
        <f>IF(H264="","",IF(H264=1,"LIBERAR","NO LIBERAR"))</f>
        <v/>
      </c>
      <c r="J264" s="23" t="n"/>
      <c r="K264" s="32" t="n"/>
      <c r="L264" s="24" t="n"/>
    </row>
    <row r="265">
      <c r="A265" s="30" t="n"/>
      <c r="B265" s="23" t="n"/>
      <c r="C265" s="23" t="n"/>
      <c r="D265" s="31">
        <f>IF(B265="","","CWP"&amp;MID(B265,4,12))</f>
        <v/>
      </c>
      <c r="E265" s="32" t="n"/>
      <c r="F265" s="22" t="n"/>
      <c r="G265" s="22" t="n"/>
      <c r="H265" s="33">
        <f>IF(OR(F265="",F265=0),"",G265/F265)</f>
        <v/>
      </c>
      <c r="I265" s="31">
        <f>IF(H265="","",IF(H265=1,"LIBERAR","NO LIBERAR"))</f>
        <v/>
      </c>
      <c r="J265" s="23" t="n"/>
      <c r="K265" s="32" t="n"/>
      <c r="L265" s="24" t="n"/>
    </row>
    <row r="266">
      <c r="A266" s="30" t="n"/>
      <c r="B266" s="23" t="n"/>
      <c r="C266" s="23" t="n"/>
      <c r="D266" s="31">
        <f>IF(B266="","","CWP"&amp;MID(B266,4,12))</f>
        <v/>
      </c>
      <c r="E266" s="32" t="n"/>
      <c r="F266" s="22" t="n"/>
      <c r="G266" s="22" t="n"/>
      <c r="H266" s="33">
        <f>IF(OR(F266="",F266=0),"",G266/F266)</f>
        <v/>
      </c>
      <c r="I266" s="31">
        <f>IF(H266="","",IF(H266=1,"LIBERAR","NO LIBERAR"))</f>
        <v/>
      </c>
      <c r="J266" s="23" t="n"/>
      <c r="K266" s="32" t="n"/>
      <c r="L266" s="24" t="n"/>
    </row>
    <row r="267">
      <c r="A267" s="30" t="n"/>
      <c r="B267" s="23" t="n"/>
      <c r="C267" s="23" t="n"/>
      <c r="D267" s="31">
        <f>IF(B267="","","CWP"&amp;MID(B267,4,12))</f>
        <v/>
      </c>
      <c r="E267" s="32" t="n"/>
      <c r="F267" s="22" t="n"/>
      <c r="G267" s="22" t="n"/>
      <c r="H267" s="33">
        <f>IF(OR(F267="",F267=0),"",G267/F267)</f>
        <v/>
      </c>
      <c r="I267" s="31">
        <f>IF(H267="","",IF(H267=1,"LIBERAR","NO LIBERAR"))</f>
        <v/>
      </c>
      <c r="J267" s="23" t="n"/>
      <c r="K267" s="32" t="n"/>
      <c r="L267" s="24" t="n"/>
    </row>
    <row r="268">
      <c r="A268" s="30" t="n"/>
      <c r="B268" s="23" t="n"/>
      <c r="C268" s="23" t="n"/>
      <c r="D268" s="31">
        <f>IF(B268="","","CWP"&amp;MID(B268,4,12))</f>
        <v/>
      </c>
      <c r="E268" s="32" t="n"/>
      <c r="F268" s="22" t="n"/>
      <c r="G268" s="22" t="n"/>
      <c r="H268" s="33">
        <f>IF(OR(F268="",F268=0),"",G268/F268)</f>
        <v/>
      </c>
      <c r="I268" s="31">
        <f>IF(H268="","",IF(H268=1,"LIBERAR","NO LIBERAR"))</f>
        <v/>
      </c>
      <c r="J268" s="23" t="n"/>
      <c r="K268" s="32" t="n"/>
      <c r="L268" s="24" t="n"/>
    </row>
    <row r="269">
      <c r="A269" s="30" t="n"/>
      <c r="B269" s="23" t="n"/>
      <c r="C269" s="23" t="n"/>
      <c r="D269" s="31">
        <f>IF(B269="","","CWP"&amp;MID(B269,4,12))</f>
        <v/>
      </c>
      <c r="E269" s="32" t="n"/>
      <c r="F269" s="22" t="n"/>
      <c r="G269" s="22" t="n"/>
      <c r="H269" s="33">
        <f>IF(OR(F269="",F269=0),"",G269/F269)</f>
        <v/>
      </c>
      <c r="I269" s="31">
        <f>IF(H269="","",IF(H269=1,"LIBERAR","NO LIBERAR"))</f>
        <v/>
      </c>
      <c r="J269" s="23" t="n"/>
      <c r="K269" s="32" t="n"/>
      <c r="L269" s="24" t="n"/>
    </row>
    <row r="270">
      <c r="A270" s="30" t="n"/>
      <c r="B270" s="23" t="n"/>
      <c r="C270" s="23" t="n"/>
      <c r="D270" s="31">
        <f>IF(B270="","","CWP"&amp;MID(B270,4,12))</f>
        <v/>
      </c>
      <c r="E270" s="32" t="n"/>
      <c r="F270" s="22" t="n"/>
      <c r="G270" s="22" t="n"/>
      <c r="H270" s="33">
        <f>IF(OR(F270="",F270=0),"",G270/F270)</f>
        <v/>
      </c>
      <c r="I270" s="31">
        <f>IF(H270="","",IF(H270=1,"LIBERAR","NO LIBERAR"))</f>
        <v/>
      </c>
      <c r="J270" s="23" t="n"/>
      <c r="K270" s="32" t="n"/>
      <c r="L270" s="24" t="n"/>
    </row>
    <row r="271">
      <c r="A271" s="30" t="n"/>
      <c r="B271" s="23" t="n"/>
      <c r="C271" s="23" t="n"/>
      <c r="D271" s="31">
        <f>IF(B271="","","CWP"&amp;MID(B271,4,12))</f>
        <v/>
      </c>
      <c r="E271" s="32" t="n"/>
      <c r="F271" s="22" t="n"/>
      <c r="G271" s="22" t="n"/>
      <c r="H271" s="33">
        <f>IF(OR(F271="",F271=0),"",G271/F271)</f>
        <v/>
      </c>
      <c r="I271" s="31">
        <f>IF(H271="","",IF(H271=1,"LIBERAR","NO LIBERAR"))</f>
        <v/>
      </c>
      <c r="J271" s="23" t="n"/>
      <c r="K271" s="32" t="n"/>
      <c r="L271" s="24" t="n"/>
    </row>
    <row r="272">
      <c r="A272" s="30" t="n"/>
      <c r="B272" s="23" t="n"/>
      <c r="C272" s="23" t="n"/>
      <c r="D272" s="31">
        <f>IF(B272="","","CWP"&amp;MID(B272,4,12))</f>
        <v/>
      </c>
      <c r="E272" s="32" t="n"/>
      <c r="F272" s="22" t="n"/>
      <c r="G272" s="22" t="n"/>
      <c r="H272" s="33">
        <f>IF(OR(F272="",F272=0),"",G272/F272)</f>
        <v/>
      </c>
      <c r="I272" s="31">
        <f>IF(H272="","",IF(H272=1,"LIBERAR","NO LIBERAR"))</f>
        <v/>
      </c>
      <c r="J272" s="23" t="n"/>
      <c r="K272" s="32" t="n"/>
      <c r="L272" s="24" t="n"/>
    </row>
    <row r="273">
      <c r="A273" s="30" t="n"/>
      <c r="B273" s="23" t="n"/>
      <c r="C273" s="23" t="n"/>
      <c r="D273" s="31">
        <f>IF(B273="","","CWP"&amp;MID(B273,4,12))</f>
        <v/>
      </c>
      <c r="E273" s="32" t="n"/>
      <c r="F273" s="22" t="n"/>
      <c r="G273" s="22" t="n"/>
      <c r="H273" s="33">
        <f>IF(OR(F273="",F273=0),"",G273/F273)</f>
        <v/>
      </c>
      <c r="I273" s="31">
        <f>IF(H273="","",IF(H273=1,"LIBERAR","NO LIBERAR"))</f>
        <v/>
      </c>
      <c r="J273" s="23" t="n"/>
      <c r="K273" s="32" t="n"/>
      <c r="L273" s="24" t="n"/>
    </row>
    <row r="274">
      <c r="A274" s="30" t="n"/>
      <c r="B274" s="23" t="n"/>
      <c r="C274" s="23" t="n"/>
      <c r="D274" s="31">
        <f>IF(B274="","","CWP"&amp;MID(B274,4,12))</f>
        <v/>
      </c>
      <c r="E274" s="32" t="n"/>
      <c r="F274" s="22" t="n"/>
      <c r="G274" s="22" t="n"/>
      <c r="H274" s="33">
        <f>IF(OR(F274="",F274=0),"",G274/F274)</f>
        <v/>
      </c>
      <c r="I274" s="31">
        <f>IF(H274="","",IF(H274=1,"LIBERAR","NO LIBERAR"))</f>
        <v/>
      </c>
      <c r="J274" s="23" t="n"/>
      <c r="K274" s="32" t="n"/>
      <c r="L274" s="24" t="n"/>
    </row>
    <row r="275">
      <c r="A275" s="30" t="n"/>
      <c r="B275" s="23" t="n"/>
      <c r="C275" s="23" t="n"/>
      <c r="D275" s="31">
        <f>IF(B275="","","CWP"&amp;MID(B275,4,12))</f>
        <v/>
      </c>
      <c r="E275" s="32" t="n"/>
      <c r="F275" s="22" t="n"/>
      <c r="G275" s="22" t="n"/>
      <c r="H275" s="33">
        <f>IF(OR(F275="",F275=0),"",G275/F275)</f>
        <v/>
      </c>
      <c r="I275" s="31">
        <f>IF(H275="","",IF(H275=1,"LIBERAR","NO LIBERAR"))</f>
        <v/>
      </c>
      <c r="J275" s="23" t="n"/>
      <c r="K275" s="32" t="n"/>
      <c r="L275" s="24" t="n"/>
    </row>
    <row r="276">
      <c r="A276" s="30" t="n"/>
      <c r="B276" s="23" t="n"/>
      <c r="C276" s="23" t="n"/>
      <c r="D276" s="31">
        <f>IF(B276="","","CWP"&amp;MID(B276,4,12))</f>
        <v/>
      </c>
      <c r="E276" s="32" t="n"/>
      <c r="F276" s="22" t="n"/>
      <c r="G276" s="22" t="n"/>
      <c r="H276" s="33">
        <f>IF(OR(F276="",F276=0),"",G276/F276)</f>
        <v/>
      </c>
      <c r="I276" s="31">
        <f>IF(H276="","",IF(H276=1,"LIBERAR","NO LIBERAR"))</f>
        <v/>
      </c>
      <c r="J276" s="23" t="n"/>
      <c r="K276" s="32" t="n"/>
      <c r="L276" s="24" t="n"/>
    </row>
    <row r="277">
      <c r="A277" s="30" t="n"/>
      <c r="B277" s="23" t="n"/>
      <c r="C277" s="23" t="n"/>
      <c r="D277" s="31">
        <f>IF(B277="","","CWP"&amp;MID(B277,4,12))</f>
        <v/>
      </c>
      <c r="E277" s="32" t="n"/>
      <c r="F277" s="22" t="n"/>
      <c r="G277" s="22" t="n"/>
      <c r="H277" s="33">
        <f>IF(OR(F277="",F277=0),"",G277/F277)</f>
        <v/>
      </c>
      <c r="I277" s="31">
        <f>IF(H277="","",IF(H277=1,"LIBERAR","NO LIBERAR"))</f>
        <v/>
      </c>
      <c r="J277" s="23" t="n"/>
      <c r="K277" s="32" t="n"/>
      <c r="L277" s="24" t="n"/>
    </row>
    <row r="278">
      <c r="A278" s="30" t="n"/>
      <c r="B278" s="23" t="n"/>
      <c r="C278" s="23" t="n"/>
      <c r="D278" s="31">
        <f>IF(B278="","","CWP"&amp;MID(B278,4,12))</f>
        <v/>
      </c>
      <c r="E278" s="32" t="n"/>
      <c r="F278" s="22" t="n"/>
      <c r="G278" s="22" t="n"/>
      <c r="H278" s="33">
        <f>IF(OR(F278="",F278=0),"",G278/F278)</f>
        <v/>
      </c>
      <c r="I278" s="31">
        <f>IF(H278="","",IF(H278=1,"LIBERAR","NO LIBERAR"))</f>
        <v/>
      </c>
      <c r="J278" s="23" t="n"/>
      <c r="K278" s="32" t="n"/>
      <c r="L278" s="24" t="n"/>
    </row>
    <row r="279">
      <c r="A279" s="30" t="n"/>
      <c r="B279" s="23" t="n"/>
      <c r="C279" s="23" t="n"/>
      <c r="D279" s="31">
        <f>IF(B279="","","CWP"&amp;MID(B279,4,12))</f>
        <v/>
      </c>
      <c r="E279" s="32" t="n"/>
      <c r="F279" s="22" t="n"/>
      <c r="G279" s="22" t="n"/>
      <c r="H279" s="33">
        <f>IF(OR(F279="",F279=0),"",G279/F279)</f>
        <v/>
      </c>
      <c r="I279" s="31">
        <f>IF(H279="","",IF(H279=1,"LIBERAR","NO LIBERAR"))</f>
        <v/>
      </c>
      <c r="J279" s="23" t="n"/>
      <c r="K279" s="32" t="n"/>
      <c r="L279" s="24" t="n"/>
    </row>
    <row r="280">
      <c r="A280" s="30" t="n"/>
      <c r="B280" s="23" t="n"/>
      <c r="C280" s="23" t="n"/>
      <c r="D280" s="31">
        <f>IF(B280="","","CWP"&amp;MID(B280,4,12))</f>
        <v/>
      </c>
      <c r="E280" s="32" t="n"/>
      <c r="F280" s="22" t="n"/>
      <c r="G280" s="22" t="n"/>
      <c r="H280" s="33">
        <f>IF(OR(F280="",F280=0),"",G280/F280)</f>
        <v/>
      </c>
      <c r="I280" s="31">
        <f>IF(H280="","",IF(H280=1,"LIBERAR","NO LIBERAR"))</f>
        <v/>
      </c>
      <c r="J280" s="23" t="n"/>
      <c r="K280" s="32" t="n"/>
      <c r="L280" s="24" t="n"/>
    </row>
    <row r="281">
      <c r="A281" s="30" t="n"/>
      <c r="B281" s="23" t="n"/>
      <c r="C281" s="23" t="n"/>
      <c r="D281" s="31">
        <f>IF(B281="","","CWP"&amp;MID(B281,4,12))</f>
        <v/>
      </c>
      <c r="E281" s="32" t="n"/>
      <c r="F281" s="22" t="n"/>
      <c r="G281" s="22" t="n"/>
      <c r="H281" s="33">
        <f>IF(OR(F281="",F281=0),"",G281/F281)</f>
        <v/>
      </c>
      <c r="I281" s="31">
        <f>IF(H281="","",IF(H281=1,"LIBERAR","NO LIBERAR"))</f>
        <v/>
      </c>
      <c r="J281" s="23" t="n"/>
      <c r="K281" s="32" t="n"/>
      <c r="L281" s="24" t="n"/>
    </row>
    <row r="282">
      <c r="A282" s="30" t="n"/>
      <c r="B282" s="23" t="n"/>
      <c r="C282" s="23" t="n"/>
      <c r="D282" s="31">
        <f>IF(B282="","","CWP"&amp;MID(B282,4,12))</f>
        <v/>
      </c>
      <c r="E282" s="32" t="n"/>
      <c r="F282" s="22" t="n"/>
      <c r="G282" s="22" t="n"/>
      <c r="H282" s="33">
        <f>IF(OR(F282="",F282=0),"",G282/F282)</f>
        <v/>
      </c>
      <c r="I282" s="31">
        <f>IF(H282="","",IF(H282=1,"LIBERAR","NO LIBERAR"))</f>
        <v/>
      </c>
      <c r="J282" s="23" t="n"/>
      <c r="K282" s="32" t="n"/>
      <c r="L282" s="24" t="n"/>
    </row>
    <row r="283">
      <c r="A283" s="30" t="n"/>
      <c r="B283" s="23" t="n"/>
      <c r="C283" s="23" t="n"/>
      <c r="D283" s="31">
        <f>IF(B283="","","CWP"&amp;MID(B283,4,12))</f>
        <v/>
      </c>
      <c r="E283" s="32" t="n"/>
      <c r="F283" s="22" t="n"/>
      <c r="G283" s="22" t="n"/>
      <c r="H283" s="33">
        <f>IF(OR(F283="",F283=0),"",G283/F283)</f>
        <v/>
      </c>
      <c r="I283" s="31">
        <f>IF(H283="","",IF(H283=1,"LIBERAR","NO LIBERAR"))</f>
        <v/>
      </c>
      <c r="J283" s="23" t="n"/>
      <c r="K283" s="32" t="n"/>
      <c r="L283" s="24" t="n"/>
    </row>
    <row r="284">
      <c r="A284" s="30" t="n"/>
      <c r="B284" s="23" t="n"/>
      <c r="C284" s="23" t="n"/>
      <c r="D284" s="31">
        <f>IF(B284="","","CWP"&amp;MID(B284,4,12))</f>
        <v/>
      </c>
      <c r="E284" s="32" t="n"/>
      <c r="F284" s="22" t="n"/>
      <c r="G284" s="22" t="n"/>
      <c r="H284" s="33">
        <f>IF(OR(F284="",F284=0),"",G284/F284)</f>
        <v/>
      </c>
      <c r="I284" s="31">
        <f>IF(H284="","",IF(H284=1,"LIBERAR","NO LIBERAR"))</f>
        <v/>
      </c>
      <c r="J284" s="23" t="n"/>
      <c r="K284" s="32" t="n"/>
      <c r="L284" s="24" t="n"/>
    </row>
    <row r="285">
      <c r="A285" s="30" t="n"/>
      <c r="B285" s="23" t="n"/>
      <c r="C285" s="23" t="n"/>
      <c r="D285" s="31">
        <f>IF(B285="","","CWP"&amp;MID(B285,4,12))</f>
        <v/>
      </c>
      <c r="E285" s="32" t="n"/>
      <c r="F285" s="22" t="n"/>
      <c r="G285" s="22" t="n"/>
      <c r="H285" s="33">
        <f>IF(OR(F285="",F285=0),"",G285/F285)</f>
        <v/>
      </c>
      <c r="I285" s="31">
        <f>IF(H285="","",IF(H285=1,"LIBERAR","NO LIBERAR"))</f>
        <v/>
      </c>
      <c r="J285" s="23" t="n"/>
      <c r="K285" s="32" t="n"/>
      <c r="L285" s="24" t="n"/>
    </row>
    <row r="286">
      <c r="A286" s="30" t="n"/>
      <c r="B286" s="23" t="n"/>
      <c r="C286" s="23" t="n"/>
      <c r="D286" s="31">
        <f>IF(B286="","","CWP"&amp;MID(B286,4,12))</f>
        <v/>
      </c>
      <c r="E286" s="32" t="n"/>
      <c r="F286" s="22" t="n"/>
      <c r="G286" s="22" t="n"/>
      <c r="H286" s="33">
        <f>IF(OR(F286="",F286=0),"",G286/F286)</f>
        <v/>
      </c>
      <c r="I286" s="31">
        <f>IF(H286="","",IF(H286=1,"LIBERAR","NO LIBERAR"))</f>
        <v/>
      </c>
      <c r="J286" s="23" t="n"/>
      <c r="K286" s="32" t="n"/>
      <c r="L286" s="24" t="n"/>
    </row>
    <row r="287">
      <c r="A287" s="30" t="n"/>
      <c r="B287" s="23" t="n"/>
      <c r="C287" s="23" t="n"/>
      <c r="D287" s="31">
        <f>IF(B287="","","CWP"&amp;MID(B287,4,12))</f>
        <v/>
      </c>
      <c r="E287" s="32" t="n"/>
      <c r="F287" s="22" t="n"/>
      <c r="G287" s="22" t="n"/>
      <c r="H287" s="33">
        <f>IF(OR(F287="",F287=0),"",G287/F287)</f>
        <v/>
      </c>
      <c r="I287" s="31">
        <f>IF(H287="","",IF(H287=1,"LIBERAR","NO LIBERAR"))</f>
        <v/>
      </c>
      <c r="J287" s="23" t="n"/>
      <c r="K287" s="32" t="n"/>
      <c r="L287" s="24" t="n"/>
    </row>
    <row r="288">
      <c r="A288" s="30" t="n"/>
      <c r="B288" s="23" t="n"/>
      <c r="C288" s="23" t="n"/>
      <c r="D288" s="31">
        <f>IF(B288="","","CWP"&amp;MID(B288,4,12))</f>
        <v/>
      </c>
      <c r="E288" s="32" t="n"/>
      <c r="F288" s="22" t="n"/>
      <c r="G288" s="22" t="n"/>
      <c r="H288" s="33">
        <f>IF(OR(F288="",F288=0),"",G288/F288)</f>
        <v/>
      </c>
      <c r="I288" s="31">
        <f>IF(H288="","",IF(H288=1,"LIBERAR","NO LIBERAR"))</f>
        <v/>
      </c>
      <c r="J288" s="23" t="n"/>
      <c r="K288" s="32" t="n"/>
      <c r="L288" s="24" t="n"/>
    </row>
    <row r="289">
      <c r="A289" s="30" t="n"/>
      <c r="B289" s="23" t="n"/>
      <c r="C289" s="23" t="n"/>
      <c r="D289" s="31">
        <f>IF(B289="","","CWP"&amp;MID(B289,4,12))</f>
        <v/>
      </c>
      <c r="E289" s="32" t="n"/>
      <c r="F289" s="22" t="n"/>
      <c r="G289" s="22" t="n"/>
      <c r="H289" s="33">
        <f>IF(OR(F289="",F289=0),"",G289/F289)</f>
        <v/>
      </c>
      <c r="I289" s="31">
        <f>IF(H289="","",IF(H289=1,"LIBERAR","NO LIBERAR"))</f>
        <v/>
      </c>
      <c r="J289" s="23" t="n"/>
      <c r="K289" s="32" t="n"/>
      <c r="L289" s="24" t="n"/>
    </row>
    <row r="290">
      <c r="A290" s="30" t="n"/>
      <c r="B290" s="23" t="n"/>
      <c r="C290" s="23" t="n"/>
      <c r="D290" s="31">
        <f>IF(B290="","","CWP"&amp;MID(B290,4,12))</f>
        <v/>
      </c>
      <c r="E290" s="32" t="n"/>
      <c r="F290" s="22" t="n"/>
      <c r="G290" s="22" t="n"/>
      <c r="H290" s="33">
        <f>IF(OR(F290="",F290=0),"",G290/F290)</f>
        <v/>
      </c>
      <c r="I290" s="31">
        <f>IF(H290="","",IF(H290=1,"LIBERAR","NO LIBERAR"))</f>
        <v/>
      </c>
      <c r="J290" s="23" t="n"/>
      <c r="K290" s="32" t="n"/>
      <c r="L290" s="24" t="n"/>
    </row>
    <row r="291">
      <c r="A291" s="30" t="n"/>
      <c r="B291" s="23" t="n"/>
      <c r="C291" s="23" t="n"/>
      <c r="D291" s="31">
        <f>IF(B291="","","CWP"&amp;MID(B291,4,12))</f>
        <v/>
      </c>
      <c r="E291" s="32" t="n"/>
      <c r="F291" s="22" t="n"/>
      <c r="G291" s="22" t="n"/>
      <c r="H291" s="33">
        <f>IF(OR(F291="",F291=0),"",G291/F291)</f>
        <v/>
      </c>
      <c r="I291" s="31">
        <f>IF(H291="","",IF(H291=1,"LIBERAR","NO LIBERAR"))</f>
        <v/>
      </c>
      <c r="J291" s="23" t="n"/>
      <c r="K291" s="32" t="n"/>
      <c r="L291" s="24" t="n"/>
    </row>
    <row r="292">
      <c r="A292" s="30" t="n"/>
      <c r="B292" s="23" t="n"/>
      <c r="C292" s="23" t="n"/>
      <c r="D292" s="31">
        <f>IF(B292="","","CWP"&amp;MID(B292,4,12))</f>
        <v/>
      </c>
      <c r="E292" s="32" t="n"/>
      <c r="F292" s="22" t="n"/>
      <c r="G292" s="22" t="n"/>
      <c r="H292" s="33">
        <f>IF(OR(F292="",F292=0),"",G292/F292)</f>
        <v/>
      </c>
      <c r="I292" s="31">
        <f>IF(H292="","",IF(H292=1,"LIBERAR","NO LIBERAR"))</f>
        <v/>
      </c>
      <c r="J292" s="23" t="n"/>
      <c r="K292" s="32" t="n"/>
      <c r="L292" s="24" t="n"/>
    </row>
    <row r="293">
      <c r="A293" s="30" t="n"/>
      <c r="B293" s="23" t="n"/>
      <c r="C293" s="23" t="n"/>
      <c r="D293" s="31">
        <f>IF(B293="","","CWP"&amp;MID(B293,4,12))</f>
        <v/>
      </c>
      <c r="E293" s="32" t="n"/>
      <c r="F293" s="22" t="n"/>
      <c r="G293" s="22" t="n"/>
      <c r="H293" s="33">
        <f>IF(OR(F293="",F293=0),"",G293/F293)</f>
        <v/>
      </c>
      <c r="I293" s="31">
        <f>IF(H293="","",IF(H293=1,"LIBERAR","NO LIBERAR"))</f>
        <v/>
      </c>
      <c r="J293" s="23" t="n"/>
      <c r="K293" s="32" t="n"/>
      <c r="L293" s="24" t="n"/>
    </row>
    <row r="294">
      <c r="A294" s="30" t="n"/>
      <c r="B294" s="23" t="n"/>
      <c r="C294" s="23" t="n"/>
      <c r="D294" s="31">
        <f>IF(B294="","","CWP"&amp;MID(B294,4,12))</f>
        <v/>
      </c>
      <c r="E294" s="32" t="n"/>
      <c r="F294" s="22" t="n"/>
      <c r="G294" s="22" t="n"/>
      <c r="H294" s="33">
        <f>IF(OR(F294="",F294=0),"",G294/F294)</f>
        <v/>
      </c>
      <c r="I294" s="31">
        <f>IF(H294="","",IF(H294=1,"LIBERAR","NO LIBERAR"))</f>
        <v/>
      </c>
      <c r="J294" s="23" t="n"/>
      <c r="K294" s="32" t="n"/>
      <c r="L294" s="24" t="n"/>
    </row>
    <row r="295">
      <c r="A295" s="30" t="n"/>
      <c r="B295" s="23" t="n"/>
      <c r="C295" s="23" t="n"/>
      <c r="D295" s="31">
        <f>IF(B295="","","CWP"&amp;MID(B295,4,12))</f>
        <v/>
      </c>
      <c r="E295" s="32" t="n"/>
      <c r="F295" s="22" t="n"/>
      <c r="G295" s="22" t="n"/>
      <c r="H295" s="33">
        <f>IF(OR(F295="",F295=0),"",G295/F295)</f>
        <v/>
      </c>
      <c r="I295" s="31">
        <f>IF(H295="","",IF(H295=1,"LIBERAR","NO LIBERAR"))</f>
        <v/>
      </c>
      <c r="J295" s="23" t="n"/>
      <c r="K295" s="32" t="n"/>
      <c r="L295" s="24" t="n"/>
    </row>
    <row r="296">
      <c r="A296" s="30" t="n"/>
      <c r="B296" s="23" t="n"/>
      <c r="C296" s="23" t="n"/>
      <c r="D296" s="31">
        <f>IF(B296="","","CWP"&amp;MID(B296,4,12))</f>
        <v/>
      </c>
      <c r="E296" s="32" t="n"/>
      <c r="F296" s="22" t="n"/>
      <c r="G296" s="22" t="n"/>
      <c r="H296" s="33">
        <f>IF(OR(F296="",F296=0),"",G296/F296)</f>
        <v/>
      </c>
      <c r="I296" s="31">
        <f>IF(H296="","",IF(H296=1,"LIBERAR","NO LIBERAR"))</f>
        <v/>
      </c>
      <c r="J296" s="23" t="n"/>
      <c r="K296" s="32" t="n"/>
      <c r="L296" s="24" t="n"/>
    </row>
    <row r="297">
      <c r="A297" s="30" t="n"/>
      <c r="B297" s="23" t="n"/>
      <c r="C297" s="23" t="n"/>
      <c r="D297" s="31">
        <f>IF(B297="","","CWP"&amp;MID(B297,4,12))</f>
        <v/>
      </c>
      <c r="E297" s="32" t="n"/>
      <c r="F297" s="22" t="n"/>
      <c r="G297" s="22" t="n"/>
      <c r="H297" s="33">
        <f>IF(OR(F297="",F297=0),"",G297/F297)</f>
        <v/>
      </c>
      <c r="I297" s="31">
        <f>IF(H297="","",IF(H297=1,"LIBERAR","NO LIBERAR"))</f>
        <v/>
      </c>
      <c r="J297" s="23" t="n"/>
      <c r="K297" s="32" t="n"/>
      <c r="L297" s="24" t="n"/>
    </row>
    <row r="298">
      <c r="A298" s="30" t="n"/>
      <c r="B298" s="23" t="n"/>
      <c r="C298" s="23" t="n"/>
      <c r="D298" s="31">
        <f>IF(B298="","","CWP"&amp;MID(B298,4,12))</f>
        <v/>
      </c>
      <c r="E298" s="32" t="n"/>
      <c r="F298" s="22" t="n"/>
      <c r="G298" s="22" t="n"/>
      <c r="H298" s="33">
        <f>IF(OR(F298="",F298=0),"",G298/F298)</f>
        <v/>
      </c>
      <c r="I298" s="31">
        <f>IF(H298="","",IF(H298=1,"LIBERAR","NO LIBERAR"))</f>
        <v/>
      </c>
      <c r="J298" s="23" t="n"/>
      <c r="K298" s="32" t="n"/>
      <c r="L298" s="24" t="n"/>
    </row>
    <row r="299">
      <c r="A299" s="30" t="n"/>
      <c r="B299" s="23" t="n"/>
      <c r="C299" s="23" t="n"/>
      <c r="D299" s="31">
        <f>IF(B299="","","CWP"&amp;MID(B299,4,12))</f>
        <v/>
      </c>
      <c r="E299" s="32" t="n"/>
      <c r="F299" s="22" t="n"/>
      <c r="G299" s="22" t="n"/>
      <c r="H299" s="33">
        <f>IF(OR(F299="",F299=0),"",G299/F299)</f>
        <v/>
      </c>
      <c r="I299" s="31">
        <f>IF(H299="","",IF(H299=1,"LIBERAR","NO LIBERAR"))</f>
        <v/>
      </c>
      <c r="J299" s="23" t="n"/>
      <c r="K299" s="32" t="n"/>
      <c r="L299" s="24" t="n"/>
    </row>
    <row r="300">
      <c r="A300" s="30" t="n"/>
      <c r="B300" s="23" t="n"/>
      <c r="C300" s="23" t="n"/>
      <c r="D300" s="31">
        <f>IF(B300="","","CWP"&amp;MID(B300,4,12))</f>
        <v/>
      </c>
      <c r="E300" s="32" t="n"/>
      <c r="F300" s="22" t="n"/>
      <c r="G300" s="22" t="n"/>
      <c r="H300" s="33">
        <f>IF(OR(F300="",F300=0),"",G300/F300)</f>
        <v/>
      </c>
      <c r="I300" s="31">
        <f>IF(H300="","",IF(H300=1,"LIBERAR","NO LIBERAR"))</f>
        <v/>
      </c>
      <c r="J300" s="23" t="n"/>
      <c r="K300" s="32" t="n"/>
      <c r="L300" s="24" t="n"/>
    </row>
    <row r="301">
      <c r="A301" s="30" t="n"/>
      <c r="B301" s="23" t="n"/>
      <c r="C301" s="23" t="n"/>
      <c r="D301" s="31">
        <f>IF(B301="","","CWP"&amp;MID(B301,4,12))</f>
        <v/>
      </c>
      <c r="E301" s="32" t="n"/>
      <c r="F301" s="22" t="n"/>
      <c r="G301" s="22" t="n"/>
      <c r="H301" s="33">
        <f>IF(OR(F301="",F301=0),"",G301/F301)</f>
        <v/>
      </c>
      <c r="I301" s="31">
        <f>IF(H301="","",IF(H301=1,"LIBERAR","NO LIBERAR"))</f>
        <v/>
      </c>
      <c r="J301" s="23" t="n"/>
      <c r="K301" s="32" t="n"/>
      <c r="L301" s="24" t="n"/>
    </row>
    <row r="302">
      <c r="A302" s="30" t="n"/>
      <c r="B302" s="23" t="n"/>
      <c r="C302" s="23" t="n"/>
      <c r="D302" s="31">
        <f>IF(B302="","","CWP"&amp;MID(B302,4,12))</f>
        <v/>
      </c>
      <c r="E302" s="32" t="n"/>
      <c r="F302" s="22" t="n"/>
      <c r="G302" s="22" t="n"/>
      <c r="H302" s="33">
        <f>IF(OR(F302="",F302=0),"",G302/F302)</f>
        <v/>
      </c>
      <c r="I302" s="31">
        <f>IF(H302="","",IF(H302=1,"LIBERAR","NO LIBERAR"))</f>
        <v/>
      </c>
      <c r="J302" s="23" t="n"/>
      <c r="K302" s="32" t="n"/>
      <c r="L302" s="24" t="n"/>
    </row>
    <row r="303">
      <c r="A303" s="30" t="n"/>
      <c r="B303" s="23" t="n"/>
      <c r="C303" s="23" t="n"/>
      <c r="D303" s="31">
        <f>IF(B303="","","CWP"&amp;MID(B303,4,12))</f>
        <v/>
      </c>
      <c r="E303" s="32" t="n"/>
      <c r="F303" s="22" t="n"/>
      <c r="G303" s="22" t="n"/>
      <c r="H303" s="33">
        <f>IF(OR(F303="",F303=0),"",G303/F303)</f>
        <v/>
      </c>
      <c r="I303" s="31">
        <f>IF(H303="","",IF(H303=1,"LIBERAR","NO LIBERAR"))</f>
        <v/>
      </c>
      <c r="J303" s="23" t="n"/>
      <c r="K303" s="32" t="n"/>
      <c r="L303" s="24" t="n"/>
    </row>
    <row r="304">
      <c r="A304" s="30" t="n"/>
      <c r="B304" s="23" t="n"/>
      <c r="C304" s="23" t="n"/>
      <c r="D304" s="31">
        <f>IF(B304="","","CWP"&amp;MID(B304,4,12))</f>
        <v/>
      </c>
      <c r="E304" s="32" t="n"/>
      <c r="F304" s="22" t="n"/>
      <c r="G304" s="22" t="n"/>
      <c r="H304" s="33">
        <f>IF(OR(F304="",F304=0),"",G304/F304)</f>
        <v/>
      </c>
      <c r="I304" s="31">
        <f>IF(H304="","",IF(H304=1,"LIBERAR","NO LIBERAR"))</f>
        <v/>
      </c>
      <c r="J304" s="23" t="n"/>
      <c r="K304" s="32" t="n"/>
      <c r="L304" s="24" t="n"/>
    </row>
    <row r="305">
      <c r="A305" s="30" t="n"/>
      <c r="B305" s="23" t="n"/>
      <c r="C305" s="23" t="n"/>
      <c r="D305" s="31">
        <f>IF(B305="","","CWP"&amp;MID(B305,4,12))</f>
        <v/>
      </c>
      <c r="E305" s="32" t="n"/>
      <c r="F305" s="22" t="n"/>
      <c r="G305" s="22" t="n"/>
      <c r="H305" s="33">
        <f>IF(OR(F305="",F305=0),"",G305/F305)</f>
        <v/>
      </c>
      <c r="I305" s="31">
        <f>IF(H305="","",IF(H305=1,"LIBERAR","NO LIBERAR"))</f>
        <v/>
      </c>
      <c r="J305" s="23" t="n"/>
      <c r="K305" s="32" t="n"/>
      <c r="L305" s="24" t="n"/>
    </row>
  </sheetData>
  <autoFilter ref="A5:L305"/>
  <conditionalFormatting sqref="I6:I305">
    <cfRule type="expression" priority="1" dxfId="0" stopIfTrue="1">
      <formula>$I6="LIBERAR"</formula>
    </cfRule>
    <cfRule type="expression" priority="2" dxfId="1" stopIfTrue="1">
      <formula>$I6="NO LIBERAR"</formula>
    </cfRule>
  </conditionalFormatting>
  <dataValidations count="2">
    <dataValidation sqref="C6:C305" showDropDown="0" showInputMessage="0" showErrorMessage="1" allowBlank="1" errorTitle="Valor no válido" error="Seleccione un valor de la lista." prompt="Seleccione fase del proyecto" type="list">
      <formula1>=Fases</formula1>
    </dataValidation>
    <dataValidation sqref="J6:J305" showDropDown="0" showInputMessage="0" showErrorMessage="1" allowBlank="1" errorTitle="Valor no válido" error="Seleccione un valor de la lista." prompt="Seleccione liberado por (rol)" type="list">
      <formula1>=Roles</formula1>
    </dataValidation>
  </dataValidations>
  <printOptions horizontalCentered="1"/>
  <pageMargins left="0.4" right="0.4" top="0.6" bottom="0.6" header="0.5" footer="0.5"/>
  <pageSetup orientation="landscape" paperSize="9" fitToHeight="0" fitToWidth="1"/>
  <headerFooter>
    <oddHeader>&amp;L&amp;8 Kit de implementación AWP&amp;R&amp;8 Registro de liberaciones de IWP</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tabColor rgb="007F7F7F"/>
    <outlinePr summaryBelow="1" summaryRight="1"/>
    <pageSetUpPr/>
  </sheetPr>
  <dimension ref="A1:C18"/>
  <sheetViews>
    <sheetView tabSelected="0" workbookViewId="0">
      <pane ySplit="2" topLeftCell="A3" activePane="bottomLeft" state="frozen"/>
      <selection pane="bottomLeft" activeCell="A1" sqref="A1"/>
    </sheetView>
  </sheetViews>
  <sheetFormatPr baseColWidth="8" defaultRowHeight="15"/>
  <cols>
    <col width="14" customWidth="1" min="1" max="1"/>
    <col width="14" customWidth="1" min="2" max="2"/>
    <col width="39" customWidth="1" min="3" max="3"/>
  </cols>
  <sheetData>
    <row r="1">
      <c r="A1" s="34" t="inlineStr">
        <is>
          <t>Valores de las listas desplegables. Puede ampliarlas agregando valores al final de cada columna y ajustando el rango con nombre (Fórmulas &gt; Administrador de nombres).</t>
        </is>
      </c>
    </row>
    <row r="2">
      <c r="A2" s="35" t="inlineStr">
        <is>
          <t>Fases</t>
        </is>
      </c>
      <c r="B2" s="35" t="inlineStr">
        <is>
          <t>SiNo</t>
        </is>
      </c>
      <c r="C2" s="35" t="inlineStr">
        <is>
          <t>Roles</t>
        </is>
      </c>
    </row>
    <row r="3">
      <c r="A3" s="36" t="inlineStr">
        <is>
          <t>Fase 1</t>
        </is>
      </c>
      <c r="B3" s="36" t="inlineStr">
        <is>
          <t>Sí</t>
        </is>
      </c>
      <c r="C3" s="36" t="inlineStr">
        <is>
          <t>Gerente del proyecto del cliente</t>
        </is>
      </c>
    </row>
    <row r="4">
      <c r="A4" s="36" t="inlineStr">
        <is>
          <t>Fase 2</t>
        </is>
      </c>
      <c r="B4" s="36" t="inlineStr">
        <is>
          <t>No</t>
        </is>
      </c>
      <c r="C4" s="36" t="inlineStr">
        <is>
          <t>Gerente de Proyecto</t>
        </is>
      </c>
    </row>
    <row r="5">
      <c r="A5" s="36" t="inlineStr">
        <is>
          <t>Fase 3</t>
        </is>
      </c>
      <c r="C5" s="36" t="inlineStr">
        <is>
          <t>AWP Champion</t>
        </is>
      </c>
    </row>
    <row r="6">
      <c r="C6" s="36" t="inlineStr">
        <is>
          <t>Líder de WFP</t>
        </is>
      </c>
    </row>
    <row r="7">
      <c r="C7" s="36" t="inlineStr">
        <is>
          <t>Planificador de frente de trabajo</t>
        </is>
      </c>
    </row>
    <row r="8">
      <c r="C8" s="36" t="inlineStr">
        <is>
          <t>Líder de Ingeniería</t>
        </is>
      </c>
    </row>
    <row r="9">
      <c r="C9" s="36" t="inlineStr">
        <is>
          <t>Líder de Procura</t>
        </is>
      </c>
    </row>
    <row r="10">
      <c r="C10" s="36" t="inlineStr">
        <is>
          <t>Gestor de materiales</t>
        </is>
      </c>
    </row>
    <row r="11">
      <c r="C11" s="36" t="inlineStr">
        <is>
          <t>Gerente de Construcción</t>
        </is>
      </c>
    </row>
    <row r="12">
      <c r="C12" s="36" t="inlineStr">
        <is>
          <t>Superintendente / capataz general</t>
        </is>
      </c>
    </row>
    <row r="13">
      <c r="C13" s="36" t="inlineStr">
        <is>
          <t>Controles del proyecto</t>
        </is>
      </c>
    </row>
    <row r="14">
      <c r="C14" s="36" t="inlineStr">
        <is>
          <t>Coordinador de gestión de información</t>
        </is>
      </c>
    </row>
    <row r="15">
      <c r="C15" s="36" t="inlineStr">
        <is>
          <t>Líder de HSE</t>
        </is>
      </c>
    </row>
    <row r="16">
      <c r="C16" s="36" t="inlineStr">
        <is>
          <t>Líder de calidad (QA/QC)</t>
        </is>
      </c>
    </row>
    <row r="17">
      <c r="C17" s="36" t="inlineStr">
        <is>
          <t>Líder de comisionamiento</t>
        </is>
      </c>
    </row>
    <row r="18">
      <c r="C18" s="36" t="inlineStr">
        <is>
          <t>Subcontratista de especialidad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Checklist de liberación de IWP</dc:title>
  <dc:subject xmlns:dc="http://purl.org/dc/elements/1.1/">Proyecto Tipo (PT) – Complejo de instalaciones en tres fases</dc:subject>
  <dcterms:created xmlns:dcterms="http://purl.org/dc/terms/" xmlns:xsi="http://www.w3.org/2001/XMLSchema-instance" xsi:type="dcterms:W3CDTF">2026-09-25T03:31:54Z</dcterms:created>
  <dcterms:modified xmlns:dcterms="http://purl.org/dc/terms/" xmlns:xsi="http://www.w3.org/2001/XMLSchema-instance" xsi:type="dcterms:W3CDTF">2026-09-25T03:31:54Z</dcterms:modified>
</cp:coreProperties>
</file>