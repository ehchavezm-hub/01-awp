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Matriz RACI" sheetId="2" state="visible" r:id="rId2"/>
    <sheet xmlns:r="http://schemas.openxmlformats.org/officeDocument/2006/relationships" name="Roles" sheetId="3" state="visible" r:id="rId3"/>
    <sheet xmlns:r="http://schemas.openxmlformats.org/officeDocument/2006/relationships" name="Resumen por rol" sheetId="4" state="visible" r:id="rId4"/>
    <sheet xmlns:r="http://schemas.openxmlformats.org/officeDocument/2006/relationships" name="Listas" sheetId="5" state="visible" r:id="rId5"/>
  </sheets>
  <definedNames>
    <definedName name="Etapas">Listas!$A$3:$A$7</definedName>
    <definedName name="FasesExt">Listas!$B$3:$B$8</definedName>
    <definedName name="Roles">Listas!$C$3:$C$18</definedName>
    <definedName name="CodigosRol">Listas!$D$3:$D$18</definedName>
    <definedName name="_xlnm.Print_Area" localSheetId="0">'Instrucciones'!$A$1:$C$23</definedName>
    <definedName name="_xlnm._FilterDatabase" localSheetId="1" hidden="1">'Matriz RACI'!$A$5:$W$65</definedName>
    <definedName name="_xlnm.Print_Titles" localSheetId="1">'Matriz RACI'!$5:$5</definedName>
    <definedName name="_xlnm.Print_Area" localSheetId="1">'Matriz RACI'!$A$1:$W$55</definedName>
    <definedName name="_xlnm.Print_Titles" localSheetId="2">'Roles'!$4:$4</definedName>
    <definedName name="_xlnm.Print_Area" localSheetId="2">'Roles'!$A$1:$C$20</definedName>
    <definedName name="_xlnm.Print_Area" localSheetId="3">'Resumen por rol'!$A$1:$F$20</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F3864"/>
      <sz val="15"/>
    </font>
    <font>
      <name val="Calibri"/>
      <i val="1"/>
      <color rgb="00595959"/>
      <sz val="10"/>
    </font>
    <font>
      <name val="Calibri"/>
      <b val="1"/>
      <color rgb="00FFFFFF"/>
      <sz val="10"/>
    </font>
    <font>
      <name val="Calibri"/>
      <color rgb="00000000"/>
      <sz val="10"/>
    </font>
    <font>
      <name val="Calibri"/>
      <color rgb="00404040"/>
      <sz val="10"/>
    </font>
    <font>
      <name val="Calibri"/>
      <b val="1"/>
      <color rgb="00FFFFFF"/>
    </font>
    <font>
      <name val="Calibri"/>
      <b val="1"/>
      <sz val="10"/>
    </font>
    <font>
      <name val="Calibri"/>
      <sz val="10"/>
    </font>
    <font>
      <name val="Calibri"/>
      <b val="1"/>
    </font>
    <font>
      <name val="Calibri"/>
      <b val="1"/>
      <color rgb="001F3864"/>
      <sz val="16"/>
    </font>
    <font>
      <name val="Calibri"/>
      <b val="1"/>
      <color rgb="001F3864"/>
      <sz val="11"/>
    </font>
    <font>
      <name val="Calibri"/>
      <b val="1"/>
      <color rgb="001F3864"/>
      <sz val="12"/>
    </font>
    <font>
      <name val="Calibri"/>
      <i val="1"/>
      <sz val="9"/>
    </font>
  </fonts>
  <fills count="5">
    <fill>
      <patternFill/>
    </fill>
    <fill>
      <patternFill patternType="gray125"/>
    </fill>
    <fill>
      <patternFill patternType="solid">
        <fgColor rgb="001F3864"/>
        <bgColor rgb="001F3864"/>
      </patternFill>
    </fill>
    <fill>
      <patternFill patternType="solid">
        <fgColor rgb="002F5597"/>
        <bgColor rgb="002F5597"/>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0" fillId="0" borderId="0" pivotButton="0" quotePrefix="0" xfId="0"/>
    <xf numFmtId="0" fontId="2" fillId="0" borderId="0" pivotButton="0" quotePrefix="0" xfId="0"/>
    <xf numFmtId="0" fontId="11" fillId="0" borderId="0" applyAlignment="1" pivotButton="0" quotePrefix="0" xfId="0">
      <alignment vertical="top"/>
    </xf>
    <xf numFmtId="0" fontId="8" fillId="0" borderId="0" applyAlignment="1" pivotButton="0" quotePrefix="0" xfId="0">
      <alignment vertical="top" wrapText="1"/>
    </xf>
    <xf numFmtId="0" fontId="12" fillId="0" borderId="0" pivotButton="0" quotePrefix="0" xfId="0"/>
    <xf numFmtId="0" fontId="6" fillId="2" borderId="1"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1" fillId="0" borderId="0" pivotButton="0" quotePrefix="0" xfId="0"/>
    <xf numFmtId="0" fontId="3" fillId="2" borderId="1" applyAlignment="1" pivotButton="0" quotePrefix="0" xfId="0">
      <alignment horizontal="center" vertical="center" wrapText="1"/>
    </xf>
    <xf numFmtId="0" fontId="3" fillId="2" borderId="1" applyAlignment="1" pivotButton="0" quotePrefix="0" xfId="0">
      <alignment horizontal="center" vertical="center" textRotation="90"/>
    </xf>
    <xf numFmtId="0" fontId="3" fillId="3" borderId="1" applyAlignment="1" pivotButton="0" quotePrefix="0" xfId="0">
      <alignment horizontal="center" vertical="center" wrapText="1"/>
    </xf>
    <xf numFmtId="3" fontId="4" fillId="0" borderId="1" applyAlignment="1" pivotButton="0" quotePrefix="0" xfId="0">
      <alignment vertical="top"/>
    </xf>
    <xf numFmtId="0" fontId="4" fillId="0" borderId="1" applyAlignment="1" pivotButton="0" quotePrefix="0" xfId="0">
      <alignment vertical="top"/>
    </xf>
    <xf numFmtId="0" fontId="4" fillId="0" borderId="1" applyAlignment="1" pivotButton="0" quotePrefix="0" xfId="0">
      <alignment vertical="top" wrapText="1"/>
    </xf>
    <xf numFmtId="0" fontId="4" fillId="0" borderId="1" applyAlignment="1" pivotButton="0" quotePrefix="0" xfId="0">
      <alignment horizontal="center"/>
    </xf>
    <xf numFmtId="3" fontId="5" fillId="4" borderId="1" applyAlignment="1" pivotButton="0" quotePrefix="0" xfId="0">
      <alignment vertical="top"/>
    </xf>
    <xf numFmtId="0" fontId="5" fillId="4" borderId="1" applyAlignment="1" pivotButton="0" quotePrefix="0" xfId="0">
      <alignment vertical="top"/>
    </xf>
    <xf numFmtId="0" fontId="6" fillId="2" borderId="1" applyAlignment="1" pivotButton="0" quotePrefix="0" xfId="0">
      <alignment horizontal="center"/>
    </xf>
    <xf numFmtId="0" fontId="9" fillId="0" borderId="1" pivotButton="0" quotePrefix="0" xfId="0"/>
    <xf numFmtId="0" fontId="0" fillId="0" borderId="1" pivotButton="0" quotePrefix="0" xfId="0"/>
    <xf numFmtId="0" fontId="0" fillId="0" borderId="1" applyAlignment="1" pivotButton="0" quotePrefix="0" xfId="0">
      <alignment horizontal="center"/>
    </xf>
    <xf numFmtId="0" fontId="13" fillId="0" borderId="0" pivotButton="0" quotePrefix="0" xfId="0"/>
    <xf numFmtId="0" fontId="6" fillId="2" borderId="0" pivotButton="0" quotePrefix="0" xfId="0"/>
    <xf numFmtId="0" fontId="8" fillId="0" borderId="0" pivotButton="0" quotePrefix="0" xfId="0"/>
  </cellXfs>
  <cellStyles count="1">
    <cellStyle name="Normal" xfId="0" builtinId="0" hidden="0"/>
  </cellStyles>
  <dxfs count="6">
    <dxf>
      <font>
        <b val="1"/>
        <color rgb="00FFFFFF"/>
      </font>
      <fill>
        <patternFill patternType="solid">
          <fgColor rgb="001F3864"/>
          <bgColor rgb="001F3864"/>
        </patternFill>
      </fill>
    </dxf>
    <dxf>
      <font>
        <b val="1"/>
        <color rgb="00000000"/>
      </font>
      <fill>
        <patternFill patternType="solid">
          <fgColor rgb="009DC3E6"/>
          <bgColor rgb="009DC3E6"/>
        </patternFill>
      </fill>
    </dxf>
    <dxf>
      <fill>
        <patternFill patternType="solid">
          <fgColor rgb="00E2EFDA"/>
          <bgColor rgb="00E2EFDA"/>
        </patternFill>
      </fill>
    </dxf>
    <dxf>
      <fill>
        <patternFill patternType="solid">
          <fgColor rgb="00EDEDED"/>
          <bgColor rgb="00EDEDED"/>
        </patternFill>
      </fill>
    </dxf>
    <dxf>
      <font>
        <color rgb="009C0006"/>
      </font>
      <fill>
        <patternFill patternType="solid">
          <fgColor rgb="00F8CBAD"/>
          <bgColor rgb="00F8CBAD"/>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48235"/>
    <outlinePr summaryBelow="1" summaryRight="1"/>
    <pageSetUpPr fitToPage="1"/>
  </sheetPr>
  <dimension ref="A1:C21"/>
  <sheetViews>
    <sheetView tabSelected="1" workbookViewId="0">
      <pane ySplit="3" topLeftCell="A4" activePane="bottomLeft" state="frozen"/>
      <selection pane="bottomLeft" activeCell="A1" sqref="A1"/>
    </sheetView>
  </sheetViews>
  <sheetFormatPr baseColWidth="8" defaultRowHeight="15"/>
  <cols>
    <col width="30" customWidth="1" min="1" max="1"/>
    <col width="70" customWidth="1" min="2" max="2"/>
    <col width="14" customWidth="1" min="3" max="3"/>
  </cols>
  <sheetData>
    <row r="1">
      <c r="A1" s="1" t="inlineStr">
        <is>
          <t>Matriz de roles RACI</t>
        </is>
      </c>
    </row>
    <row r="2">
      <c r="A2" s="2" t="inlineStr">
        <is>
          <t>Kit de implementación AWP · Proyecto Tipo (PT) – Complejo de instalaciones en tres fases</t>
        </is>
      </c>
    </row>
    <row r="4" ht="42" customHeight="1">
      <c r="A4" s="3" t="inlineStr">
        <is>
          <t>Propósito</t>
        </is>
      </c>
      <c r="B4" s="4" t="inlineStr">
        <is>
          <t>Definir quién ejecuta (R), quién aprueba (A), a quién se consulta (C) y a quién se informa (I) en cada actividad AWP, por etapa del ciclo de vida, para que no queden actividades sin dueño ni con dueños duplicados.</t>
        </is>
      </c>
    </row>
    <row r="5" ht="28" customHeight="1">
      <c r="A5" s="3" t="inlineStr">
        <is>
          <t>Cuándo se usa</t>
        </is>
      </c>
      <c r="B5" s="4" t="inlineStr">
        <is>
          <t>En la planificación temprana global (antes del hito H0) y en el arranque de cada fase del proyecto. Se revisa cuando cambia la organización o se incorpora un subcontratista.</t>
        </is>
      </c>
    </row>
    <row r="6" ht="28" customHeight="1">
      <c r="A6" s="3" t="inlineStr">
        <is>
          <t>Quién la llena</t>
        </is>
      </c>
      <c r="B6" s="4" t="inlineStr">
        <is>
          <t>El AWP Champion la prepara con los líderes funcionales; la aprueba el Gerente de Proyecto y se comunica a todo el equipo.</t>
        </is>
      </c>
    </row>
    <row r="7" ht="140" customHeight="1">
      <c r="A7" s="3" t="inlineStr">
        <is>
          <t>Cómo llenarla</t>
        </is>
      </c>
      <c r="B7" s="4" t="inlineStr">
        <is>
          <t>1. Revise la lista de actividades y agregue las propias del proyecto al final (la numeración es libre).
2. Para cada actividad, elija R, A, C o I en la columna de cada rol (lista desplegable). Deje vacío si el rol no participa.
3. Asigne exactamente una «A» por actividad. La columna «Verificación» avisa en rojo si hay cero o más de una.
4. Indique en «Fase del proyecto» si la actividad aplica a todas las fases o a una en particular.
5. Revise la hoja «Resumen por rol» para detectar roles sobrecargados o sin participación.
6. La hoja «Roles» describe cada código de rol; los mismos códigos se usan en todo el kit.</t>
        </is>
      </c>
    </row>
    <row r="8" ht="42" customHeight="1">
      <c r="A8" s="3" t="inlineStr">
        <is>
          <t>Colores</t>
        </is>
      </c>
      <c r="B8" s="4" t="inlineStr">
        <is>
          <t>Amarillo: fila de ejemplo (bórrela o reemplácela). Encabezado azul oscuro: dato que se ingresa. Encabezado azul medio y celda gris: columna calculada con fórmula (no la sobrescriba). Rojo: vencido o fuera de meta. Ámbar: por vencer o cerca del límite. Verde: cumplido.</t>
        </is>
      </c>
    </row>
    <row r="9" ht="42" customHeight="1">
      <c r="A9" s="3" t="inlineStr">
        <is>
          <t>Impresión</t>
        </is>
      </c>
      <c r="B9" s="4" t="inlineStr">
        <is>
          <t>Cada hoja está configurada en A4, ajustada al ancho de la página, con el encabezado repetido en cada página. El área de impresión de las hojas de datos cubre las primeras 50 filas: si usa más, amplíela en Diseño de página &gt; Área de impresión.</t>
        </is>
      </c>
    </row>
    <row r="10" ht="28" customHeight="1">
      <c r="A10" s="3" t="inlineStr">
        <is>
          <t>Nota</t>
        </is>
      </c>
      <c r="B10" s="4" t="inlineStr">
        <is>
          <t>A diferencia de otras plantillas, esta matriz no tiene filas de ejemplo: es la propuesta del proyecto tipo y se ajusta directamente.</t>
        </is>
      </c>
    </row>
    <row r="12">
      <c r="A12" s="5" t="inlineStr">
        <is>
          <t>Columnas de la hoja «Matriz RACI»</t>
        </is>
      </c>
    </row>
    <row r="13">
      <c r="A13" s="6" t="inlineStr">
        <is>
          <t>Columna</t>
        </is>
      </c>
      <c r="B13" s="6" t="inlineStr">
        <is>
          <t>Significado</t>
        </is>
      </c>
      <c r="C13" s="6" t="inlineStr">
        <is>
          <t>Tipo de dato</t>
        </is>
      </c>
    </row>
    <row r="14" ht="15" customHeight="1">
      <c r="A14" s="7" t="inlineStr">
        <is>
          <t>N.°</t>
        </is>
      </c>
      <c r="B14" s="8" t="inlineStr">
        <is>
          <t>Número correlativo de la actividad.</t>
        </is>
      </c>
      <c r="C14" s="8" t="inlineStr">
        <is>
          <t>Manual</t>
        </is>
      </c>
    </row>
    <row r="15" ht="15" customHeight="1">
      <c r="A15" s="7" t="inlineStr">
        <is>
          <t>Etapa del ciclo de vida</t>
        </is>
      </c>
      <c r="B15" s="8" t="inlineStr">
        <is>
          <t>Etapa del ciclo de vida en que se realiza la actividad.</t>
        </is>
      </c>
      <c r="C15" s="8" t="inlineStr">
        <is>
          <t>Lista</t>
        </is>
      </c>
    </row>
    <row r="16" ht="15" customHeight="1">
      <c r="A16" s="7" t="inlineStr">
        <is>
          <t>Actividad AWP</t>
        </is>
      </c>
      <c r="B16" s="8" t="inlineStr">
        <is>
          <t>Actividad del proceso AWP.</t>
        </is>
      </c>
      <c r="C16" s="8" t="inlineStr">
        <is>
          <t>Manual</t>
        </is>
      </c>
    </row>
    <row r="17" ht="15" customHeight="1">
      <c r="A17" s="7" t="inlineStr">
        <is>
          <t>Fase del proyecto</t>
        </is>
      </c>
      <c r="B17" s="8" t="inlineStr">
        <is>
          <t>Fases en que aplica la actividad.</t>
        </is>
      </c>
      <c r="C17" s="8" t="inlineStr">
        <is>
          <t>Lista</t>
        </is>
      </c>
    </row>
    <row r="18" ht="15" customHeight="1">
      <c r="A18" s="9" t="inlineStr">
        <is>
          <t>N.° de A</t>
        </is>
      </c>
      <c r="B18" s="10" t="inlineStr">
        <is>
          <t>Calculado: cantidad de «A» en la fila. Debe ser exactamente 1.</t>
        </is>
      </c>
      <c r="C18" s="10" t="inlineStr">
        <is>
          <t>Calculado</t>
        </is>
      </c>
    </row>
    <row r="19" ht="15" customHeight="1">
      <c r="A19" s="9" t="inlineStr">
        <is>
          <t>N.° de R</t>
        </is>
      </c>
      <c r="B19" s="10" t="inlineStr">
        <is>
          <t>Calculado: cantidad de «R» en la fila.</t>
        </is>
      </c>
      <c r="C19" s="10" t="inlineStr">
        <is>
          <t>Calculado</t>
        </is>
      </c>
    </row>
    <row r="20" ht="15" customHeight="1">
      <c r="A20" s="9" t="inlineStr">
        <is>
          <t>Verificación</t>
        </is>
      </c>
      <c r="B20" s="10" t="inlineStr">
        <is>
          <t>Calculado: «OK» si hay una sola A; «Revisar» si no.</t>
        </is>
      </c>
      <c r="C20" s="10" t="inlineStr">
        <is>
          <t>Calculado</t>
        </is>
      </c>
    </row>
    <row r="21" ht="15" customHeight="1">
      <c r="A21" s="7" t="inlineStr">
        <is>
          <t>Columnas de roles (CLI … SUB)</t>
        </is>
      </c>
      <c r="B21" s="8" t="inlineStr">
        <is>
          <t>Una columna por rol con R, A, C o I. Ver la hoja «Roles».</t>
        </is>
      </c>
      <c r="C21" s="8" t="inlineStr">
        <is>
          <t>Lista</t>
        </is>
      </c>
    </row>
  </sheetData>
  <mergeCells count="7">
    <mergeCell ref="B6:C6"/>
    <mergeCell ref="B7:C7"/>
    <mergeCell ref="B5:C5"/>
    <mergeCell ref="B10:C10"/>
    <mergeCell ref="B9:C9"/>
    <mergeCell ref="B8:C8"/>
    <mergeCell ref="B4:C4"/>
  </mergeCells>
  <printOptions horizontalCentered="1"/>
  <pageMargins left="0.4" right="0.4" top="0.6" bottom="0.6" header="0.5" footer="0.5"/>
  <pageSetup orientation="portrait" paperSize="9" fitToHeight="0" fitToWidth="1"/>
  <headerFooter>
    <oddHeader>&amp;L&amp;8 Kit de implementación AWP&amp;R&amp;8 Matriz de roles RACI</oddHeader>
    <oddFooter>&amp;L&amp;8 Proyecto Tipo (PT) – Complejo de instalaciones en tres fases&amp;R&amp;8 Página &amp;P de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W65"/>
  <sheetViews>
    <sheetView tabSelected="0" workbookViewId="0">
      <pane xSplit="4" ySplit="5" topLeftCell="E6"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6" customWidth="1" min="3" max="3"/>
    <col width="13"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7" customWidth="1" min="21" max="21"/>
    <col width="7" customWidth="1" min="22" max="22"/>
    <col width="24" customWidth="1" min="23" max="23"/>
  </cols>
  <sheetData>
    <row r="1" ht="24" customHeight="1">
      <c r="A1" s="11" t="inlineStr">
        <is>
          <t>Matriz de roles y responsabilidades AWP (RACI)</t>
        </is>
      </c>
    </row>
    <row r="2">
      <c r="A2" s="2" t="inlineStr">
        <is>
          <t>Proyecto Tipo (PT) – Complejo de instalaciones en tres fases. Matriz propuesta para el proyecto tipo: ajústela en el taller de arranque de cada fase. R = responsable de ejecutar; A = aprueba y rinde cuentas (una sola por actividad); C = consultado; I = informado.</t>
        </is>
      </c>
    </row>
    <row r="5" ht="40" customHeight="1">
      <c r="A5" s="12" t="inlineStr">
        <is>
          <t>N.°</t>
        </is>
      </c>
      <c r="B5" s="12" t="inlineStr">
        <is>
          <t>Etapa del ciclo de vida</t>
        </is>
      </c>
      <c r="C5" s="12" t="inlineStr">
        <is>
          <t>Actividad AWP</t>
        </is>
      </c>
      <c r="D5" s="12" t="inlineStr">
        <is>
          <t>Fase del proyecto</t>
        </is>
      </c>
      <c r="E5" s="13" t="inlineStr">
        <is>
          <t>CLI</t>
        </is>
      </c>
      <c r="F5" s="13" t="inlineStr">
        <is>
          <t>GP</t>
        </is>
      </c>
      <c r="G5" s="13" t="inlineStr">
        <is>
          <t>CHA</t>
        </is>
      </c>
      <c r="H5" s="13" t="inlineStr">
        <is>
          <t>LWF</t>
        </is>
      </c>
      <c r="I5" s="13" t="inlineStr">
        <is>
          <t>WFP</t>
        </is>
      </c>
      <c r="J5" s="13" t="inlineStr">
        <is>
          <t>ING</t>
        </is>
      </c>
      <c r="K5" s="13" t="inlineStr">
        <is>
          <t>PRO</t>
        </is>
      </c>
      <c r="L5" s="13" t="inlineStr">
        <is>
          <t>MAT</t>
        </is>
      </c>
      <c r="M5" s="13" t="inlineStr">
        <is>
          <t>CON</t>
        </is>
      </c>
      <c r="N5" s="13" t="inlineStr">
        <is>
          <t>SUP</t>
        </is>
      </c>
      <c r="O5" s="13" t="inlineStr">
        <is>
          <t>CTR</t>
        </is>
      </c>
      <c r="P5" s="13" t="inlineStr">
        <is>
          <t>IM</t>
        </is>
      </c>
      <c r="Q5" s="13" t="inlineStr">
        <is>
          <t>HSE</t>
        </is>
      </c>
      <c r="R5" s="13" t="inlineStr">
        <is>
          <t>CAL</t>
        </is>
      </c>
      <c r="S5" s="13" t="inlineStr">
        <is>
          <t>COM</t>
        </is>
      </c>
      <c r="T5" s="13" t="inlineStr">
        <is>
          <t>SUB</t>
        </is>
      </c>
      <c r="U5" s="14" t="inlineStr">
        <is>
          <t>N.° de A</t>
        </is>
      </c>
      <c r="V5" s="14" t="inlineStr">
        <is>
          <t>N.° de R</t>
        </is>
      </c>
      <c r="W5" s="14" t="inlineStr">
        <is>
          <t>Verificación</t>
        </is>
      </c>
    </row>
    <row r="6">
      <c r="A6" s="15" t="n">
        <v>1</v>
      </c>
      <c r="B6" s="16" t="inlineStr">
        <is>
          <t>Planificación temprana (FEL)</t>
        </is>
      </c>
      <c r="C6" s="17" t="inlineStr">
        <is>
          <t>Aprobar la estrategia y el plan de implementación AWP</t>
        </is>
      </c>
      <c r="D6" s="16" t="inlineStr">
        <is>
          <t>Todas las fases</t>
        </is>
      </c>
      <c r="E6" s="18" t="inlineStr">
        <is>
          <t>A</t>
        </is>
      </c>
      <c r="F6" s="18" t="inlineStr">
        <is>
          <t>R</t>
        </is>
      </c>
      <c r="G6" s="18" t="inlineStr">
        <is>
          <t>R</t>
        </is>
      </c>
      <c r="H6" s="18" t="n"/>
      <c r="I6" s="18" t="n"/>
      <c r="J6" s="18" t="inlineStr">
        <is>
          <t>C</t>
        </is>
      </c>
      <c r="K6" s="18" t="inlineStr">
        <is>
          <t>C</t>
        </is>
      </c>
      <c r="L6" s="18" t="n"/>
      <c r="M6" s="18" t="inlineStr">
        <is>
          <t>C</t>
        </is>
      </c>
      <c r="N6" s="18" t="n"/>
      <c r="O6" s="18" t="inlineStr">
        <is>
          <t>C</t>
        </is>
      </c>
      <c r="P6" s="18" t="n"/>
      <c r="Q6" s="18" t="n"/>
      <c r="R6" s="18" t="n"/>
      <c r="S6" s="18" t="inlineStr">
        <is>
          <t>I</t>
        </is>
      </c>
      <c r="T6" s="18" t="n"/>
      <c r="U6" s="19">
        <f>IF(C6="","",COUNTIF(E6:T6,"A"))</f>
        <v/>
      </c>
      <c r="V6" s="19">
        <f>IF(C6="","",COUNTIF(E6:T6,"R"))</f>
        <v/>
      </c>
      <c r="W6" s="20">
        <f>IF(C6="","",IF(U6&lt;&gt;1,"Revisar: debe haber una sola A",IF(V6=0,"OK (A ejecuta)","OK")))</f>
        <v/>
      </c>
    </row>
    <row r="7">
      <c r="A7" s="15" t="n">
        <v>2</v>
      </c>
      <c r="B7" s="16" t="inlineStr">
        <is>
          <t>Planificación temprana (FEL)</t>
        </is>
      </c>
      <c r="C7" s="17" t="inlineStr">
        <is>
          <t>Designar al AWP Champion y al equipo AWP</t>
        </is>
      </c>
      <c r="D7" s="16" t="inlineStr">
        <is>
          <t>Todas las fases</t>
        </is>
      </c>
      <c r="E7" s="18" t="inlineStr">
        <is>
          <t>C</t>
        </is>
      </c>
      <c r="F7" s="18" t="inlineStr">
        <is>
          <t>A</t>
        </is>
      </c>
      <c r="G7" s="18" t="inlineStr">
        <is>
          <t>I</t>
        </is>
      </c>
      <c r="H7" s="18" t="n"/>
      <c r="I7" s="18" t="n"/>
      <c r="J7" s="18" t="n"/>
      <c r="K7" s="18" t="n"/>
      <c r="L7" s="18" t="n"/>
      <c r="M7" s="18" t="inlineStr">
        <is>
          <t>C</t>
        </is>
      </c>
      <c r="N7" s="18" t="n"/>
      <c r="O7" s="18" t="n"/>
      <c r="P7" s="18" t="n"/>
      <c r="Q7" s="18" t="n"/>
      <c r="R7" s="18" t="n"/>
      <c r="S7" s="18" t="n"/>
      <c r="T7" s="18" t="n"/>
      <c r="U7" s="19">
        <f>IF(C7="","",COUNTIF(E7:T7,"A"))</f>
        <v/>
      </c>
      <c r="V7" s="19">
        <f>IF(C7="","",COUNTIF(E7:T7,"R"))</f>
        <v/>
      </c>
      <c r="W7" s="20">
        <f>IF(C7="","",IF(U7&lt;&gt;1,"Revisar: debe haber una sola A",IF(V7=0,"OK (A ejecuta)","OK")))</f>
        <v/>
      </c>
    </row>
    <row r="8">
      <c r="A8" s="15" t="n">
        <v>3</v>
      </c>
      <c r="B8" s="16" t="inlineStr">
        <is>
          <t>Planificación temprana (FEL)</t>
        </is>
      </c>
      <c r="C8" s="17" t="inlineStr">
        <is>
          <t>Evaluar la escala de AWP y definir el nivel de madurez por fase</t>
        </is>
      </c>
      <c r="D8" s="16" t="inlineStr">
        <is>
          <t>Todas las fases</t>
        </is>
      </c>
      <c r="E8" s="18" t="inlineStr">
        <is>
          <t>C</t>
        </is>
      </c>
      <c r="F8" s="18" t="inlineStr">
        <is>
          <t>A</t>
        </is>
      </c>
      <c r="G8" s="18" t="inlineStr">
        <is>
          <t>R</t>
        </is>
      </c>
      <c r="H8" s="18" t="n"/>
      <c r="I8" s="18" t="n"/>
      <c r="J8" s="18" t="n"/>
      <c r="K8" s="18" t="n"/>
      <c r="L8" s="18" t="n"/>
      <c r="M8" s="18" t="inlineStr">
        <is>
          <t>C</t>
        </is>
      </c>
      <c r="N8" s="18" t="n"/>
      <c r="O8" s="18" t="inlineStr">
        <is>
          <t>C</t>
        </is>
      </c>
      <c r="P8" s="18" t="n"/>
      <c r="Q8" s="18" t="n"/>
      <c r="R8" s="18" t="n"/>
      <c r="S8" s="18" t="n"/>
      <c r="T8" s="18" t="n"/>
      <c r="U8" s="19">
        <f>IF(C8="","",COUNTIF(E8:T8,"A"))</f>
        <v/>
      </c>
      <c r="V8" s="19">
        <f>IF(C8="","",COUNTIF(E8:T8,"R"))</f>
        <v/>
      </c>
      <c r="W8" s="20">
        <f>IF(C8="","",IF(U8&lt;&gt;1,"Revisar: debe haber una sola A",IF(V8=0,"OK (A ejecuta)","OK")))</f>
        <v/>
      </c>
    </row>
    <row r="9">
      <c r="A9" s="15" t="n">
        <v>4</v>
      </c>
      <c r="B9" s="16" t="inlineStr">
        <is>
          <t>Planificación temprana (FEL)</t>
        </is>
      </c>
      <c r="C9" s="17" t="inlineStr">
        <is>
          <t>Definir las CWA de la fase</t>
        </is>
      </c>
      <c r="D9" s="16" t="inlineStr">
        <is>
          <t>Todas las fases</t>
        </is>
      </c>
      <c r="E9" s="18" t="inlineStr">
        <is>
          <t>C</t>
        </is>
      </c>
      <c r="F9" s="18" t="n"/>
      <c r="G9" s="18" t="inlineStr">
        <is>
          <t>A</t>
        </is>
      </c>
      <c r="H9" s="18" t="n"/>
      <c r="I9" s="18" t="n"/>
      <c r="J9" s="18" t="inlineStr">
        <is>
          <t>C</t>
        </is>
      </c>
      <c r="K9" s="18" t="n"/>
      <c r="L9" s="18" t="n"/>
      <c r="M9" s="18" t="inlineStr">
        <is>
          <t>R</t>
        </is>
      </c>
      <c r="N9" s="18" t="n"/>
      <c r="O9" s="18" t="inlineStr">
        <is>
          <t>C</t>
        </is>
      </c>
      <c r="P9" s="18" t="inlineStr">
        <is>
          <t>I</t>
        </is>
      </c>
      <c r="Q9" s="18" t="n"/>
      <c r="R9" s="18" t="n"/>
      <c r="S9" s="18" t="inlineStr">
        <is>
          <t>C</t>
        </is>
      </c>
      <c r="T9" s="18" t="n"/>
      <c r="U9" s="19">
        <f>IF(C9="","",COUNTIF(E9:T9,"A"))</f>
        <v/>
      </c>
      <c r="V9" s="19">
        <f>IF(C9="","",COUNTIF(E9:T9,"R"))</f>
        <v/>
      </c>
      <c r="W9" s="20">
        <f>IF(C9="","",IF(U9&lt;&gt;1,"Revisar: debe haber una sola A",IF(V9=0,"OK (A ejecuta)","OK")))</f>
        <v/>
      </c>
    </row>
    <row r="10">
      <c r="A10" s="15" t="n">
        <v>5</v>
      </c>
      <c r="B10" s="16" t="inlineStr">
        <is>
          <t>Planificación temprana (FEL)</t>
        </is>
      </c>
      <c r="C10" s="17" t="inlineStr">
        <is>
          <t>Desarrollar el Path of Construction en talleres IPP</t>
        </is>
      </c>
      <c r="D10" s="16" t="inlineStr">
        <is>
          <t>Todas las fases</t>
        </is>
      </c>
      <c r="E10" s="18" t="inlineStr">
        <is>
          <t>C</t>
        </is>
      </c>
      <c r="F10" s="18" t="n"/>
      <c r="G10" s="18" t="inlineStr">
        <is>
          <t>R</t>
        </is>
      </c>
      <c r="H10" s="18" t="inlineStr">
        <is>
          <t>C</t>
        </is>
      </c>
      <c r="I10" s="18" t="n"/>
      <c r="J10" s="18" t="inlineStr">
        <is>
          <t>C</t>
        </is>
      </c>
      <c r="K10" s="18" t="inlineStr">
        <is>
          <t>C</t>
        </is>
      </c>
      <c r="L10" s="18" t="n"/>
      <c r="M10" s="18" t="inlineStr">
        <is>
          <t>A</t>
        </is>
      </c>
      <c r="N10" s="18" t="n"/>
      <c r="O10" s="18" t="inlineStr">
        <is>
          <t>C</t>
        </is>
      </c>
      <c r="P10" s="18" t="n"/>
      <c r="Q10" s="18" t="inlineStr">
        <is>
          <t>C</t>
        </is>
      </c>
      <c r="R10" s="18" t="n"/>
      <c r="S10" s="18" t="inlineStr">
        <is>
          <t>C</t>
        </is>
      </c>
      <c r="T10" s="18" t="n"/>
      <c r="U10" s="19">
        <f>IF(C10="","",COUNTIF(E10:T10,"A"))</f>
        <v/>
      </c>
      <c r="V10" s="19">
        <f>IF(C10="","",COUNTIF(E10:T10,"R"))</f>
        <v/>
      </c>
      <c r="W10" s="20">
        <f>IF(C10="","",IF(U10&lt;&gt;1,"Revisar: debe haber una sola A",IF(V10=0,"OK (A ejecuta)","OK")))</f>
        <v/>
      </c>
    </row>
    <row r="11">
      <c r="A11" s="15" t="n">
        <v>6</v>
      </c>
      <c r="B11" s="16" t="inlineStr">
        <is>
          <t>Planificación temprana (FEL)</t>
        </is>
      </c>
      <c r="C11" s="17" t="inlineStr">
        <is>
          <t>Elaborar el plan de liberación CWP/EWP/PWP</t>
        </is>
      </c>
      <c r="D11" s="16" t="inlineStr">
        <is>
          <t>Todas las fases</t>
        </is>
      </c>
      <c r="E11" s="18" t="n"/>
      <c r="F11" s="18" t="n"/>
      <c r="G11" s="18" t="inlineStr">
        <is>
          <t>A</t>
        </is>
      </c>
      <c r="H11" s="18" t="inlineStr">
        <is>
          <t>C</t>
        </is>
      </c>
      <c r="I11" s="18" t="n"/>
      <c r="J11" s="18" t="inlineStr">
        <is>
          <t>R</t>
        </is>
      </c>
      <c r="K11" s="18" t="inlineStr">
        <is>
          <t>R</t>
        </is>
      </c>
      <c r="L11" s="18" t="n"/>
      <c r="M11" s="18" t="inlineStr">
        <is>
          <t>R</t>
        </is>
      </c>
      <c r="N11" s="18" t="n"/>
      <c r="O11" s="18" t="inlineStr">
        <is>
          <t>R</t>
        </is>
      </c>
      <c r="P11" s="18" t="n"/>
      <c r="Q11" s="18" t="n"/>
      <c r="R11" s="18" t="n"/>
      <c r="S11" s="18" t="n"/>
      <c r="T11" s="18" t="n"/>
      <c r="U11" s="19">
        <f>IF(C11="","",COUNTIF(E11:T11,"A"))</f>
        <v/>
      </c>
      <c r="V11" s="19">
        <f>IF(C11="","",COUNTIF(E11:T11,"R"))</f>
        <v/>
      </c>
      <c r="W11" s="20">
        <f>IF(C11="","",IF(U11&lt;&gt;1,"Revisar: debe haber una sola A",IF(V11=0,"OK (A ejecuta)","OK")))</f>
        <v/>
      </c>
    </row>
    <row r="12">
      <c r="A12" s="15" t="n">
        <v>7</v>
      </c>
      <c r="B12" s="16" t="inlineStr">
        <is>
          <t>Planificación temprana (FEL)</t>
        </is>
      </c>
      <c r="C12" s="17" t="inlineStr">
        <is>
          <t>Definir la WBS y la codificación de paquetes</t>
        </is>
      </c>
      <c r="D12" s="16" t="inlineStr">
        <is>
          <t>Todas las fases</t>
        </is>
      </c>
      <c r="E12" s="18" t="n"/>
      <c r="F12" s="18" t="n"/>
      <c r="G12" s="18" t="inlineStr">
        <is>
          <t>A</t>
        </is>
      </c>
      <c r="H12" s="18" t="n"/>
      <c r="I12" s="18" t="n"/>
      <c r="J12" s="18" t="inlineStr">
        <is>
          <t>C</t>
        </is>
      </c>
      <c r="K12" s="18" t="inlineStr">
        <is>
          <t>C</t>
        </is>
      </c>
      <c r="L12" s="18" t="n"/>
      <c r="M12" s="18" t="inlineStr">
        <is>
          <t>C</t>
        </is>
      </c>
      <c r="N12" s="18" t="n"/>
      <c r="O12" s="18" t="inlineStr">
        <is>
          <t>R</t>
        </is>
      </c>
      <c r="P12" s="18" t="inlineStr">
        <is>
          <t>R</t>
        </is>
      </c>
      <c r="Q12" s="18" t="n"/>
      <c r="R12" s="18" t="n"/>
      <c r="S12" s="18" t="n"/>
      <c r="T12" s="18" t="n"/>
      <c r="U12" s="19">
        <f>IF(C12="","",COUNTIF(E12:T12,"A"))</f>
        <v/>
      </c>
      <c r="V12" s="19">
        <f>IF(C12="","",COUNTIF(E12:T12,"R"))</f>
        <v/>
      </c>
      <c r="W12" s="20">
        <f>IF(C12="","",IF(U12&lt;&gt;1,"Revisar: debe haber una sola A",IF(V12=0,"OK (A ejecuta)","OK")))</f>
        <v/>
      </c>
    </row>
    <row r="13">
      <c r="A13" s="15" t="n">
        <v>8</v>
      </c>
      <c r="B13" s="16" t="inlineStr">
        <is>
          <t>Planificación temprana (FEL)</t>
        </is>
      </c>
      <c r="C13" s="17" t="inlineStr">
        <is>
          <t>Incluir los requisitos AWP en contratos y subcontratos</t>
        </is>
      </c>
      <c r="D13" s="16" t="inlineStr">
        <is>
          <t>Todas las fases</t>
        </is>
      </c>
      <c r="E13" s="18" t="inlineStr">
        <is>
          <t>C</t>
        </is>
      </c>
      <c r="F13" s="18" t="inlineStr">
        <is>
          <t>A</t>
        </is>
      </c>
      <c r="G13" s="18" t="inlineStr">
        <is>
          <t>C</t>
        </is>
      </c>
      <c r="H13" s="18" t="n"/>
      <c r="I13" s="18" t="n"/>
      <c r="J13" s="18" t="n"/>
      <c r="K13" s="18" t="inlineStr">
        <is>
          <t>R</t>
        </is>
      </c>
      <c r="L13" s="18" t="n"/>
      <c r="M13" s="18" t="n"/>
      <c r="N13" s="18" t="n"/>
      <c r="O13" s="18" t="n"/>
      <c r="P13" s="18" t="n"/>
      <c r="Q13" s="18" t="n"/>
      <c r="R13" s="18" t="n"/>
      <c r="S13" s="18" t="n"/>
      <c r="T13" s="18" t="inlineStr">
        <is>
          <t>I</t>
        </is>
      </c>
      <c r="U13" s="19">
        <f>IF(C13="","",COUNTIF(E13:T13,"A"))</f>
        <v/>
      </c>
      <c r="V13" s="19">
        <f>IF(C13="","",COUNTIF(E13:T13,"R"))</f>
        <v/>
      </c>
      <c r="W13" s="20">
        <f>IF(C13="","",IF(U13&lt;&gt;1,"Revisar: debe haber una sola A",IF(V13=0,"OK (A ejecuta)","OK")))</f>
        <v/>
      </c>
    </row>
    <row r="14">
      <c r="A14" s="15" t="n">
        <v>9</v>
      </c>
      <c r="B14" s="16" t="inlineStr">
        <is>
          <t>Planificación temprana (FEL)</t>
        </is>
      </c>
      <c r="C14" s="17" t="inlineStr">
        <is>
          <t>Definir los requisitos de gestión de la información y del modelo 3D</t>
        </is>
      </c>
      <c r="D14" s="16" t="inlineStr">
        <is>
          <t>Todas las fases</t>
        </is>
      </c>
      <c r="E14" s="18" t="n"/>
      <c r="F14" s="18" t="n"/>
      <c r="G14" s="18" t="inlineStr">
        <is>
          <t>A</t>
        </is>
      </c>
      <c r="H14" s="18" t="n"/>
      <c r="I14" s="18" t="n"/>
      <c r="J14" s="18" t="inlineStr">
        <is>
          <t>C</t>
        </is>
      </c>
      <c r="K14" s="18" t="inlineStr">
        <is>
          <t>C</t>
        </is>
      </c>
      <c r="L14" s="18" t="n"/>
      <c r="M14" s="18" t="n"/>
      <c r="N14" s="18" t="n"/>
      <c r="O14" s="18" t="inlineStr">
        <is>
          <t>C</t>
        </is>
      </c>
      <c r="P14" s="18" t="inlineStr">
        <is>
          <t>R</t>
        </is>
      </c>
      <c r="Q14" s="18" t="n"/>
      <c r="R14" s="18" t="n"/>
      <c r="S14" s="18" t="n"/>
      <c r="T14" s="18" t="n"/>
      <c r="U14" s="19">
        <f>IF(C14="","",COUNTIF(E14:T14,"A"))</f>
        <v/>
      </c>
      <c r="V14" s="19">
        <f>IF(C14="","",COUNTIF(E14:T14,"R"))</f>
        <v/>
      </c>
      <c r="W14" s="20">
        <f>IF(C14="","",IF(U14&lt;&gt;1,"Revisar: debe haber una sola A",IF(V14=0,"OK (A ejecuta)","OK")))</f>
        <v/>
      </c>
    </row>
    <row r="15">
      <c r="A15" s="15" t="n">
        <v>10</v>
      </c>
      <c r="B15" s="16" t="inlineStr">
        <is>
          <t>Planificación temprana (FEL)</t>
        </is>
      </c>
      <c r="C15" s="17" t="inlineStr">
        <is>
          <t>Implementar el software de WFP integrado con modelo, cronograma y materiales</t>
        </is>
      </c>
      <c r="D15" s="16" t="inlineStr">
        <is>
          <t>Fase 2</t>
        </is>
      </c>
      <c r="E15" s="18" t="n"/>
      <c r="F15" s="18" t="n"/>
      <c r="G15" s="18" t="inlineStr">
        <is>
          <t>A</t>
        </is>
      </c>
      <c r="H15" s="18" t="inlineStr">
        <is>
          <t>C</t>
        </is>
      </c>
      <c r="I15" s="18" t="n"/>
      <c r="J15" s="18" t="inlineStr">
        <is>
          <t>C</t>
        </is>
      </c>
      <c r="K15" s="18" t="inlineStr">
        <is>
          <t>C</t>
        </is>
      </c>
      <c r="L15" s="18" t="n"/>
      <c r="M15" s="18" t="n"/>
      <c r="N15" s="18" t="n"/>
      <c r="O15" s="18" t="inlineStr">
        <is>
          <t>C</t>
        </is>
      </c>
      <c r="P15" s="18" t="inlineStr">
        <is>
          <t>R</t>
        </is>
      </c>
      <c r="Q15" s="18" t="n"/>
      <c r="R15" s="18" t="n"/>
      <c r="S15" s="18" t="n"/>
      <c r="T15" s="18" t="n"/>
      <c r="U15" s="19">
        <f>IF(C15="","",COUNTIF(E15:T15,"A"))</f>
        <v/>
      </c>
      <c r="V15" s="19">
        <f>IF(C15="","",COUNTIF(E15:T15,"R"))</f>
        <v/>
      </c>
      <c r="W15" s="20">
        <f>IF(C15="","",IF(U15&lt;&gt;1,"Revisar: debe haber una sola A",IF(V15=0,"OK (A ejecuta)","OK")))</f>
        <v/>
      </c>
    </row>
    <row r="16">
      <c r="A16" s="15" t="n">
        <v>11</v>
      </c>
      <c r="B16" s="16" t="inlineStr">
        <is>
          <t>Ingeniería</t>
        </is>
      </c>
      <c r="C16" s="17" t="inlineStr">
        <is>
          <t>Planificar la ingeniería por EWP según el PoC</t>
        </is>
      </c>
      <c r="D16" s="16" t="inlineStr">
        <is>
          <t>Todas las fases</t>
        </is>
      </c>
      <c r="E16" s="18" t="n"/>
      <c r="F16" s="18" t="n"/>
      <c r="G16" s="18" t="inlineStr">
        <is>
          <t>C</t>
        </is>
      </c>
      <c r="H16" s="18" t="n"/>
      <c r="I16" s="18" t="n"/>
      <c r="J16" s="18" t="inlineStr">
        <is>
          <t>A</t>
        </is>
      </c>
      <c r="K16" s="18" t="n"/>
      <c r="L16" s="18" t="n"/>
      <c r="M16" s="18" t="inlineStr">
        <is>
          <t>C</t>
        </is>
      </c>
      <c r="N16" s="18" t="n"/>
      <c r="O16" s="18" t="inlineStr">
        <is>
          <t>R</t>
        </is>
      </c>
      <c r="P16" s="18" t="n"/>
      <c r="Q16" s="18" t="n"/>
      <c r="R16" s="18" t="n"/>
      <c r="S16" s="18" t="n"/>
      <c r="T16" s="18" t="n"/>
      <c r="U16" s="19">
        <f>IF(C16="","",COUNTIF(E16:T16,"A"))</f>
        <v/>
      </c>
      <c r="V16" s="19">
        <f>IF(C16="","",COUNTIF(E16:T16,"R"))</f>
        <v/>
      </c>
      <c r="W16" s="20">
        <f>IF(C16="","",IF(U16&lt;&gt;1,"Revisar: debe haber una sola A",IF(V16=0,"OK (A ejecuta)","OK")))</f>
        <v/>
      </c>
    </row>
    <row r="17">
      <c r="A17" s="15" t="n">
        <v>12</v>
      </c>
      <c r="B17" s="16" t="inlineStr">
        <is>
          <t>Ingeniería</t>
        </is>
      </c>
      <c r="C17" s="17" t="inlineStr">
        <is>
          <t>Emitir EWP completos (IFC y MTO) en la secuencia del PoC</t>
        </is>
      </c>
      <c r="D17" s="16" t="inlineStr">
        <is>
          <t>Todas las fases</t>
        </is>
      </c>
      <c r="E17" s="18" t="n"/>
      <c r="F17" s="18" t="n"/>
      <c r="G17" s="18" t="inlineStr">
        <is>
          <t>I</t>
        </is>
      </c>
      <c r="H17" s="18" t="inlineStr">
        <is>
          <t>I</t>
        </is>
      </c>
      <c r="I17" s="18" t="n"/>
      <c r="J17" s="18" t="inlineStr">
        <is>
          <t>A</t>
        </is>
      </c>
      <c r="K17" s="18" t="inlineStr">
        <is>
          <t>I</t>
        </is>
      </c>
      <c r="L17" s="18" t="n"/>
      <c r="M17" s="18" t="inlineStr">
        <is>
          <t>I</t>
        </is>
      </c>
      <c r="N17" s="18" t="n"/>
      <c r="O17" s="18" t="n"/>
      <c r="P17" s="18" t="n"/>
      <c r="Q17" s="18" t="n"/>
      <c r="R17" s="18" t="n"/>
      <c r="S17" s="18" t="n"/>
      <c r="T17" s="18" t="n"/>
      <c r="U17" s="19">
        <f>IF(C17="","",COUNTIF(E17:T17,"A"))</f>
        <v/>
      </c>
      <c r="V17" s="19">
        <f>IF(C17="","",COUNTIF(E17:T17,"R"))</f>
        <v/>
      </c>
      <c r="W17" s="20">
        <f>IF(C17="","",IF(U17&lt;&gt;1,"Revisar: debe haber una sola A",IF(V17=0,"OK (A ejecuta)","OK")))</f>
        <v/>
      </c>
    </row>
    <row r="18">
      <c r="A18" s="15" t="n">
        <v>13</v>
      </c>
      <c r="B18" s="16" t="inlineStr">
        <is>
          <t>Ingeniería</t>
        </is>
      </c>
      <c r="C18" s="17" t="inlineStr">
        <is>
          <t>Mantener el modelo 3D con atributos AWP</t>
        </is>
      </c>
      <c r="D18" s="16" t="inlineStr">
        <is>
          <t>Todas las fases</t>
        </is>
      </c>
      <c r="E18" s="18" t="n"/>
      <c r="F18" s="18" t="n"/>
      <c r="G18" s="18" t="n"/>
      <c r="H18" s="18" t="inlineStr">
        <is>
          <t>C</t>
        </is>
      </c>
      <c r="I18" s="18" t="inlineStr">
        <is>
          <t>I</t>
        </is>
      </c>
      <c r="J18" s="18" t="inlineStr">
        <is>
          <t>R</t>
        </is>
      </c>
      <c r="K18" s="18" t="n"/>
      <c r="L18" s="18" t="n"/>
      <c r="M18" s="18" t="n"/>
      <c r="N18" s="18" t="n"/>
      <c r="O18" s="18" t="n"/>
      <c r="P18" s="18" t="inlineStr">
        <is>
          <t>A</t>
        </is>
      </c>
      <c r="Q18" s="18" t="n"/>
      <c r="R18" s="18" t="n"/>
      <c r="S18" s="18" t="n"/>
      <c r="T18" s="18" t="n"/>
      <c r="U18" s="19">
        <f>IF(C18="","",COUNTIF(E18:T18,"A"))</f>
        <v/>
      </c>
      <c r="V18" s="19">
        <f>IF(C18="","",COUNTIF(E18:T18,"R"))</f>
        <v/>
      </c>
      <c r="W18" s="20">
        <f>IF(C18="","",IF(U18&lt;&gt;1,"Revisar: debe haber una sola A",IF(V18=0,"OK (A ejecuta)","OK")))</f>
        <v/>
      </c>
    </row>
    <row r="19">
      <c r="A19" s="15" t="n">
        <v>14</v>
      </c>
      <c r="B19" s="16" t="inlineStr">
        <is>
          <t>Ingeniería</t>
        </is>
      </c>
      <c r="C19" s="17" t="inlineStr">
        <is>
          <t>Revisar la constructabilidad antes de la emisión IFC</t>
        </is>
      </c>
      <c r="D19" s="16" t="inlineStr">
        <is>
          <t>Todas las fases</t>
        </is>
      </c>
      <c r="E19" s="18" t="n"/>
      <c r="F19" s="18" t="n"/>
      <c r="G19" s="18" t="n"/>
      <c r="H19" s="18" t="n"/>
      <c r="I19" s="18" t="n"/>
      <c r="J19" s="18" t="inlineStr">
        <is>
          <t>A</t>
        </is>
      </c>
      <c r="K19" s="18" t="n"/>
      <c r="L19" s="18" t="n"/>
      <c r="M19" s="18" t="inlineStr">
        <is>
          <t>R</t>
        </is>
      </c>
      <c r="N19" s="18" t="inlineStr">
        <is>
          <t>C</t>
        </is>
      </c>
      <c r="O19" s="18" t="n"/>
      <c r="P19" s="18" t="n"/>
      <c r="Q19" s="18" t="inlineStr">
        <is>
          <t>C</t>
        </is>
      </c>
      <c r="R19" s="18" t="inlineStr">
        <is>
          <t>C</t>
        </is>
      </c>
      <c r="S19" s="18" t="n"/>
      <c r="T19" s="18" t="n"/>
      <c r="U19" s="19">
        <f>IF(C19="","",COUNTIF(E19:T19,"A"))</f>
        <v/>
      </c>
      <c r="V19" s="19">
        <f>IF(C19="","",COUNTIF(E19:T19,"R"))</f>
        <v/>
      </c>
      <c r="W19" s="20">
        <f>IF(C19="","",IF(U19&lt;&gt;1,"Revisar: debe haber una sola A",IF(V19=0,"OK (A ejecuta)","OK")))</f>
        <v/>
      </c>
    </row>
    <row r="20">
      <c r="A20" s="15" t="n">
        <v>15</v>
      </c>
      <c r="B20" s="16" t="inlineStr">
        <is>
          <t>Ingeniería</t>
        </is>
      </c>
      <c r="C20" s="17" t="inlineStr">
        <is>
          <t>Responder las RFI</t>
        </is>
      </c>
      <c r="D20" s="16" t="inlineStr">
        <is>
          <t>Todas las fases</t>
        </is>
      </c>
      <c r="E20" s="18" t="n"/>
      <c r="F20" s="18" t="n"/>
      <c r="G20" s="18" t="n"/>
      <c r="H20" s="18" t="inlineStr">
        <is>
          <t>I</t>
        </is>
      </c>
      <c r="I20" s="18" t="inlineStr">
        <is>
          <t>C</t>
        </is>
      </c>
      <c r="J20" s="18" t="inlineStr">
        <is>
          <t>A</t>
        </is>
      </c>
      <c r="K20" s="18" t="n"/>
      <c r="L20" s="18" t="n"/>
      <c r="M20" s="18" t="inlineStr">
        <is>
          <t>I</t>
        </is>
      </c>
      <c r="N20" s="18" t="n"/>
      <c r="O20" s="18" t="n"/>
      <c r="P20" s="18" t="n"/>
      <c r="Q20" s="18" t="n"/>
      <c r="R20" s="18" t="n"/>
      <c r="S20" s="18" t="n"/>
      <c r="T20" s="18" t="n"/>
      <c r="U20" s="19">
        <f>IF(C20="","",COUNTIF(E20:T20,"A"))</f>
        <v/>
      </c>
      <c r="V20" s="19">
        <f>IF(C20="","",COUNTIF(E20:T20,"R"))</f>
        <v/>
      </c>
      <c r="W20" s="20">
        <f>IF(C20="","",IF(U20&lt;&gt;1,"Revisar: debe haber una sola A",IF(V20=0,"OK (A ejecuta)","OK")))</f>
        <v/>
      </c>
    </row>
    <row r="21">
      <c r="A21" s="15" t="n">
        <v>16</v>
      </c>
      <c r="B21" s="16" t="inlineStr">
        <is>
          <t>Procura</t>
        </is>
      </c>
      <c r="C21" s="17" t="inlineStr">
        <is>
          <t>Estructurar las compras en PWP por CWP</t>
        </is>
      </c>
      <c r="D21" s="16" t="inlineStr">
        <is>
          <t>Todas las fases</t>
        </is>
      </c>
      <c r="E21" s="18" t="n"/>
      <c r="F21" s="18" t="n"/>
      <c r="G21" s="18" t="inlineStr">
        <is>
          <t>C</t>
        </is>
      </c>
      <c r="H21" s="18" t="n"/>
      <c r="I21" s="18" t="n"/>
      <c r="J21" s="18" t="inlineStr">
        <is>
          <t>C</t>
        </is>
      </c>
      <c r="K21" s="18" t="inlineStr">
        <is>
          <t>A</t>
        </is>
      </c>
      <c r="L21" s="18" t="inlineStr">
        <is>
          <t>C</t>
        </is>
      </c>
      <c r="M21" s="18" t="inlineStr">
        <is>
          <t>C</t>
        </is>
      </c>
      <c r="N21" s="18" t="n"/>
      <c r="O21" s="18" t="n"/>
      <c r="P21" s="18" t="n"/>
      <c r="Q21" s="18" t="n"/>
      <c r="R21" s="18" t="n"/>
      <c r="S21" s="18" t="n"/>
      <c r="T21" s="18" t="n"/>
      <c r="U21" s="19">
        <f>IF(C21="","",COUNTIF(E21:T21,"A"))</f>
        <v/>
      </c>
      <c r="V21" s="19">
        <f>IF(C21="","",COUNTIF(E21:T21,"R"))</f>
        <v/>
      </c>
      <c r="W21" s="20">
        <f>IF(C21="","",IF(U21&lt;&gt;1,"Revisar: debe haber una sola A",IF(V21=0,"OK (A ejecuta)","OK")))</f>
        <v/>
      </c>
    </row>
    <row r="22">
      <c r="A22" s="15" t="n">
        <v>17</v>
      </c>
      <c r="B22" s="16" t="inlineStr">
        <is>
          <t>Procura</t>
        </is>
      </c>
      <c r="C22" s="17" t="inlineStr">
        <is>
          <t>Alinear las fechas RAS con el PoC</t>
        </is>
      </c>
      <c r="D22" s="16" t="inlineStr">
        <is>
          <t>Todas las fases</t>
        </is>
      </c>
      <c r="E22" s="18" t="n"/>
      <c r="F22" s="18" t="n"/>
      <c r="G22" s="18" t="n"/>
      <c r="H22" s="18" t="n"/>
      <c r="I22" s="18" t="n"/>
      <c r="J22" s="18" t="inlineStr">
        <is>
          <t>C</t>
        </is>
      </c>
      <c r="K22" s="18" t="inlineStr">
        <is>
          <t>A</t>
        </is>
      </c>
      <c r="L22" s="18" t="n"/>
      <c r="M22" s="18" t="inlineStr">
        <is>
          <t>C</t>
        </is>
      </c>
      <c r="N22" s="18" t="n"/>
      <c r="O22" s="18" t="inlineStr">
        <is>
          <t>R</t>
        </is>
      </c>
      <c r="P22" s="18" t="n"/>
      <c r="Q22" s="18" t="n"/>
      <c r="R22" s="18" t="n"/>
      <c r="S22" s="18" t="n"/>
      <c r="T22" s="18" t="n"/>
      <c r="U22" s="19">
        <f>IF(C22="","",COUNTIF(E22:T22,"A"))</f>
        <v/>
      </c>
      <c r="V22" s="19">
        <f>IF(C22="","",COUNTIF(E22:T22,"R"))</f>
        <v/>
      </c>
      <c r="W22" s="20">
        <f>IF(C22="","",IF(U22&lt;&gt;1,"Revisar: debe haber una sola A",IF(V22=0,"OK (A ejecuta)","OK")))</f>
        <v/>
      </c>
    </row>
    <row r="23">
      <c r="A23" s="15" t="n">
        <v>18</v>
      </c>
      <c r="B23" s="16" t="inlineStr">
        <is>
          <t>Procura</t>
        </is>
      </c>
      <c r="C23" s="17" t="inlineStr">
        <is>
          <t>Informar el estado de materiales por CWP e IWP</t>
        </is>
      </c>
      <c r="D23" s="16" t="inlineStr">
        <is>
          <t>Todas las fases</t>
        </is>
      </c>
      <c r="E23" s="18" t="n"/>
      <c r="F23" s="18" t="n"/>
      <c r="G23" s="18" t="n"/>
      <c r="H23" s="18" t="inlineStr">
        <is>
          <t>I</t>
        </is>
      </c>
      <c r="I23" s="18" t="inlineStr">
        <is>
          <t>I</t>
        </is>
      </c>
      <c r="J23" s="18" t="n"/>
      <c r="K23" s="18" t="inlineStr">
        <is>
          <t>A</t>
        </is>
      </c>
      <c r="L23" s="18" t="inlineStr">
        <is>
          <t>R</t>
        </is>
      </c>
      <c r="M23" s="18" t="n"/>
      <c r="N23" s="18" t="n"/>
      <c r="O23" s="18" t="n"/>
      <c r="P23" s="18" t="n"/>
      <c r="Q23" s="18" t="n"/>
      <c r="R23" s="18" t="n"/>
      <c r="S23" s="18" t="n"/>
      <c r="T23" s="18" t="n"/>
      <c r="U23" s="19">
        <f>IF(C23="","",COUNTIF(E23:T23,"A"))</f>
        <v/>
      </c>
      <c r="V23" s="19">
        <f>IF(C23="","",COUNTIF(E23:T23,"R"))</f>
        <v/>
      </c>
      <c r="W23" s="20">
        <f>IF(C23="","",IF(U23&lt;&gt;1,"Revisar: debe haber una sola A",IF(V23=0,"OK (A ejecuta)","OK")))</f>
        <v/>
      </c>
    </row>
    <row r="24">
      <c r="A24" s="15" t="n">
        <v>19</v>
      </c>
      <c r="B24" s="16" t="inlineStr">
        <is>
          <t>Procura</t>
        </is>
      </c>
      <c r="C24" s="17" t="inlineStr">
        <is>
          <t>Reservar y despachar materiales por IWP</t>
        </is>
      </c>
      <c r="D24" s="16" t="inlineStr">
        <is>
          <t>Todas las fases</t>
        </is>
      </c>
      <c r="E24" s="18" t="n"/>
      <c r="F24" s="18" t="n"/>
      <c r="G24" s="18" t="n"/>
      <c r="H24" s="18" t="n"/>
      <c r="I24" s="18" t="inlineStr">
        <is>
          <t>C</t>
        </is>
      </c>
      <c r="J24" s="18" t="n"/>
      <c r="K24" s="18" t="inlineStr">
        <is>
          <t>C</t>
        </is>
      </c>
      <c r="L24" s="18" t="inlineStr">
        <is>
          <t>A</t>
        </is>
      </c>
      <c r="M24" s="18" t="n"/>
      <c r="N24" s="18" t="inlineStr">
        <is>
          <t>I</t>
        </is>
      </c>
      <c r="O24" s="18" t="n"/>
      <c r="P24" s="18" t="n"/>
      <c r="Q24" s="18" t="n"/>
      <c r="R24" s="18" t="n"/>
      <c r="S24" s="18" t="n"/>
      <c r="T24" s="18" t="n"/>
      <c r="U24" s="19">
        <f>IF(C24="","",COUNTIF(E24:T24,"A"))</f>
        <v/>
      </c>
      <c r="V24" s="19">
        <f>IF(C24="","",COUNTIF(E24:T24,"R"))</f>
        <v/>
      </c>
      <c r="W24" s="20">
        <f>IF(C24="","",IF(U24&lt;&gt;1,"Revisar: debe haber una sola A",IF(V24=0,"OK (A ejecuta)","OK")))</f>
        <v/>
      </c>
    </row>
    <row r="25">
      <c r="A25" s="15" t="n">
        <v>20</v>
      </c>
      <c r="B25" s="16" t="inlineStr">
        <is>
          <t>Procura</t>
        </is>
      </c>
      <c r="C25" s="17" t="inlineStr">
        <is>
          <t>Gestionar la documentación del proveedor</t>
        </is>
      </c>
      <c r="D25" s="16" t="inlineStr">
        <is>
          <t>Todas las fases</t>
        </is>
      </c>
      <c r="E25" s="18" t="n"/>
      <c r="F25" s="18" t="n"/>
      <c r="G25" s="18" t="n"/>
      <c r="H25" s="18" t="n"/>
      <c r="I25" s="18" t="n"/>
      <c r="J25" s="18" t="inlineStr">
        <is>
          <t>C</t>
        </is>
      </c>
      <c r="K25" s="18" t="inlineStr">
        <is>
          <t>A</t>
        </is>
      </c>
      <c r="L25" s="18" t="n"/>
      <c r="M25" s="18" t="n"/>
      <c r="N25" s="18" t="n"/>
      <c r="O25" s="18" t="n"/>
      <c r="P25" s="18" t="n"/>
      <c r="Q25" s="18" t="n"/>
      <c r="R25" s="18" t="inlineStr">
        <is>
          <t>C</t>
        </is>
      </c>
      <c r="S25" s="18" t="inlineStr">
        <is>
          <t>C</t>
        </is>
      </c>
      <c r="T25" s="18" t="n"/>
      <c r="U25" s="19">
        <f>IF(C25="","",COUNTIF(E25:T25,"A"))</f>
        <v/>
      </c>
      <c r="V25" s="19">
        <f>IF(C25="","",COUNTIF(E25:T25,"R"))</f>
        <v/>
      </c>
      <c r="W25" s="20">
        <f>IF(C25="","",IF(U25&lt;&gt;1,"Revisar: debe haber una sola A",IF(V25=0,"OK (A ejecuta)","OK")))</f>
        <v/>
      </c>
    </row>
    <row r="26">
      <c r="A26" s="15" t="n">
        <v>21</v>
      </c>
      <c r="B26" s="16" t="inlineStr">
        <is>
          <t>Construcción</t>
        </is>
      </c>
      <c r="C26" s="17" t="inlineStr">
        <is>
          <t>Emitir los CWP</t>
        </is>
      </c>
      <c r="D26" s="16" t="inlineStr">
        <is>
          <t>Todas las fases</t>
        </is>
      </c>
      <c r="E26" s="18" t="n"/>
      <c r="F26" s="18" t="n"/>
      <c r="G26" s="18" t="n"/>
      <c r="H26" s="18" t="inlineStr">
        <is>
          <t>R</t>
        </is>
      </c>
      <c r="I26" s="18" t="n"/>
      <c r="J26" s="18" t="inlineStr">
        <is>
          <t>C</t>
        </is>
      </c>
      <c r="K26" s="18" t="inlineStr">
        <is>
          <t>C</t>
        </is>
      </c>
      <c r="L26" s="18" t="n"/>
      <c r="M26" s="18" t="inlineStr">
        <is>
          <t>A</t>
        </is>
      </c>
      <c r="N26" s="18" t="n"/>
      <c r="O26" s="18" t="inlineStr">
        <is>
          <t>C</t>
        </is>
      </c>
      <c r="P26" s="18" t="n"/>
      <c r="Q26" s="18" t="inlineStr">
        <is>
          <t>C</t>
        </is>
      </c>
      <c r="R26" s="18" t="inlineStr">
        <is>
          <t>C</t>
        </is>
      </c>
      <c r="S26" s="18" t="n"/>
      <c r="T26" s="18" t="n"/>
      <c r="U26" s="19">
        <f>IF(C26="","",COUNTIF(E26:T26,"A"))</f>
        <v/>
      </c>
      <c r="V26" s="19">
        <f>IF(C26="","",COUNTIF(E26:T26,"R"))</f>
        <v/>
      </c>
      <c r="W26" s="20">
        <f>IF(C26="","",IF(U26&lt;&gt;1,"Revisar: debe haber una sola A",IF(V26=0,"OK (A ejecuta)","OK")))</f>
        <v/>
      </c>
    </row>
    <row r="27">
      <c r="A27" s="15" t="n">
        <v>22</v>
      </c>
      <c r="B27" s="16" t="inlineStr">
        <is>
          <t>Construcción</t>
        </is>
      </c>
      <c r="C27" s="17" t="inlineStr">
        <is>
          <t>Dividir los CWP en IWP</t>
        </is>
      </c>
      <c r="D27" s="16" t="inlineStr">
        <is>
          <t>Todas las fases</t>
        </is>
      </c>
      <c r="E27" s="18" t="n"/>
      <c r="F27" s="18" t="n"/>
      <c r="G27" s="18" t="n"/>
      <c r="H27" s="18" t="inlineStr">
        <is>
          <t>A</t>
        </is>
      </c>
      <c r="I27" s="18" t="inlineStr">
        <is>
          <t>R</t>
        </is>
      </c>
      <c r="J27" s="18" t="n"/>
      <c r="K27" s="18" t="n"/>
      <c r="L27" s="18" t="n"/>
      <c r="M27" s="18" t="n"/>
      <c r="N27" s="18" t="inlineStr">
        <is>
          <t>C</t>
        </is>
      </c>
      <c r="O27" s="18" t="inlineStr">
        <is>
          <t>I</t>
        </is>
      </c>
      <c r="P27" s="18" t="n"/>
      <c r="Q27" s="18" t="n"/>
      <c r="R27" s="18" t="n"/>
      <c r="S27" s="18" t="n"/>
      <c r="T27" s="18" t="n"/>
      <c r="U27" s="19">
        <f>IF(C27="","",COUNTIF(E27:T27,"A"))</f>
        <v/>
      </c>
      <c r="V27" s="19">
        <f>IF(C27="","",COUNTIF(E27:T27,"R"))</f>
        <v/>
      </c>
      <c r="W27" s="20">
        <f>IF(C27="","",IF(U27&lt;&gt;1,"Revisar: debe haber una sola A",IF(V27=0,"OK (A ejecuta)","OK")))</f>
        <v/>
      </c>
    </row>
    <row r="28">
      <c r="A28" s="15" t="n">
        <v>23</v>
      </c>
      <c r="B28" s="16" t="inlineStr">
        <is>
          <t>Construcción</t>
        </is>
      </c>
      <c r="C28" s="17" t="inlineStr">
        <is>
          <t>Identificar y registrar restricciones</t>
        </is>
      </c>
      <c r="D28" s="16" t="inlineStr">
        <is>
          <t>Todas las fases</t>
        </is>
      </c>
      <c r="E28" s="18" t="n"/>
      <c r="F28" s="18" t="n"/>
      <c r="G28" s="18" t="n"/>
      <c r="H28" s="18" t="inlineStr">
        <is>
          <t>A</t>
        </is>
      </c>
      <c r="I28" s="18" t="inlineStr">
        <is>
          <t>R</t>
        </is>
      </c>
      <c r="J28" s="18" t="n"/>
      <c r="K28" s="18" t="n"/>
      <c r="L28" s="18" t="n"/>
      <c r="M28" s="18" t="n"/>
      <c r="N28" s="18" t="inlineStr">
        <is>
          <t>C</t>
        </is>
      </c>
      <c r="O28" s="18" t="n"/>
      <c r="P28" s="18" t="n"/>
      <c r="Q28" s="18" t="n"/>
      <c r="R28" s="18" t="n"/>
      <c r="S28" s="18" t="n"/>
      <c r="T28" s="18" t="inlineStr">
        <is>
          <t>R</t>
        </is>
      </c>
      <c r="U28" s="19">
        <f>IF(C28="","",COUNTIF(E28:T28,"A"))</f>
        <v/>
      </c>
      <c r="V28" s="19">
        <f>IF(C28="","",COUNTIF(E28:T28,"R"))</f>
        <v/>
      </c>
      <c r="W28" s="20">
        <f>IF(C28="","",IF(U28&lt;&gt;1,"Revisar: debe haber una sola A",IF(V28=0,"OK (A ejecuta)","OK")))</f>
        <v/>
      </c>
    </row>
    <row r="29">
      <c r="A29" s="15" t="n">
        <v>24</v>
      </c>
      <c r="B29" s="16" t="inlineStr">
        <is>
          <t>Construcción</t>
        </is>
      </c>
      <c r="C29" s="17" t="inlineStr">
        <is>
          <t>Levantar las restricciones asignadas</t>
        </is>
      </c>
      <c r="D29" s="16" t="inlineStr">
        <is>
          <t>Todas las fases</t>
        </is>
      </c>
      <c r="E29" s="18" t="n"/>
      <c r="F29" s="18" t="n"/>
      <c r="G29" s="18" t="n"/>
      <c r="H29" s="18" t="inlineStr">
        <is>
          <t>A</t>
        </is>
      </c>
      <c r="I29" s="18" t="n"/>
      <c r="J29" s="18" t="inlineStr">
        <is>
          <t>R</t>
        </is>
      </c>
      <c r="K29" s="18" t="inlineStr">
        <is>
          <t>R</t>
        </is>
      </c>
      <c r="L29" s="18" t="inlineStr">
        <is>
          <t>R</t>
        </is>
      </c>
      <c r="M29" s="18" t="n"/>
      <c r="N29" s="18" t="inlineStr">
        <is>
          <t>R</t>
        </is>
      </c>
      <c r="O29" s="18" t="n"/>
      <c r="P29" s="18" t="n"/>
      <c r="Q29" s="18" t="inlineStr">
        <is>
          <t>R</t>
        </is>
      </c>
      <c r="R29" s="18" t="n"/>
      <c r="S29" s="18" t="n"/>
      <c r="T29" s="18" t="n"/>
      <c r="U29" s="19">
        <f>IF(C29="","",COUNTIF(E29:T29,"A"))</f>
        <v/>
      </c>
      <c r="V29" s="19">
        <f>IF(C29="","",COUNTIF(E29:T29,"R"))</f>
        <v/>
      </c>
      <c r="W29" s="20">
        <f>IF(C29="","",IF(U29&lt;&gt;1,"Revisar: debe haber una sola A",IF(V29=0,"OK (A ejecuta)","OK")))</f>
        <v/>
      </c>
    </row>
    <row r="30">
      <c r="A30" s="15" t="n">
        <v>25</v>
      </c>
      <c r="B30" s="16" t="inlineStr">
        <is>
          <t>Construcción</t>
        </is>
      </c>
      <c r="C30" s="17" t="inlineStr">
        <is>
          <t>Dirigir la reunión semanal de restricciones</t>
        </is>
      </c>
      <c r="D30" s="16" t="inlineStr">
        <is>
          <t>Todas las fases</t>
        </is>
      </c>
      <c r="E30" s="18" t="n"/>
      <c r="F30" s="18" t="n"/>
      <c r="G30" s="18" t="n"/>
      <c r="H30" s="18" t="inlineStr">
        <is>
          <t>A</t>
        </is>
      </c>
      <c r="I30" s="18" t="inlineStr">
        <is>
          <t>C</t>
        </is>
      </c>
      <c r="J30" s="18" t="inlineStr">
        <is>
          <t>C</t>
        </is>
      </c>
      <c r="K30" s="18" t="inlineStr">
        <is>
          <t>C</t>
        </is>
      </c>
      <c r="L30" s="18" t="n"/>
      <c r="M30" s="18" t="inlineStr">
        <is>
          <t>C</t>
        </is>
      </c>
      <c r="N30" s="18" t="inlineStr">
        <is>
          <t>C</t>
        </is>
      </c>
      <c r="O30" s="18" t="n"/>
      <c r="P30" s="18" t="n"/>
      <c r="Q30" s="18" t="n"/>
      <c r="R30" s="18" t="n"/>
      <c r="S30" s="18" t="n"/>
      <c r="T30" s="18" t="n"/>
      <c r="U30" s="19">
        <f>IF(C30="","",COUNTIF(E30:T30,"A"))</f>
        <v/>
      </c>
      <c r="V30" s="19">
        <f>IF(C30="","",COUNTIF(E30:T30,"R"))</f>
        <v/>
      </c>
      <c r="W30" s="20">
        <f>IF(C30="","",IF(U30&lt;&gt;1,"Revisar: debe haber una sola A",IF(V30=0,"OK (A ejecuta)","OK")))</f>
        <v/>
      </c>
    </row>
    <row r="31">
      <c r="A31" s="15" t="n">
        <v>26</v>
      </c>
      <c r="B31" s="16" t="inlineStr">
        <is>
          <t>Construcción</t>
        </is>
      </c>
      <c r="C31" s="17" t="inlineStr">
        <is>
          <t>Liberar IWP con el checklist de liberación</t>
        </is>
      </c>
      <c r="D31" s="16" t="inlineStr">
        <is>
          <t>Todas las fases</t>
        </is>
      </c>
      <c r="E31" s="18" t="n"/>
      <c r="F31" s="18" t="n"/>
      <c r="G31" s="18" t="n"/>
      <c r="H31" s="18" t="inlineStr">
        <is>
          <t>A</t>
        </is>
      </c>
      <c r="I31" s="18" t="inlineStr">
        <is>
          <t>R</t>
        </is>
      </c>
      <c r="J31" s="18" t="n"/>
      <c r="K31" s="18" t="n"/>
      <c r="L31" s="18" t="inlineStr">
        <is>
          <t>C</t>
        </is>
      </c>
      <c r="M31" s="18" t="n"/>
      <c r="N31" s="18" t="inlineStr">
        <is>
          <t>C</t>
        </is>
      </c>
      <c r="O31" s="18" t="n"/>
      <c r="P31" s="18" t="n"/>
      <c r="Q31" s="18" t="inlineStr">
        <is>
          <t>C</t>
        </is>
      </c>
      <c r="R31" s="18" t="inlineStr">
        <is>
          <t>C</t>
        </is>
      </c>
      <c r="S31" s="18" t="n"/>
      <c r="T31" s="18" t="n"/>
      <c r="U31" s="19">
        <f>IF(C31="","",COUNTIF(E31:T31,"A"))</f>
        <v/>
      </c>
      <c r="V31" s="19">
        <f>IF(C31="","",COUNTIF(E31:T31,"R"))</f>
        <v/>
      </c>
      <c r="W31" s="20">
        <f>IF(C31="","",IF(U31&lt;&gt;1,"Revisar: debe haber una sola A",IF(V31=0,"OK (A ejecuta)","OK")))</f>
        <v/>
      </c>
    </row>
    <row r="32">
      <c r="A32" s="15" t="n">
        <v>27</v>
      </c>
      <c r="B32" s="16" t="inlineStr">
        <is>
          <t>Construcción</t>
        </is>
      </c>
      <c r="C32" s="17" t="inlineStr">
        <is>
          <t>Seleccionar IWP del backlog (lookahead de 3 semanas)</t>
        </is>
      </c>
      <c r="D32" s="16" t="inlineStr">
        <is>
          <t>Todas las fases</t>
        </is>
      </c>
      <c r="E32" s="18" t="n"/>
      <c r="F32" s="18" t="n"/>
      <c r="G32" s="18" t="n"/>
      <c r="H32" s="18" t="inlineStr">
        <is>
          <t>C</t>
        </is>
      </c>
      <c r="I32" s="18" t="n"/>
      <c r="J32" s="18" t="n"/>
      <c r="K32" s="18" t="n"/>
      <c r="L32" s="18" t="n"/>
      <c r="M32" s="18" t="inlineStr">
        <is>
          <t>A</t>
        </is>
      </c>
      <c r="N32" s="18" t="inlineStr">
        <is>
          <t>R</t>
        </is>
      </c>
      <c r="O32" s="18" t="n"/>
      <c r="P32" s="18" t="n"/>
      <c r="Q32" s="18" t="n"/>
      <c r="R32" s="18" t="n"/>
      <c r="S32" s="18" t="n"/>
      <c r="T32" s="18" t="inlineStr">
        <is>
          <t>C</t>
        </is>
      </c>
      <c r="U32" s="19">
        <f>IF(C32="","",COUNTIF(E32:T32,"A"))</f>
        <v/>
      </c>
      <c r="V32" s="19">
        <f>IF(C32="","",COUNTIF(E32:T32,"R"))</f>
        <v/>
      </c>
      <c r="W32" s="20">
        <f>IF(C32="","",IF(U32&lt;&gt;1,"Revisar: debe haber una sola A",IF(V32=0,"OK (A ejecuta)","OK")))</f>
        <v/>
      </c>
    </row>
    <row r="33">
      <c r="A33" s="15" t="n">
        <v>28</v>
      </c>
      <c r="B33" s="16" t="inlineStr">
        <is>
          <t>Construcción</t>
        </is>
      </c>
      <c r="C33" s="17" t="inlineStr">
        <is>
          <t>Ejecutar el IWP en campo</t>
        </is>
      </c>
      <c r="D33" s="16" t="inlineStr">
        <is>
          <t>Todas las fases</t>
        </is>
      </c>
      <c r="E33" s="18" t="n"/>
      <c r="F33" s="18" t="n"/>
      <c r="G33" s="18" t="n"/>
      <c r="H33" s="18" t="n"/>
      <c r="I33" s="18" t="inlineStr">
        <is>
          <t>I</t>
        </is>
      </c>
      <c r="J33" s="18" t="n"/>
      <c r="K33" s="18" t="n"/>
      <c r="L33" s="18" t="n"/>
      <c r="M33" s="18" t="n"/>
      <c r="N33" s="18" t="inlineStr">
        <is>
          <t>A</t>
        </is>
      </c>
      <c r="O33" s="18" t="n"/>
      <c r="P33" s="18" t="n"/>
      <c r="Q33" s="18" t="inlineStr">
        <is>
          <t>C</t>
        </is>
      </c>
      <c r="R33" s="18" t="inlineStr">
        <is>
          <t>C</t>
        </is>
      </c>
      <c r="S33" s="18" t="n"/>
      <c r="T33" s="18" t="inlineStr">
        <is>
          <t>R</t>
        </is>
      </c>
      <c r="U33" s="19">
        <f>IF(C33="","",COUNTIF(E33:T33,"A"))</f>
        <v/>
      </c>
      <c r="V33" s="19">
        <f>IF(C33="","",COUNTIF(E33:T33,"R"))</f>
        <v/>
      </c>
      <c r="W33" s="20">
        <f>IF(C33="","",IF(U33&lt;&gt;1,"Revisar: debe haber una sola A",IF(V33=0,"OK (A ejecuta)","OK")))</f>
        <v/>
      </c>
    </row>
    <row r="34">
      <c r="A34" s="15" t="n">
        <v>29</v>
      </c>
      <c r="B34" s="16" t="inlineStr">
        <is>
          <t>Construcción</t>
        </is>
      </c>
      <c r="C34" s="17" t="inlineStr">
        <is>
          <t>Cerrar el IWP (avance, HH, calidad)</t>
        </is>
      </c>
      <c r="D34" s="16" t="inlineStr">
        <is>
          <t>Todas las fases</t>
        </is>
      </c>
      <c r="E34" s="18" t="n"/>
      <c r="F34" s="18" t="n"/>
      <c r="G34" s="18" t="n"/>
      <c r="H34" s="18" t="inlineStr">
        <is>
          <t>A</t>
        </is>
      </c>
      <c r="I34" s="18" t="inlineStr">
        <is>
          <t>R</t>
        </is>
      </c>
      <c r="J34" s="18" t="n"/>
      <c r="K34" s="18" t="n"/>
      <c r="L34" s="18" t="n"/>
      <c r="M34" s="18" t="n"/>
      <c r="N34" s="18" t="inlineStr">
        <is>
          <t>R</t>
        </is>
      </c>
      <c r="O34" s="18" t="inlineStr">
        <is>
          <t>I</t>
        </is>
      </c>
      <c r="P34" s="18" t="n"/>
      <c r="Q34" s="18" t="n"/>
      <c r="R34" s="18" t="inlineStr">
        <is>
          <t>R</t>
        </is>
      </c>
      <c r="S34" s="18" t="n"/>
      <c r="T34" s="18" t="n"/>
      <c r="U34" s="19">
        <f>IF(C34="","",COUNTIF(E34:T34,"A"))</f>
        <v/>
      </c>
      <c r="V34" s="19">
        <f>IF(C34="","",COUNTIF(E34:T34,"R"))</f>
        <v/>
      </c>
      <c r="W34" s="20">
        <f>IF(C34="","",IF(U34&lt;&gt;1,"Revisar: debe haber una sola A",IF(V34=0,"OK (A ejecuta)","OK")))</f>
        <v/>
      </c>
    </row>
    <row r="35">
      <c r="A35" s="15" t="n">
        <v>30</v>
      </c>
      <c r="B35" s="16" t="inlineStr">
        <is>
          <t>Construcción</t>
        </is>
      </c>
      <c r="C35" s="17" t="inlineStr">
        <is>
          <t>Calcular y reportar los KPI</t>
        </is>
      </c>
      <c r="D35" s="16" t="inlineStr">
        <is>
          <t>Todas las fases</t>
        </is>
      </c>
      <c r="E35" s="18" t="inlineStr">
        <is>
          <t>I</t>
        </is>
      </c>
      <c r="F35" s="18" t="inlineStr">
        <is>
          <t>I</t>
        </is>
      </c>
      <c r="G35" s="18" t="inlineStr">
        <is>
          <t>A</t>
        </is>
      </c>
      <c r="H35" s="18" t="inlineStr">
        <is>
          <t>R</t>
        </is>
      </c>
      <c r="I35" s="18" t="n"/>
      <c r="J35" s="18" t="n"/>
      <c r="K35" s="18" t="n"/>
      <c r="L35" s="18" t="n"/>
      <c r="M35" s="18" t="n"/>
      <c r="N35" s="18" t="n"/>
      <c r="O35" s="18" t="inlineStr">
        <is>
          <t>R</t>
        </is>
      </c>
      <c r="P35" s="18" t="n"/>
      <c r="Q35" s="18" t="n"/>
      <c r="R35" s="18" t="n"/>
      <c r="S35" s="18" t="n"/>
      <c r="T35" s="18" t="n"/>
      <c r="U35" s="19">
        <f>IF(C35="","",COUNTIF(E35:T35,"A"))</f>
        <v/>
      </c>
      <c r="V35" s="19">
        <f>IF(C35="","",COUNTIF(E35:T35,"R"))</f>
        <v/>
      </c>
      <c r="W35" s="20">
        <f>IF(C35="","",IF(U35&lt;&gt;1,"Revisar: debe haber una sola A",IF(V35=0,"OK (A ejecuta)","OK")))</f>
        <v/>
      </c>
    </row>
    <row r="36">
      <c r="A36" s="15" t="n">
        <v>31</v>
      </c>
      <c r="B36" s="16" t="inlineStr">
        <is>
          <t>Construcción</t>
        </is>
      </c>
      <c r="C36" s="17" t="inlineStr">
        <is>
          <t>Gestionar las interfaces entre fases superpuestas</t>
        </is>
      </c>
      <c r="D36" s="16" t="inlineStr">
        <is>
          <t>Fases 2 y 3</t>
        </is>
      </c>
      <c r="E36" s="18" t="n"/>
      <c r="F36" s="18" t="n"/>
      <c r="G36" s="18" t="inlineStr">
        <is>
          <t>A</t>
        </is>
      </c>
      <c r="H36" s="18" t="n"/>
      <c r="I36" s="18" t="n"/>
      <c r="J36" s="18" t="inlineStr">
        <is>
          <t>C</t>
        </is>
      </c>
      <c r="K36" s="18" t="n"/>
      <c r="L36" s="18" t="n"/>
      <c r="M36" s="18" t="inlineStr">
        <is>
          <t>R</t>
        </is>
      </c>
      <c r="N36" s="18" t="n"/>
      <c r="O36" s="18" t="inlineStr">
        <is>
          <t>C</t>
        </is>
      </c>
      <c r="P36" s="18" t="n"/>
      <c r="Q36" s="18" t="n"/>
      <c r="R36" s="18" t="n"/>
      <c r="S36" s="18" t="inlineStr">
        <is>
          <t>C</t>
        </is>
      </c>
      <c r="T36" s="18" t="n"/>
      <c r="U36" s="19">
        <f>IF(C36="","",COUNTIF(E36:T36,"A"))</f>
        <v/>
      </c>
      <c r="V36" s="19">
        <f>IF(C36="","",COUNTIF(E36:T36,"R"))</f>
        <v/>
      </c>
      <c r="W36" s="20">
        <f>IF(C36="","",IF(U36&lt;&gt;1,"Revisar: debe haber una sola A",IF(V36=0,"OK (A ejecuta)","OK")))</f>
        <v/>
      </c>
    </row>
    <row r="37">
      <c r="A37" s="15" t="n">
        <v>32</v>
      </c>
      <c r="B37" s="16" t="inlineStr">
        <is>
          <t>Construcción</t>
        </is>
      </c>
      <c r="C37" s="17" t="inlineStr">
        <is>
          <t>Auditar el proceso AWP</t>
        </is>
      </c>
      <c r="D37" s="16" t="inlineStr">
        <is>
          <t>Todas las fases</t>
        </is>
      </c>
      <c r="E37" s="18" t="inlineStr">
        <is>
          <t>I</t>
        </is>
      </c>
      <c r="F37" s="18" t="inlineStr">
        <is>
          <t>I</t>
        </is>
      </c>
      <c r="G37" s="18" t="inlineStr">
        <is>
          <t>A</t>
        </is>
      </c>
      <c r="H37" s="18" t="inlineStr">
        <is>
          <t>C</t>
        </is>
      </c>
      <c r="I37" s="18" t="n"/>
      <c r="J37" s="18" t="n"/>
      <c r="K37" s="18" t="n"/>
      <c r="L37" s="18" t="n"/>
      <c r="M37" s="18" t="inlineStr">
        <is>
          <t>C</t>
        </is>
      </c>
      <c r="N37" s="18" t="n"/>
      <c r="O37" s="18" t="n"/>
      <c r="P37" s="18" t="n"/>
      <c r="Q37" s="18" t="n"/>
      <c r="R37" s="18" t="n"/>
      <c r="S37" s="18" t="n"/>
      <c r="T37" s="18" t="n"/>
      <c r="U37" s="19">
        <f>IF(C37="","",COUNTIF(E37:T37,"A"))</f>
        <v/>
      </c>
      <c r="V37" s="19">
        <f>IF(C37="","",COUNTIF(E37:T37,"R"))</f>
        <v/>
      </c>
      <c r="W37" s="20">
        <f>IF(C37="","",IF(U37&lt;&gt;1,"Revisar: debe haber una sola A",IF(V37=0,"OK (A ejecuta)","OK")))</f>
        <v/>
      </c>
    </row>
    <row r="38">
      <c r="A38" s="15" t="n">
        <v>33</v>
      </c>
      <c r="B38" s="16" t="inlineStr">
        <is>
          <t>Comisionamiento</t>
        </is>
      </c>
      <c r="C38" s="17" t="inlineStr">
        <is>
          <t>Definir los sistemas y la secuencia de puesta en marcha</t>
        </is>
      </c>
      <c r="D38" s="16" t="inlineStr">
        <is>
          <t>Todas las fases</t>
        </is>
      </c>
      <c r="E38" s="18" t="inlineStr">
        <is>
          <t>C</t>
        </is>
      </c>
      <c r="F38" s="18" t="n"/>
      <c r="G38" s="18" t="inlineStr">
        <is>
          <t>C</t>
        </is>
      </c>
      <c r="H38" s="18" t="n"/>
      <c r="I38" s="18" t="n"/>
      <c r="J38" s="18" t="inlineStr">
        <is>
          <t>R</t>
        </is>
      </c>
      <c r="K38" s="18" t="n"/>
      <c r="L38" s="18" t="n"/>
      <c r="M38" s="18" t="inlineStr">
        <is>
          <t>C</t>
        </is>
      </c>
      <c r="N38" s="18" t="n"/>
      <c r="O38" s="18" t="n"/>
      <c r="P38" s="18" t="n"/>
      <c r="Q38" s="18" t="n"/>
      <c r="R38" s="18" t="n"/>
      <c r="S38" s="18" t="inlineStr">
        <is>
          <t>A</t>
        </is>
      </c>
      <c r="T38" s="18" t="n"/>
      <c r="U38" s="19">
        <f>IF(C38="","",COUNTIF(E38:T38,"A"))</f>
        <v/>
      </c>
      <c r="V38" s="19">
        <f>IF(C38="","",COUNTIF(E38:T38,"R"))</f>
        <v/>
      </c>
      <c r="W38" s="20">
        <f>IF(C38="","",IF(U38&lt;&gt;1,"Revisar: debe haber una sola A",IF(V38=0,"OK (A ejecuta)","OK")))</f>
        <v/>
      </c>
    </row>
    <row r="39">
      <c r="A39" s="15" t="n">
        <v>34</v>
      </c>
      <c r="B39" s="16" t="inlineStr">
        <is>
          <t>Comisionamiento</t>
        </is>
      </c>
      <c r="C39" s="17" t="inlineStr">
        <is>
          <t>Relacionar los IWP con los sistemas</t>
        </is>
      </c>
      <c r="D39" s="16" t="inlineStr">
        <is>
          <t>Todas las fases</t>
        </is>
      </c>
      <c r="E39" s="18" t="n"/>
      <c r="F39" s="18" t="n"/>
      <c r="G39" s="18" t="n"/>
      <c r="H39" s="18" t="inlineStr">
        <is>
          <t>R</t>
        </is>
      </c>
      <c r="I39" s="18" t="inlineStr">
        <is>
          <t>C</t>
        </is>
      </c>
      <c r="J39" s="18" t="n"/>
      <c r="K39" s="18" t="n"/>
      <c r="L39" s="18" t="n"/>
      <c r="M39" s="18" t="n"/>
      <c r="N39" s="18" t="n"/>
      <c r="O39" s="18" t="n"/>
      <c r="P39" s="18" t="inlineStr">
        <is>
          <t>R</t>
        </is>
      </c>
      <c r="Q39" s="18" t="n"/>
      <c r="R39" s="18" t="n"/>
      <c r="S39" s="18" t="inlineStr">
        <is>
          <t>A</t>
        </is>
      </c>
      <c r="T39" s="18" t="n"/>
      <c r="U39" s="19">
        <f>IF(C39="","",COUNTIF(E39:T39,"A"))</f>
        <v/>
      </c>
      <c r="V39" s="19">
        <f>IF(C39="","",COUNTIF(E39:T39,"R"))</f>
        <v/>
      </c>
      <c r="W39" s="20">
        <f>IF(C39="","",IF(U39&lt;&gt;1,"Revisar: debe haber una sola A",IF(V39=0,"OK (A ejecuta)","OK")))</f>
        <v/>
      </c>
    </row>
    <row r="40">
      <c r="A40" s="15" t="n">
        <v>35</v>
      </c>
      <c r="B40" s="16" t="inlineStr">
        <is>
          <t>Comisionamiento</t>
        </is>
      </c>
      <c r="C40" s="17" t="inlineStr">
        <is>
          <t>Preparar los SWP y TOP</t>
        </is>
      </c>
      <c r="D40" s="16" t="inlineStr">
        <is>
          <t>Todas las fases</t>
        </is>
      </c>
      <c r="E40" s="18" t="inlineStr">
        <is>
          <t>I</t>
        </is>
      </c>
      <c r="F40" s="18" t="n"/>
      <c r="G40" s="18" t="n"/>
      <c r="H40" s="18" t="n"/>
      <c r="I40" s="18" t="n"/>
      <c r="J40" s="18" t="n"/>
      <c r="K40" s="18" t="n"/>
      <c r="L40" s="18" t="n"/>
      <c r="M40" s="18" t="inlineStr">
        <is>
          <t>C</t>
        </is>
      </c>
      <c r="N40" s="18" t="inlineStr">
        <is>
          <t>C</t>
        </is>
      </c>
      <c r="O40" s="18" t="n"/>
      <c r="P40" s="18" t="n"/>
      <c r="Q40" s="18" t="n"/>
      <c r="R40" s="18" t="inlineStr">
        <is>
          <t>R</t>
        </is>
      </c>
      <c r="S40" s="18" t="inlineStr">
        <is>
          <t>A</t>
        </is>
      </c>
      <c r="T40" s="18" t="n"/>
      <c r="U40" s="19">
        <f>IF(C40="","",COUNTIF(E40:T40,"A"))</f>
        <v/>
      </c>
      <c r="V40" s="19">
        <f>IF(C40="","",COUNTIF(E40:T40,"R"))</f>
        <v/>
      </c>
      <c r="W40" s="20">
        <f>IF(C40="","",IF(U40&lt;&gt;1,"Revisar: debe haber una sola A",IF(V40=0,"OK (A ejecuta)","OK")))</f>
        <v/>
      </c>
    </row>
    <row r="41">
      <c r="A41" s="15" t="n">
        <v>36</v>
      </c>
      <c r="B41" s="16" t="inlineStr">
        <is>
          <t>Comisionamiento</t>
        </is>
      </c>
      <c r="C41" s="17" t="inlineStr">
        <is>
          <t>Capturar y transferir lecciones aprendidas</t>
        </is>
      </c>
      <c r="D41" s="16" t="inlineStr">
        <is>
          <t>Todas las fases</t>
        </is>
      </c>
      <c r="E41" s="18" t="inlineStr">
        <is>
          <t>I</t>
        </is>
      </c>
      <c r="F41" s="18" t="inlineStr">
        <is>
          <t>C</t>
        </is>
      </c>
      <c r="G41" s="18" t="inlineStr">
        <is>
          <t>A</t>
        </is>
      </c>
      <c r="H41" s="18" t="inlineStr">
        <is>
          <t>R</t>
        </is>
      </c>
      <c r="I41" s="18" t="n"/>
      <c r="J41" s="18" t="inlineStr">
        <is>
          <t>C</t>
        </is>
      </c>
      <c r="K41" s="18" t="inlineStr">
        <is>
          <t>C</t>
        </is>
      </c>
      <c r="L41" s="18" t="n"/>
      <c r="M41" s="18" t="inlineStr">
        <is>
          <t>C</t>
        </is>
      </c>
      <c r="N41" s="18" t="n"/>
      <c r="O41" s="18" t="n"/>
      <c r="P41" s="18" t="n"/>
      <c r="Q41" s="18" t="n"/>
      <c r="R41" s="18" t="n"/>
      <c r="S41" s="18" t="inlineStr">
        <is>
          <t>C</t>
        </is>
      </c>
      <c r="T41" s="18" t="n"/>
      <c r="U41" s="19">
        <f>IF(C41="","",COUNTIF(E41:T41,"A"))</f>
        <v/>
      </c>
      <c r="V41" s="19">
        <f>IF(C41="","",COUNTIF(E41:T41,"R"))</f>
        <v/>
      </c>
      <c r="W41" s="20">
        <f>IF(C41="","",IF(U41&lt;&gt;1,"Revisar: debe haber una sola A",IF(V41=0,"OK (A ejecuta)","OK")))</f>
        <v/>
      </c>
    </row>
    <row r="42">
      <c r="A42" s="15" t="n">
        <v>37</v>
      </c>
      <c r="B42" s="16" t="inlineStr">
        <is>
          <t>Comisionamiento</t>
        </is>
      </c>
      <c r="C42" s="17" t="inlineStr">
        <is>
          <t>Elaborar el informe de cierre AWP de la fase</t>
        </is>
      </c>
      <c r="D42" s="16" t="inlineStr">
        <is>
          <t>Todas las fases</t>
        </is>
      </c>
      <c r="E42" s="18" t="inlineStr">
        <is>
          <t>I</t>
        </is>
      </c>
      <c r="F42" s="18" t="inlineStr">
        <is>
          <t>C</t>
        </is>
      </c>
      <c r="G42" s="18" t="inlineStr">
        <is>
          <t>A</t>
        </is>
      </c>
      <c r="H42" s="18" t="inlineStr">
        <is>
          <t>C</t>
        </is>
      </c>
      <c r="I42" s="18" t="n"/>
      <c r="J42" s="18" t="n"/>
      <c r="K42" s="18" t="n"/>
      <c r="L42" s="18" t="n"/>
      <c r="M42" s="18" t="n"/>
      <c r="N42" s="18" t="n"/>
      <c r="O42" s="18" t="inlineStr">
        <is>
          <t>C</t>
        </is>
      </c>
      <c r="P42" s="18" t="n"/>
      <c r="Q42" s="18" t="n"/>
      <c r="R42" s="18" t="n"/>
      <c r="S42" s="18" t="n"/>
      <c r="T42" s="18" t="n"/>
      <c r="U42" s="19">
        <f>IF(C42="","",COUNTIF(E42:T42,"A"))</f>
        <v/>
      </c>
      <c r="V42" s="19">
        <f>IF(C42="","",COUNTIF(E42:T42,"R"))</f>
        <v/>
      </c>
      <c r="W42" s="20">
        <f>IF(C42="","",IF(U42&lt;&gt;1,"Revisar: debe haber una sola A",IF(V42=0,"OK (A ejecuta)","OK")))</f>
        <v/>
      </c>
    </row>
    <row r="43">
      <c r="A43" s="15" t="n"/>
      <c r="B43" s="16" t="n"/>
      <c r="C43" s="17" t="n"/>
      <c r="D43" s="16" t="n"/>
      <c r="E43" s="18" t="n"/>
      <c r="F43" s="18" t="n"/>
      <c r="G43" s="18" t="n"/>
      <c r="H43" s="18" t="n"/>
      <c r="I43" s="18" t="n"/>
      <c r="J43" s="18" t="n"/>
      <c r="K43" s="18" t="n"/>
      <c r="L43" s="18" t="n"/>
      <c r="M43" s="18" t="n"/>
      <c r="N43" s="18" t="n"/>
      <c r="O43" s="18" t="n"/>
      <c r="P43" s="18" t="n"/>
      <c r="Q43" s="18" t="n"/>
      <c r="R43" s="18" t="n"/>
      <c r="S43" s="18" t="n"/>
      <c r="T43" s="18" t="n"/>
      <c r="U43" s="19">
        <f>IF(C43="","",COUNTIF(E43:T43,"A"))</f>
        <v/>
      </c>
      <c r="V43" s="19">
        <f>IF(C43="","",COUNTIF(E43:T43,"R"))</f>
        <v/>
      </c>
      <c r="W43" s="20">
        <f>IF(C43="","",IF(U43&lt;&gt;1,"Revisar: debe haber una sola A",IF(V43=0,"OK (A ejecuta)","OK")))</f>
        <v/>
      </c>
    </row>
    <row r="44">
      <c r="A44" s="15" t="n"/>
      <c r="B44" s="16" t="n"/>
      <c r="C44" s="17" t="n"/>
      <c r="D44" s="16" t="n"/>
      <c r="E44" s="18" t="n"/>
      <c r="F44" s="18" t="n"/>
      <c r="G44" s="18" t="n"/>
      <c r="H44" s="18" t="n"/>
      <c r="I44" s="18" t="n"/>
      <c r="J44" s="18" t="n"/>
      <c r="K44" s="18" t="n"/>
      <c r="L44" s="18" t="n"/>
      <c r="M44" s="18" t="n"/>
      <c r="N44" s="18" t="n"/>
      <c r="O44" s="18" t="n"/>
      <c r="P44" s="18" t="n"/>
      <c r="Q44" s="18" t="n"/>
      <c r="R44" s="18" t="n"/>
      <c r="S44" s="18" t="n"/>
      <c r="T44" s="18" t="n"/>
      <c r="U44" s="19">
        <f>IF(C44="","",COUNTIF(E44:T44,"A"))</f>
        <v/>
      </c>
      <c r="V44" s="19">
        <f>IF(C44="","",COUNTIF(E44:T44,"R"))</f>
        <v/>
      </c>
      <c r="W44" s="20">
        <f>IF(C44="","",IF(U44&lt;&gt;1,"Revisar: debe haber una sola A",IF(V44=0,"OK (A ejecuta)","OK")))</f>
        <v/>
      </c>
    </row>
    <row r="45">
      <c r="A45" s="15" t="n"/>
      <c r="B45" s="16" t="n"/>
      <c r="C45" s="17" t="n"/>
      <c r="D45" s="16" t="n"/>
      <c r="E45" s="18" t="n"/>
      <c r="F45" s="18" t="n"/>
      <c r="G45" s="18" t="n"/>
      <c r="H45" s="18" t="n"/>
      <c r="I45" s="18" t="n"/>
      <c r="J45" s="18" t="n"/>
      <c r="K45" s="18" t="n"/>
      <c r="L45" s="18" t="n"/>
      <c r="M45" s="18" t="n"/>
      <c r="N45" s="18" t="n"/>
      <c r="O45" s="18" t="n"/>
      <c r="P45" s="18" t="n"/>
      <c r="Q45" s="18" t="n"/>
      <c r="R45" s="18" t="n"/>
      <c r="S45" s="18" t="n"/>
      <c r="T45" s="18" t="n"/>
      <c r="U45" s="19">
        <f>IF(C45="","",COUNTIF(E45:T45,"A"))</f>
        <v/>
      </c>
      <c r="V45" s="19">
        <f>IF(C45="","",COUNTIF(E45:T45,"R"))</f>
        <v/>
      </c>
      <c r="W45" s="20">
        <f>IF(C45="","",IF(U45&lt;&gt;1,"Revisar: debe haber una sola A",IF(V45=0,"OK (A ejecuta)","OK")))</f>
        <v/>
      </c>
    </row>
    <row r="46">
      <c r="A46" s="15" t="n"/>
      <c r="B46" s="16" t="n"/>
      <c r="C46" s="17" t="n"/>
      <c r="D46" s="16" t="n"/>
      <c r="E46" s="18" t="n"/>
      <c r="F46" s="18" t="n"/>
      <c r="G46" s="18" t="n"/>
      <c r="H46" s="18" t="n"/>
      <c r="I46" s="18" t="n"/>
      <c r="J46" s="18" t="n"/>
      <c r="K46" s="18" t="n"/>
      <c r="L46" s="18" t="n"/>
      <c r="M46" s="18" t="n"/>
      <c r="N46" s="18" t="n"/>
      <c r="O46" s="18" t="n"/>
      <c r="P46" s="18" t="n"/>
      <c r="Q46" s="18" t="n"/>
      <c r="R46" s="18" t="n"/>
      <c r="S46" s="18" t="n"/>
      <c r="T46" s="18" t="n"/>
      <c r="U46" s="19">
        <f>IF(C46="","",COUNTIF(E46:T46,"A"))</f>
        <v/>
      </c>
      <c r="V46" s="19">
        <f>IF(C46="","",COUNTIF(E46:T46,"R"))</f>
        <v/>
      </c>
      <c r="W46" s="20">
        <f>IF(C46="","",IF(U46&lt;&gt;1,"Revisar: debe haber una sola A",IF(V46=0,"OK (A ejecuta)","OK")))</f>
        <v/>
      </c>
    </row>
    <row r="47">
      <c r="A47" s="15" t="n"/>
      <c r="B47" s="16" t="n"/>
      <c r="C47" s="17" t="n"/>
      <c r="D47" s="16" t="n"/>
      <c r="E47" s="18" t="n"/>
      <c r="F47" s="18" t="n"/>
      <c r="G47" s="18" t="n"/>
      <c r="H47" s="18" t="n"/>
      <c r="I47" s="18" t="n"/>
      <c r="J47" s="18" t="n"/>
      <c r="K47" s="18" t="n"/>
      <c r="L47" s="18" t="n"/>
      <c r="M47" s="18" t="n"/>
      <c r="N47" s="18" t="n"/>
      <c r="O47" s="18" t="n"/>
      <c r="P47" s="18" t="n"/>
      <c r="Q47" s="18" t="n"/>
      <c r="R47" s="18" t="n"/>
      <c r="S47" s="18" t="n"/>
      <c r="T47" s="18" t="n"/>
      <c r="U47" s="19">
        <f>IF(C47="","",COUNTIF(E47:T47,"A"))</f>
        <v/>
      </c>
      <c r="V47" s="19">
        <f>IF(C47="","",COUNTIF(E47:T47,"R"))</f>
        <v/>
      </c>
      <c r="W47" s="20">
        <f>IF(C47="","",IF(U47&lt;&gt;1,"Revisar: debe haber una sola A",IF(V47=0,"OK (A ejecuta)","OK")))</f>
        <v/>
      </c>
    </row>
    <row r="48">
      <c r="A48" s="15" t="n"/>
      <c r="B48" s="16" t="n"/>
      <c r="C48" s="17" t="n"/>
      <c r="D48" s="16" t="n"/>
      <c r="E48" s="18" t="n"/>
      <c r="F48" s="18" t="n"/>
      <c r="G48" s="18" t="n"/>
      <c r="H48" s="18" t="n"/>
      <c r="I48" s="18" t="n"/>
      <c r="J48" s="18" t="n"/>
      <c r="K48" s="18" t="n"/>
      <c r="L48" s="18" t="n"/>
      <c r="M48" s="18" t="n"/>
      <c r="N48" s="18" t="n"/>
      <c r="O48" s="18" t="n"/>
      <c r="P48" s="18" t="n"/>
      <c r="Q48" s="18" t="n"/>
      <c r="R48" s="18" t="n"/>
      <c r="S48" s="18" t="n"/>
      <c r="T48" s="18" t="n"/>
      <c r="U48" s="19">
        <f>IF(C48="","",COUNTIF(E48:T48,"A"))</f>
        <v/>
      </c>
      <c r="V48" s="19">
        <f>IF(C48="","",COUNTIF(E48:T48,"R"))</f>
        <v/>
      </c>
      <c r="W48" s="20">
        <f>IF(C48="","",IF(U48&lt;&gt;1,"Revisar: debe haber una sola A",IF(V48=0,"OK (A ejecuta)","OK")))</f>
        <v/>
      </c>
    </row>
    <row r="49">
      <c r="A49" s="15" t="n"/>
      <c r="B49" s="16" t="n"/>
      <c r="C49" s="17" t="n"/>
      <c r="D49" s="16" t="n"/>
      <c r="E49" s="18" t="n"/>
      <c r="F49" s="18" t="n"/>
      <c r="G49" s="18" t="n"/>
      <c r="H49" s="18" t="n"/>
      <c r="I49" s="18" t="n"/>
      <c r="J49" s="18" t="n"/>
      <c r="K49" s="18" t="n"/>
      <c r="L49" s="18" t="n"/>
      <c r="M49" s="18" t="n"/>
      <c r="N49" s="18" t="n"/>
      <c r="O49" s="18" t="n"/>
      <c r="P49" s="18" t="n"/>
      <c r="Q49" s="18" t="n"/>
      <c r="R49" s="18" t="n"/>
      <c r="S49" s="18" t="n"/>
      <c r="T49" s="18" t="n"/>
      <c r="U49" s="19">
        <f>IF(C49="","",COUNTIF(E49:T49,"A"))</f>
        <v/>
      </c>
      <c r="V49" s="19">
        <f>IF(C49="","",COUNTIF(E49:T49,"R"))</f>
        <v/>
      </c>
      <c r="W49" s="20">
        <f>IF(C49="","",IF(U49&lt;&gt;1,"Revisar: debe haber una sola A",IF(V49=0,"OK (A ejecuta)","OK")))</f>
        <v/>
      </c>
    </row>
    <row r="50">
      <c r="A50" s="15" t="n"/>
      <c r="B50" s="16" t="n"/>
      <c r="C50" s="17" t="n"/>
      <c r="D50" s="16" t="n"/>
      <c r="E50" s="18" t="n"/>
      <c r="F50" s="18" t="n"/>
      <c r="G50" s="18" t="n"/>
      <c r="H50" s="18" t="n"/>
      <c r="I50" s="18" t="n"/>
      <c r="J50" s="18" t="n"/>
      <c r="K50" s="18" t="n"/>
      <c r="L50" s="18" t="n"/>
      <c r="M50" s="18" t="n"/>
      <c r="N50" s="18" t="n"/>
      <c r="O50" s="18" t="n"/>
      <c r="P50" s="18" t="n"/>
      <c r="Q50" s="18" t="n"/>
      <c r="R50" s="18" t="n"/>
      <c r="S50" s="18" t="n"/>
      <c r="T50" s="18" t="n"/>
      <c r="U50" s="19">
        <f>IF(C50="","",COUNTIF(E50:T50,"A"))</f>
        <v/>
      </c>
      <c r="V50" s="19">
        <f>IF(C50="","",COUNTIF(E50:T50,"R"))</f>
        <v/>
      </c>
      <c r="W50" s="20">
        <f>IF(C50="","",IF(U50&lt;&gt;1,"Revisar: debe haber una sola A",IF(V50=0,"OK (A ejecuta)","OK")))</f>
        <v/>
      </c>
    </row>
    <row r="51">
      <c r="A51" s="15" t="n"/>
      <c r="B51" s="16" t="n"/>
      <c r="C51" s="17" t="n"/>
      <c r="D51" s="16" t="n"/>
      <c r="E51" s="18" t="n"/>
      <c r="F51" s="18" t="n"/>
      <c r="G51" s="18" t="n"/>
      <c r="H51" s="18" t="n"/>
      <c r="I51" s="18" t="n"/>
      <c r="J51" s="18" t="n"/>
      <c r="K51" s="18" t="n"/>
      <c r="L51" s="18" t="n"/>
      <c r="M51" s="18" t="n"/>
      <c r="N51" s="18" t="n"/>
      <c r="O51" s="18" t="n"/>
      <c r="P51" s="18" t="n"/>
      <c r="Q51" s="18" t="n"/>
      <c r="R51" s="18" t="n"/>
      <c r="S51" s="18" t="n"/>
      <c r="T51" s="18" t="n"/>
      <c r="U51" s="19">
        <f>IF(C51="","",COUNTIF(E51:T51,"A"))</f>
        <v/>
      </c>
      <c r="V51" s="19">
        <f>IF(C51="","",COUNTIF(E51:T51,"R"))</f>
        <v/>
      </c>
      <c r="W51" s="20">
        <f>IF(C51="","",IF(U51&lt;&gt;1,"Revisar: debe haber una sola A",IF(V51=0,"OK (A ejecuta)","OK")))</f>
        <v/>
      </c>
    </row>
    <row r="52">
      <c r="A52" s="15" t="n"/>
      <c r="B52" s="16" t="n"/>
      <c r="C52" s="17" t="n"/>
      <c r="D52" s="16" t="n"/>
      <c r="E52" s="18" t="n"/>
      <c r="F52" s="18" t="n"/>
      <c r="G52" s="18" t="n"/>
      <c r="H52" s="18" t="n"/>
      <c r="I52" s="18" t="n"/>
      <c r="J52" s="18" t="n"/>
      <c r="K52" s="18" t="n"/>
      <c r="L52" s="18" t="n"/>
      <c r="M52" s="18" t="n"/>
      <c r="N52" s="18" t="n"/>
      <c r="O52" s="18" t="n"/>
      <c r="P52" s="18" t="n"/>
      <c r="Q52" s="18" t="n"/>
      <c r="R52" s="18" t="n"/>
      <c r="S52" s="18" t="n"/>
      <c r="T52" s="18" t="n"/>
      <c r="U52" s="19">
        <f>IF(C52="","",COUNTIF(E52:T52,"A"))</f>
        <v/>
      </c>
      <c r="V52" s="19">
        <f>IF(C52="","",COUNTIF(E52:T52,"R"))</f>
        <v/>
      </c>
      <c r="W52" s="20">
        <f>IF(C52="","",IF(U52&lt;&gt;1,"Revisar: debe haber una sola A",IF(V52=0,"OK (A ejecuta)","OK")))</f>
        <v/>
      </c>
    </row>
    <row r="53">
      <c r="A53" s="15" t="n"/>
      <c r="B53" s="16" t="n"/>
      <c r="C53" s="17" t="n"/>
      <c r="D53" s="16" t="n"/>
      <c r="E53" s="18" t="n"/>
      <c r="F53" s="18" t="n"/>
      <c r="G53" s="18" t="n"/>
      <c r="H53" s="18" t="n"/>
      <c r="I53" s="18" t="n"/>
      <c r="J53" s="18" t="n"/>
      <c r="K53" s="18" t="n"/>
      <c r="L53" s="18" t="n"/>
      <c r="M53" s="18" t="n"/>
      <c r="N53" s="18" t="n"/>
      <c r="O53" s="18" t="n"/>
      <c r="P53" s="18" t="n"/>
      <c r="Q53" s="18" t="n"/>
      <c r="R53" s="18" t="n"/>
      <c r="S53" s="18" t="n"/>
      <c r="T53" s="18" t="n"/>
      <c r="U53" s="19">
        <f>IF(C53="","",COUNTIF(E53:T53,"A"))</f>
        <v/>
      </c>
      <c r="V53" s="19">
        <f>IF(C53="","",COUNTIF(E53:T53,"R"))</f>
        <v/>
      </c>
      <c r="W53" s="20">
        <f>IF(C53="","",IF(U53&lt;&gt;1,"Revisar: debe haber una sola A",IF(V53=0,"OK (A ejecuta)","OK")))</f>
        <v/>
      </c>
    </row>
    <row r="54">
      <c r="A54" s="15" t="n"/>
      <c r="B54" s="16" t="n"/>
      <c r="C54" s="17" t="n"/>
      <c r="D54" s="16" t="n"/>
      <c r="E54" s="18" t="n"/>
      <c r="F54" s="18" t="n"/>
      <c r="G54" s="18" t="n"/>
      <c r="H54" s="18" t="n"/>
      <c r="I54" s="18" t="n"/>
      <c r="J54" s="18" t="n"/>
      <c r="K54" s="18" t="n"/>
      <c r="L54" s="18" t="n"/>
      <c r="M54" s="18" t="n"/>
      <c r="N54" s="18" t="n"/>
      <c r="O54" s="18" t="n"/>
      <c r="P54" s="18" t="n"/>
      <c r="Q54" s="18" t="n"/>
      <c r="R54" s="18" t="n"/>
      <c r="S54" s="18" t="n"/>
      <c r="T54" s="18" t="n"/>
      <c r="U54" s="19">
        <f>IF(C54="","",COUNTIF(E54:T54,"A"))</f>
        <v/>
      </c>
      <c r="V54" s="19">
        <f>IF(C54="","",COUNTIF(E54:T54,"R"))</f>
        <v/>
      </c>
      <c r="W54" s="20">
        <f>IF(C54="","",IF(U54&lt;&gt;1,"Revisar: debe haber una sola A",IF(V54=0,"OK (A ejecuta)","OK")))</f>
        <v/>
      </c>
    </row>
    <row r="55">
      <c r="A55" s="15" t="n"/>
      <c r="B55" s="16" t="n"/>
      <c r="C55" s="17" t="n"/>
      <c r="D55" s="16" t="n"/>
      <c r="E55" s="18" t="n"/>
      <c r="F55" s="18" t="n"/>
      <c r="G55" s="18" t="n"/>
      <c r="H55" s="18" t="n"/>
      <c r="I55" s="18" t="n"/>
      <c r="J55" s="18" t="n"/>
      <c r="K55" s="18" t="n"/>
      <c r="L55" s="18" t="n"/>
      <c r="M55" s="18" t="n"/>
      <c r="N55" s="18" t="n"/>
      <c r="O55" s="18" t="n"/>
      <c r="P55" s="18" t="n"/>
      <c r="Q55" s="18" t="n"/>
      <c r="R55" s="18" t="n"/>
      <c r="S55" s="18" t="n"/>
      <c r="T55" s="18" t="n"/>
      <c r="U55" s="19">
        <f>IF(C55="","",COUNTIF(E55:T55,"A"))</f>
        <v/>
      </c>
      <c r="V55" s="19">
        <f>IF(C55="","",COUNTIF(E55:T55,"R"))</f>
        <v/>
      </c>
      <c r="W55" s="20">
        <f>IF(C55="","",IF(U55&lt;&gt;1,"Revisar: debe haber una sola A",IF(V55=0,"OK (A ejecuta)","OK")))</f>
        <v/>
      </c>
    </row>
    <row r="56">
      <c r="A56" s="15" t="n"/>
      <c r="B56" s="16" t="n"/>
      <c r="C56" s="17" t="n"/>
      <c r="D56" s="16" t="n"/>
      <c r="E56" s="18" t="n"/>
      <c r="F56" s="18" t="n"/>
      <c r="G56" s="18" t="n"/>
      <c r="H56" s="18" t="n"/>
      <c r="I56" s="18" t="n"/>
      <c r="J56" s="18" t="n"/>
      <c r="K56" s="18" t="n"/>
      <c r="L56" s="18" t="n"/>
      <c r="M56" s="18" t="n"/>
      <c r="N56" s="18" t="n"/>
      <c r="O56" s="18" t="n"/>
      <c r="P56" s="18" t="n"/>
      <c r="Q56" s="18" t="n"/>
      <c r="R56" s="18" t="n"/>
      <c r="S56" s="18" t="n"/>
      <c r="T56" s="18" t="n"/>
      <c r="U56" s="19">
        <f>IF(C56="","",COUNTIF(E56:T56,"A"))</f>
        <v/>
      </c>
      <c r="V56" s="19">
        <f>IF(C56="","",COUNTIF(E56:T56,"R"))</f>
        <v/>
      </c>
      <c r="W56" s="20">
        <f>IF(C56="","",IF(U56&lt;&gt;1,"Revisar: debe haber una sola A",IF(V56=0,"OK (A ejecuta)","OK")))</f>
        <v/>
      </c>
    </row>
    <row r="57">
      <c r="A57" s="15" t="n"/>
      <c r="B57" s="16" t="n"/>
      <c r="C57" s="17" t="n"/>
      <c r="D57" s="16" t="n"/>
      <c r="E57" s="18" t="n"/>
      <c r="F57" s="18" t="n"/>
      <c r="G57" s="18" t="n"/>
      <c r="H57" s="18" t="n"/>
      <c r="I57" s="18" t="n"/>
      <c r="J57" s="18" t="n"/>
      <c r="K57" s="18" t="n"/>
      <c r="L57" s="18" t="n"/>
      <c r="M57" s="18" t="n"/>
      <c r="N57" s="18" t="n"/>
      <c r="O57" s="18" t="n"/>
      <c r="P57" s="18" t="n"/>
      <c r="Q57" s="18" t="n"/>
      <c r="R57" s="18" t="n"/>
      <c r="S57" s="18" t="n"/>
      <c r="T57" s="18" t="n"/>
      <c r="U57" s="19">
        <f>IF(C57="","",COUNTIF(E57:T57,"A"))</f>
        <v/>
      </c>
      <c r="V57" s="19">
        <f>IF(C57="","",COUNTIF(E57:T57,"R"))</f>
        <v/>
      </c>
      <c r="W57" s="20">
        <f>IF(C57="","",IF(U57&lt;&gt;1,"Revisar: debe haber una sola A",IF(V57=0,"OK (A ejecuta)","OK")))</f>
        <v/>
      </c>
    </row>
    <row r="58">
      <c r="A58" s="15" t="n"/>
      <c r="B58" s="16" t="n"/>
      <c r="C58" s="17" t="n"/>
      <c r="D58" s="16" t="n"/>
      <c r="E58" s="18" t="n"/>
      <c r="F58" s="18" t="n"/>
      <c r="G58" s="18" t="n"/>
      <c r="H58" s="18" t="n"/>
      <c r="I58" s="18" t="n"/>
      <c r="J58" s="18" t="n"/>
      <c r="K58" s="18" t="n"/>
      <c r="L58" s="18" t="n"/>
      <c r="M58" s="18" t="n"/>
      <c r="N58" s="18" t="n"/>
      <c r="O58" s="18" t="n"/>
      <c r="P58" s="18" t="n"/>
      <c r="Q58" s="18" t="n"/>
      <c r="R58" s="18" t="n"/>
      <c r="S58" s="18" t="n"/>
      <c r="T58" s="18" t="n"/>
      <c r="U58" s="19">
        <f>IF(C58="","",COUNTIF(E58:T58,"A"))</f>
        <v/>
      </c>
      <c r="V58" s="19">
        <f>IF(C58="","",COUNTIF(E58:T58,"R"))</f>
        <v/>
      </c>
      <c r="W58" s="20">
        <f>IF(C58="","",IF(U58&lt;&gt;1,"Revisar: debe haber una sola A",IF(V58=0,"OK (A ejecuta)","OK")))</f>
        <v/>
      </c>
    </row>
    <row r="59">
      <c r="A59" s="15" t="n"/>
      <c r="B59" s="16" t="n"/>
      <c r="C59" s="17" t="n"/>
      <c r="D59" s="16" t="n"/>
      <c r="E59" s="18" t="n"/>
      <c r="F59" s="18" t="n"/>
      <c r="G59" s="18" t="n"/>
      <c r="H59" s="18" t="n"/>
      <c r="I59" s="18" t="n"/>
      <c r="J59" s="18" t="n"/>
      <c r="K59" s="18" t="n"/>
      <c r="L59" s="18" t="n"/>
      <c r="M59" s="18" t="n"/>
      <c r="N59" s="18" t="n"/>
      <c r="O59" s="18" t="n"/>
      <c r="P59" s="18" t="n"/>
      <c r="Q59" s="18" t="n"/>
      <c r="R59" s="18" t="n"/>
      <c r="S59" s="18" t="n"/>
      <c r="T59" s="18" t="n"/>
      <c r="U59" s="19">
        <f>IF(C59="","",COUNTIF(E59:T59,"A"))</f>
        <v/>
      </c>
      <c r="V59" s="19">
        <f>IF(C59="","",COUNTIF(E59:T59,"R"))</f>
        <v/>
      </c>
      <c r="W59" s="20">
        <f>IF(C59="","",IF(U59&lt;&gt;1,"Revisar: debe haber una sola A",IF(V59=0,"OK (A ejecuta)","OK")))</f>
        <v/>
      </c>
    </row>
    <row r="60">
      <c r="A60" s="15" t="n"/>
      <c r="B60" s="16" t="n"/>
      <c r="C60" s="17" t="n"/>
      <c r="D60" s="16" t="n"/>
      <c r="E60" s="18" t="n"/>
      <c r="F60" s="18" t="n"/>
      <c r="G60" s="18" t="n"/>
      <c r="H60" s="18" t="n"/>
      <c r="I60" s="18" t="n"/>
      <c r="J60" s="18" t="n"/>
      <c r="K60" s="18" t="n"/>
      <c r="L60" s="18" t="n"/>
      <c r="M60" s="18" t="n"/>
      <c r="N60" s="18" t="n"/>
      <c r="O60" s="18" t="n"/>
      <c r="P60" s="18" t="n"/>
      <c r="Q60" s="18" t="n"/>
      <c r="R60" s="18" t="n"/>
      <c r="S60" s="18" t="n"/>
      <c r="T60" s="18" t="n"/>
      <c r="U60" s="19">
        <f>IF(C60="","",COUNTIF(E60:T60,"A"))</f>
        <v/>
      </c>
      <c r="V60" s="19">
        <f>IF(C60="","",COUNTIF(E60:T60,"R"))</f>
        <v/>
      </c>
      <c r="W60" s="20">
        <f>IF(C60="","",IF(U60&lt;&gt;1,"Revisar: debe haber una sola A",IF(V60=0,"OK (A ejecuta)","OK")))</f>
        <v/>
      </c>
    </row>
    <row r="61">
      <c r="A61" s="15" t="n"/>
      <c r="B61" s="16" t="n"/>
      <c r="C61" s="17" t="n"/>
      <c r="D61" s="16" t="n"/>
      <c r="E61" s="18" t="n"/>
      <c r="F61" s="18" t="n"/>
      <c r="G61" s="18" t="n"/>
      <c r="H61" s="18" t="n"/>
      <c r="I61" s="18" t="n"/>
      <c r="J61" s="18" t="n"/>
      <c r="K61" s="18" t="n"/>
      <c r="L61" s="18" t="n"/>
      <c r="M61" s="18" t="n"/>
      <c r="N61" s="18" t="n"/>
      <c r="O61" s="18" t="n"/>
      <c r="P61" s="18" t="n"/>
      <c r="Q61" s="18" t="n"/>
      <c r="R61" s="18" t="n"/>
      <c r="S61" s="18" t="n"/>
      <c r="T61" s="18" t="n"/>
      <c r="U61" s="19">
        <f>IF(C61="","",COUNTIF(E61:T61,"A"))</f>
        <v/>
      </c>
      <c r="V61" s="19">
        <f>IF(C61="","",COUNTIF(E61:T61,"R"))</f>
        <v/>
      </c>
      <c r="W61" s="20">
        <f>IF(C61="","",IF(U61&lt;&gt;1,"Revisar: debe haber una sola A",IF(V61=0,"OK (A ejecuta)","OK")))</f>
        <v/>
      </c>
    </row>
    <row r="62">
      <c r="A62" s="15" t="n"/>
      <c r="B62" s="16" t="n"/>
      <c r="C62" s="17" t="n"/>
      <c r="D62" s="16" t="n"/>
      <c r="E62" s="18" t="n"/>
      <c r="F62" s="18" t="n"/>
      <c r="G62" s="18" t="n"/>
      <c r="H62" s="18" t="n"/>
      <c r="I62" s="18" t="n"/>
      <c r="J62" s="18" t="n"/>
      <c r="K62" s="18" t="n"/>
      <c r="L62" s="18" t="n"/>
      <c r="M62" s="18" t="n"/>
      <c r="N62" s="18" t="n"/>
      <c r="O62" s="18" t="n"/>
      <c r="P62" s="18" t="n"/>
      <c r="Q62" s="18" t="n"/>
      <c r="R62" s="18" t="n"/>
      <c r="S62" s="18" t="n"/>
      <c r="T62" s="18" t="n"/>
      <c r="U62" s="19">
        <f>IF(C62="","",COUNTIF(E62:T62,"A"))</f>
        <v/>
      </c>
      <c r="V62" s="19">
        <f>IF(C62="","",COUNTIF(E62:T62,"R"))</f>
        <v/>
      </c>
      <c r="W62" s="20">
        <f>IF(C62="","",IF(U62&lt;&gt;1,"Revisar: debe haber una sola A",IF(V62=0,"OK (A ejecuta)","OK")))</f>
        <v/>
      </c>
    </row>
    <row r="63">
      <c r="A63" s="15" t="n"/>
      <c r="B63" s="16" t="n"/>
      <c r="C63" s="17" t="n"/>
      <c r="D63" s="16" t="n"/>
      <c r="E63" s="18" t="n"/>
      <c r="F63" s="18" t="n"/>
      <c r="G63" s="18" t="n"/>
      <c r="H63" s="18" t="n"/>
      <c r="I63" s="18" t="n"/>
      <c r="J63" s="18" t="n"/>
      <c r="K63" s="18" t="n"/>
      <c r="L63" s="18" t="n"/>
      <c r="M63" s="18" t="n"/>
      <c r="N63" s="18" t="n"/>
      <c r="O63" s="18" t="n"/>
      <c r="P63" s="18" t="n"/>
      <c r="Q63" s="18" t="n"/>
      <c r="R63" s="18" t="n"/>
      <c r="S63" s="18" t="n"/>
      <c r="T63" s="18" t="n"/>
      <c r="U63" s="19">
        <f>IF(C63="","",COUNTIF(E63:T63,"A"))</f>
        <v/>
      </c>
      <c r="V63" s="19">
        <f>IF(C63="","",COUNTIF(E63:T63,"R"))</f>
        <v/>
      </c>
      <c r="W63" s="20">
        <f>IF(C63="","",IF(U63&lt;&gt;1,"Revisar: debe haber una sola A",IF(V63=0,"OK (A ejecuta)","OK")))</f>
        <v/>
      </c>
    </row>
    <row r="64">
      <c r="A64" s="15" t="n"/>
      <c r="B64" s="16" t="n"/>
      <c r="C64" s="17" t="n"/>
      <c r="D64" s="16" t="n"/>
      <c r="E64" s="18" t="n"/>
      <c r="F64" s="18" t="n"/>
      <c r="G64" s="18" t="n"/>
      <c r="H64" s="18" t="n"/>
      <c r="I64" s="18" t="n"/>
      <c r="J64" s="18" t="n"/>
      <c r="K64" s="18" t="n"/>
      <c r="L64" s="18" t="n"/>
      <c r="M64" s="18" t="n"/>
      <c r="N64" s="18" t="n"/>
      <c r="O64" s="18" t="n"/>
      <c r="P64" s="18" t="n"/>
      <c r="Q64" s="18" t="n"/>
      <c r="R64" s="18" t="n"/>
      <c r="S64" s="18" t="n"/>
      <c r="T64" s="18" t="n"/>
      <c r="U64" s="19">
        <f>IF(C64="","",COUNTIF(E64:T64,"A"))</f>
        <v/>
      </c>
      <c r="V64" s="19">
        <f>IF(C64="","",COUNTIF(E64:T64,"R"))</f>
        <v/>
      </c>
      <c r="W64" s="20">
        <f>IF(C64="","",IF(U64&lt;&gt;1,"Revisar: debe haber una sola A",IF(V64=0,"OK (A ejecuta)","OK")))</f>
        <v/>
      </c>
    </row>
    <row r="65">
      <c r="A65" s="15" t="n"/>
      <c r="B65" s="16" t="n"/>
      <c r="C65" s="17" t="n"/>
      <c r="D65" s="16" t="n"/>
      <c r="E65" s="18" t="n"/>
      <c r="F65" s="18" t="n"/>
      <c r="G65" s="18" t="n"/>
      <c r="H65" s="18" t="n"/>
      <c r="I65" s="18" t="n"/>
      <c r="J65" s="18" t="n"/>
      <c r="K65" s="18" t="n"/>
      <c r="L65" s="18" t="n"/>
      <c r="M65" s="18" t="n"/>
      <c r="N65" s="18" t="n"/>
      <c r="O65" s="18" t="n"/>
      <c r="P65" s="18" t="n"/>
      <c r="Q65" s="18" t="n"/>
      <c r="R65" s="18" t="n"/>
      <c r="S65" s="18" t="n"/>
      <c r="T65" s="18" t="n"/>
      <c r="U65" s="19">
        <f>IF(C65="","",COUNTIF(E65:T65,"A"))</f>
        <v/>
      </c>
      <c r="V65" s="19">
        <f>IF(C65="","",COUNTIF(E65:T65,"R"))</f>
        <v/>
      </c>
      <c r="W65" s="20">
        <f>IF(C65="","",IF(U65&lt;&gt;1,"Revisar: debe haber una sola A",IF(V65=0,"OK (A ejecuta)","OK")))</f>
        <v/>
      </c>
    </row>
  </sheetData>
  <autoFilter ref="A5:W65"/>
  <conditionalFormatting sqref="E6:T65">
    <cfRule type="expression" priority="1" dxfId="0" stopIfTrue="1">
      <formula>E6="A"</formula>
    </cfRule>
    <cfRule type="expression" priority="2" dxfId="1" stopIfTrue="1">
      <formula>E6="R"</formula>
    </cfRule>
    <cfRule type="expression" priority="3" dxfId="2" stopIfTrue="1">
      <formula>E6="C"</formula>
    </cfRule>
    <cfRule type="expression" priority="4" dxfId="3" stopIfTrue="1">
      <formula>E6="I"</formula>
    </cfRule>
  </conditionalFormatting>
  <conditionalFormatting sqref="W6:W65">
    <cfRule type="expression" priority="5" dxfId="4" stopIfTrue="1">
      <formula>LEFT($W6,7)="Revisar"</formula>
    </cfRule>
    <cfRule type="expression" priority="6" dxfId="5" stopIfTrue="1">
      <formula>LEFT($W6,2)="OK"</formula>
    </cfRule>
  </conditionalFormatting>
  <dataValidations count="18">
    <dataValidation sqref="B6:B65" showDropDown="0" showInputMessage="0" showErrorMessage="1" allowBlank="1" errorTitle="Valor no válido" error="Seleccione un valor de la lista." prompt="Seleccione etapa del ciclo de vida" type="list">
      <formula1>=Etapas</formula1>
    </dataValidation>
    <dataValidation sqref="D6:D65" showDropDown="0" showInputMessage="0" showErrorMessage="1" allowBlank="1" errorTitle="Valor no válido" error="Seleccione un valor de la lista." prompt="Seleccione fase del proyecto" type="list">
      <formula1>=FasesExt</formula1>
    </dataValidation>
    <dataValidation sqref="E6:E65" showDropDown="0" showInputMessage="0" showErrorMessage="1" allowBlank="1" errorTitle="Valor no válido" error="Seleccione un valor de la lista." prompt="Seleccione cli" type="list">
      <formula1>"R,A,C,I"</formula1>
    </dataValidation>
    <dataValidation sqref="F6:F65" showDropDown="0" showInputMessage="0" showErrorMessage="1" allowBlank="1" errorTitle="Valor no válido" error="Seleccione un valor de la lista." prompt="Seleccione gp" type="list">
      <formula1>"R,A,C,I"</formula1>
    </dataValidation>
    <dataValidation sqref="G6:G65" showDropDown="0" showInputMessage="0" showErrorMessage="1" allowBlank="1" errorTitle="Valor no válido" error="Seleccione un valor de la lista." prompt="Seleccione cha" type="list">
      <formula1>"R,A,C,I"</formula1>
    </dataValidation>
    <dataValidation sqref="H6:H65" showDropDown="0" showInputMessage="0" showErrorMessage="1" allowBlank="1" errorTitle="Valor no válido" error="Seleccione un valor de la lista." prompt="Seleccione lwf" type="list">
      <formula1>"R,A,C,I"</formula1>
    </dataValidation>
    <dataValidation sqref="I6:I65" showDropDown="0" showInputMessage="0" showErrorMessage="1" allowBlank="1" errorTitle="Valor no válido" error="Seleccione un valor de la lista." prompt="Seleccione wfp" type="list">
      <formula1>"R,A,C,I"</formula1>
    </dataValidation>
    <dataValidation sqref="J6:J65" showDropDown="0" showInputMessage="0" showErrorMessage="1" allowBlank="1" errorTitle="Valor no válido" error="Seleccione un valor de la lista." prompt="Seleccione ing" type="list">
      <formula1>"R,A,C,I"</formula1>
    </dataValidation>
    <dataValidation sqref="K6:K65" showDropDown="0" showInputMessage="0" showErrorMessage="1" allowBlank="1" errorTitle="Valor no válido" error="Seleccione un valor de la lista." prompt="Seleccione pro" type="list">
      <formula1>"R,A,C,I"</formula1>
    </dataValidation>
    <dataValidation sqref="L6:L65" showDropDown="0" showInputMessage="0" showErrorMessage="1" allowBlank="1" errorTitle="Valor no válido" error="Seleccione un valor de la lista." prompt="Seleccione mat" type="list">
      <formula1>"R,A,C,I"</formula1>
    </dataValidation>
    <dataValidation sqref="M6:M65" showDropDown="0" showInputMessage="0" showErrorMessage="1" allowBlank="1" errorTitle="Valor no válido" error="Seleccione un valor de la lista." prompt="Seleccione con" type="list">
      <formula1>"R,A,C,I"</formula1>
    </dataValidation>
    <dataValidation sqref="N6:N65" showDropDown="0" showInputMessage="0" showErrorMessage="1" allowBlank="1" errorTitle="Valor no válido" error="Seleccione un valor de la lista." prompt="Seleccione sup" type="list">
      <formula1>"R,A,C,I"</formula1>
    </dataValidation>
    <dataValidation sqref="O6:O65" showDropDown="0" showInputMessage="0" showErrorMessage="1" allowBlank="1" errorTitle="Valor no válido" error="Seleccione un valor de la lista." prompt="Seleccione ctr" type="list">
      <formula1>"R,A,C,I"</formula1>
    </dataValidation>
    <dataValidation sqref="P6:P65" showDropDown="0" showInputMessage="0" showErrorMessage="1" allowBlank="1" errorTitle="Valor no válido" error="Seleccione un valor de la lista." prompt="Seleccione im" type="list">
      <formula1>"R,A,C,I"</formula1>
    </dataValidation>
    <dataValidation sqref="Q6:Q65" showDropDown="0" showInputMessage="0" showErrorMessage="1" allowBlank="1" errorTitle="Valor no válido" error="Seleccione un valor de la lista." prompt="Seleccione hse" type="list">
      <formula1>"R,A,C,I"</formula1>
    </dataValidation>
    <dataValidation sqref="R6:R65" showDropDown="0" showInputMessage="0" showErrorMessage="1" allowBlank="1" errorTitle="Valor no válido" error="Seleccione un valor de la lista." prompt="Seleccione cal" type="list">
      <formula1>"R,A,C,I"</formula1>
    </dataValidation>
    <dataValidation sqref="S6:S65" showDropDown="0" showInputMessage="0" showErrorMessage="1" allowBlank="1" errorTitle="Valor no válido" error="Seleccione un valor de la lista." prompt="Seleccione com" type="list">
      <formula1>"R,A,C,I"</formula1>
    </dataValidation>
    <dataValidation sqref="T6:T65" showDropDown="0" showInputMessage="0" showErrorMessage="1" allowBlank="1" errorTitle="Valor no válido" error="Seleccione un valor de la lista." prompt="Seleccione sub" type="list">
      <formula1>"R,A,C,I"</formula1>
    </dataValidation>
  </dataValidations>
  <printOptions horizontalCentered="1"/>
  <pageMargins left="0.4" right="0.4" top="0.6" bottom="0.6" header="0.5" footer="0.5"/>
  <pageSetup orientation="landscape" paperSize="9" fitToHeight="0" fitToWidth="1"/>
  <headerFooter>
    <oddHeader>&amp;L&amp;8 Kit de implementación AWP&amp;R&amp;8 Matriz de roles y responsabilidades AWP (RACI)</oddHeader>
    <oddFooter>&amp;L&amp;8 Proyecto Tipo (PT) – Complejo de instalaciones en tres fases&amp;R&amp;8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C20"/>
  <sheetViews>
    <sheetView tabSelected="0" workbookViewId="0">
      <pane ySplit="4" topLeftCell="A5" activePane="bottomLeft" state="frozen"/>
      <selection pane="bottomLeft" activeCell="A1" sqref="A1"/>
    </sheetView>
  </sheetViews>
  <sheetFormatPr baseColWidth="8" defaultRowHeight="15"/>
  <cols>
    <col width="9" customWidth="1" min="1" max="1"/>
    <col width="34" customWidth="1" min="2" max="2"/>
    <col width="80" customWidth="1" min="3" max="3"/>
  </cols>
  <sheetData>
    <row r="1" ht="24" customHeight="1">
      <c r="A1" s="11" t="inlineStr">
        <is>
          <t>Roles AWP del proyecto tipo</t>
        </is>
      </c>
    </row>
    <row r="2">
      <c r="A2" s="2" t="inlineStr">
        <is>
          <t>Códigos usados en todas las plantillas del kit.</t>
        </is>
      </c>
    </row>
    <row r="4">
      <c r="A4" s="6" t="inlineStr">
        <is>
          <t>Código</t>
        </is>
      </c>
      <c r="B4" s="6" t="inlineStr">
        <is>
          <t>Rol</t>
        </is>
      </c>
      <c r="C4" s="6" t="inlineStr">
        <is>
          <t>Responsabilidades AWP principales</t>
        </is>
      </c>
    </row>
    <row r="5">
      <c r="A5" s="7" t="inlineStr">
        <is>
          <t>CLI</t>
        </is>
      </c>
      <c r="B5" s="8" t="inlineStr">
        <is>
          <t>Gerente del proyecto del cliente</t>
        </is>
      </c>
      <c r="C5" s="8" t="inlineStr">
        <is>
          <t>Patrocina AWP; aprueba el plan, el PoC y los hitos; exige requisitos AWP en contratos.</t>
        </is>
      </c>
    </row>
    <row r="6">
      <c r="A6" s="7" t="inlineStr">
        <is>
          <t>GP</t>
        </is>
      </c>
      <c r="B6" s="8" t="inlineStr">
        <is>
          <t>Gerente de Proyecto</t>
        </is>
      </c>
      <c r="C6" s="8" t="inlineStr">
        <is>
          <t>Responsable final de la implementación; asigna recursos; resuelve restricciones escaladas.</t>
        </is>
      </c>
    </row>
    <row r="7">
      <c r="A7" s="7" t="inlineStr">
        <is>
          <t>CHA</t>
        </is>
      </c>
      <c r="B7" s="8" t="inlineStr">
        <is>
          <t>AWP Champion</t>
        </is>
      </c>
      <c r="C7" s="8" t="inlineStr">
        <is>
          <t>Lidera la implementación; procedimientos, plantillas, formación, talleres de PoC, auditorías, KPI y lecciones.</t>
        </is>
      </c>
    </row>
    <row r="8">
      <c r="A8" s="7" t="inlineStr">
        <is>
          <t>LWF</t>
        </is>
      </c>
      <c r="B8" s="8" t="inlineStr">
        <is>
          <t>Líder de WFP</t>
        </is>
      </c>
      <c r="C8" s="8" t="inlineStr">
        <is>
          <t>Coordina a los planificadores; dirige la reunión de restricciones; controla backlog y liberación de IWP.</t>
        </is>
      </c>
    </row>
    <row r="9">
      <c r="A9" s="7" t="inlineStr">
        <is>
          <t>WFP</t>
        </is>
      </c>
      <c r="B9" s="8" t="inlineStr">
        <is>
          <t>Planificador de frente de trabajo</t>
        </is>
      </c>
      <c r="C9" s="8" t="inlineStr">
        <is>
          <t>Divide CWP en IWP; identifica restricciones; arma, libera y cierra IWP (1 por cada 50 trabajadores).</t>
        </is>
      </c>
    </row>
    <row r="10">
      <c r="A10" s="7" t="inlineStr">
        <is>
          <t>ING</t>
        </is>
      </c>
      <c r="B10" s="8" t="inlineStr">
        <is>
          <t>Líder de Ingeniería</t>
        </is>
      </c>
      <c r="C10" s="8" t="inlineStr">
        <is>
          <t>Emite EWP en secuencia del PoC; mantiene el modelo 3D; responde RFI.</t>
        </is>
      </c>
    </row>
    <row r="11">
      <c r="A11" s="7" t="inlineStr">
        <is>
          <t>PRO</t>
        </is>
      </c>
      <c r="B11" s="8" t="inlineStr">
        <is>
          <t>Líder de Procura</t>
        </is>
      </c>
      <c r="C11" s="8" t="inlineStr">
        <is>
          <t>Estructura PWP; alinea fechas RAS; informa estado de materiales; documentación del proveedor.</t>
        </is>
      </c>
    </row>
    <row r="12">
      <c r="A12" s="7" t="inlineStr">
        <is>
          <t>MAT</t>
        </is>
      </c>
      <c r="B12" s="8" t="inlineStr">
        <is>
          <t>Gestor de materiales</t>
        </is>
      </c>
      <c r="C12" s="8" t="inlineStr">
        <is>
          <t>Recibe, reserva y despacha materiales por IWP.</t>
        </is>
      </c>
    </row>
    <row r="13">
      <c r="A13" s="7" t="inlineStr">
        <is>
          <t>CON</t>
        </is>
      </c>
      <c r="B13" s="8" t="inlineStr">
        <is>
          <t>Gerente de Construcción</t>
        </is>
      </c>
      <c r="C13" s="8" t="inlineStr">
        <is>
          <t>Lidera el PoC; aprueba CWP; decide la secuencia de ejecución; prioriza restricciones críticas.</t>
        </is>
      </c>
    </row>
    <row r="14">
      <c r="A14" s="7" t="inlineStr">
        <is>
          <t>SUP</t>
        </is>
      </c>
      <c r="B14" s="8" t="inlineStr">
        <is>
          <t>Superintendente / capataz general</t>
        </is>
      </c>
      <c r="C14" s="8" t="inlineStr">
        <is>
          <t>Selecciona IWP del backlog; ejecuta los IWP con sus capataces; informa avance.</t>
        </is>
      </c>
    </row>
    <row r="15">
      <c r="A15" s="7" t="inlineStr">
        <is>
          <t>CTR</t>
        </is>
      </c>
      <c r="B15" s="8" t="inlineStr">
        <is>
          <t>Controles del proyecto</t>
        </is>
      </c>
      <c r="C15" s="8" t="inlineStr">
        <is>
          <t>Integra CWP (nivel 3) e IWP (nivel 5) en el cronograma; mide avance y productividad; calcula KPI.</t>
        </is>
      </c>
    </row>
    <row r="16">
      <c r="A16" s="7" t="inlineStr">
        <is>
          <t>IM</t>
        </is>
      </c>
      <c r="B16" s="8" t="inlineStr">
        <is>
          <t>Coordinador de gestión de información</t>
        </is>
      </c>
      <c r="C16" s="8" t="inlineStr">
        <is>
          <t>Codificación y atributos; integración de modelo, cronograma, materiales y documentos; software de WFP.</t>
        </is>
      </c>
    </row>
    <row r="17">
      <c r="A17" s="7" t="inlineStr">
        <is>
          <t>HSE</t>
        </is>
      </c>
      <c r="B17" s="8" t="inlineStr">
        <is>
          <t>Líder de HSE</t>
        </is>
      </c>
      <c r="C17" s="8" t="inlineStr">
        <is>
          <t>JHA y permisos en CWP e IWP; valida requisitos de seguridad antes de liberar.</t>
        </is>
      </c>
    </row>
    <row r="18">
      <c r="A18" s="7" t="inlineStr">
        <is>
          <t>CAL</t>
        </is>
      </c>
      <c r="B18" s="8" t="inlineStr">
        <is>
          <t>Líder de calidad (QA/QC)</t>
        </is>
      </c>
      <c r="C18" s="8" t="inlineStr">
        <is>
          <t>ITP y registros de inspección en CWP e IWP; cierre de calidad de cada IWP.</t>
        </is>
      </c>
    </row>
    <row r="19">
      <c r="A19" s="7" t="inlineStr">
        <is>
          <t>COM</t>
        </is>
      </c>
      <c r="B19" s="8" t="inlineStr">
        <is>
          <t>Líder de comisionamiento</t>
        </is>
      </c>
      <c r="C19" s="8" t="inlineStr">
        <is>
          <t>Sistemas y secuencia de puesta en marcha; relación IWP–sistema; SWP y TOP.</t>
        </is>
      </c>
    </row>
    <row r="20">
      <c r="A20" s="7" t="inlineStr">
        <is>
          <t>SUB</t>
        </is>
      </c>
      <c r="B20" s="8" t="inlineStr">
        <is>
          <t>Subcontratista de especialidad</t>
        </is>
      </c>
      <c r="C20" s="8" t="inlineStr">
        <is>
          <t>Aplica AWP en su alcance; aporta planificadores; cumple el lookahead.</t>
        </is>
      </c>
    </row>
  </sheetData>
  <printOptions horizontalCentered="1"/>
  <pageMargins left="0.4" right="0.4" top="0.6" bottom="0.6" header="0.5" footer="0.5"/>
  <pageSetup orientation="landscape" paperSize="9" fitToHeight="0" fitToWidth="1"/>
  <headerFooter>
    <oddHeader>&amp;L&amp;8 Kit de implementación AWP&amp;R&amp;8 Roles AWP</oddHeader>
    <oddFooter>&amp;L&amp;8 Proyecto Tipo (PT) – Complejo de instalaciones en tres fases&amp;R&amp;8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0"/>
  <sheetViews>
    <sheetView tabSelected="0" workbookViewId="0">
      <selection activeCell="A1" sqref="A1"/>
    </sheetView>
  </sheetViews>
  <sheetFormatPr baseColWidth="8" defaultRowHeight="15"/>
  <cols>
    <col width="36" customWidth="1" min="2" max="2"/>
  </cols>
  <sheetData>
    <row r="1" ht="24" customHeight="1">
      <c r="A1" s="11" t="inlineStr">
        <is>
          <t>Participación de cada rol</t>
        </is>
      </c>
    </row>
    <row r="2">
      <c r="A2" s="2" t="inlineStr">
        <is>
          <t>Cantidad de actividades en que cada rol es R, A, C o I (calculado).</t>
        </is>
      </c>
    </row>
    <row r="4">
      <c r="A4" s="21" t="inlineStr">
        <is>
          <t>Código</t>
        </is>
      </c>
      <c r="B4" s="21" t="inlineStr">
        <is>
          <t>Rol</t>
        </is>
      </c>
      <c r="C4" s="21" t="inlineStr">
        <is>
          <t>R</t>
        </is>
      </c>
      <c r="D4" s="21" t="inlineStr">
        <is>
          <t>A</t>
        </is>
      </c>
      <c r="E4" s="21" t="inlineStr">
        <is>
          <t>C</t>
        </is>
      </c>
      <c r="F4" s="21" t="inlineStr">
        <is>
          <t>I</t>
        </is>
      </c>
    </row>
    <row r="5">
      <c r="A5" s="22" t="inlineStr">
        <is>
          <t>CLI</t>
        </is>
      </c>
      <c r="B5" s="23" t="inlineStr">
        <is>
          <t>Gerente del proyecto del cliente</t>
        </is>
      </c>
      <c r="C5" s="24">
        <f>COUNTIF('Matriz RACI'!$E$6:$E$65,"R")</f>
        <v/>
      </c>
      <c r="D5" s="24">
        <f>COUNTIF('Matriz RACI'!$E$6:$E$65,"A")</f>
        <v/>
      </c>
      <c r="E5" s="24">
        <f>COUNTIF('Matriz RACI'!$E$6:$E$65,"C")</f>
        <v/>
      </c>
      <c r="F5" s="24">
        <f>COUNTIF('Matriz RACI'!$E$6:$E$65,"I")</f>
        <v/>
      </c>
    </row>
    <row r="6">
      <c r="A6" s="22" t="inlineStr">
        <is>
          <t>GP</t>
        </is>
      </c>
      <c r="B6" s="23" t="inlineStr">
        <is>
          <t>Gerente de Proyecto</t>
        </is>
      </c>
      <c r="C6" s="24">
        <f>COUNTIF('Matriz RACI'!$F$6:$F$65,"R")</f>
        <v/>
      </c>
      <c r="D6" s="24">
        <f>COUNTIF('Matriz RACI'!$F$6:$F$65,"A")</f>
        <v/>
      </c>
      <c r="E6" s="24">
        <f>COUNTIF('Matriz RACI'!$F$6:$F$65,"C")</f>
        <v/>
      </c>
      <c r="F6" s="24">
        <f>COUNTIF('Matriz RACI'!$F$6:$F$65,"I")</f>
        <v/>
      </c>
    </row>
    <row r="7">
      <c r="A7" s="22" t="inlineStr">
        <is>
          <t>CHA</t>
        </is>
      </c>
      <c r="B7" s="23" t="inlineStr">
        <is>
          <t>AWP Champion</t>
        </is>
      </c>
      <c r="C7" s="24">
        <f>COUNTIF('Matriz RACI'!$G$6:$G$65,"R")</f>
        <v/>
      </c>
      <c r="D7" s="24">
        <f>COUNTIF('Matriz RACI'!$G$6:$G$65,"A")</f>
        <v/>
      </c>
      <c r="E7" s="24">
        <f>COUNTIF('Matriz RACI'!$G$6:$G$65,"C")</f>
        <v/>
      </c>
      <c r="F7" s="24">
        <f>COUNTIF('Matriz RACI'!$G$6:$G$65,"I")</f>
        <v/>
      </c>
    </row>
    <row r="8">
      <c r="A8" s="22" t="inlineStr">
        <is>
          <t>LWF</t>
        </is>
      </c>
      <c r="B8" s="23" t="inlineStr">
        <is>
          <t>Líder de WFP</t>
        </is>
      </c>
      <c r="C8" s="24">
        <f>COUNTIF('Matriz RACI'!$H$6:$H$65,"R")</f>
        <v/>
      </c>
      <c r="D8" s="24">
        <f>COUNTIF('Matriz RACI'!$H$6:$H$65,"A")</f>
        <v/>
      </c>
      <c r="E8" s="24">
        <f>COUNTIF('Matriz RACI'!$H$6:$H$65,"C")</f>
        <v/>
      </c>
      <c r="F8" s="24">
        <f>COUNTIF('Matriz RACI'!$H$6:$H$65,"I")</f>
        <v/>
      </c>
    </row>
    <row r="9">
      <c r="A9" s="22" t="inlineStr">
        <is>
          <t>WFP</t>
        </is>
      </c>
      <c r="B9" s="23" t="inlineStr">
        <is>
          <t>Planificador de frente de trabajo</t>
        </is>
      </c>
      <c r="C9" s="24">
        <f>COUNTIF('Matriz RACI'!$I$6:$I$65,"R")</f>
        <v/>
      </c>
      <c r="D9" s="24">
        <f>COUNTIF('Matriz RACI'!$I$6:$I$65,"A")</f>
        <v/>
      </c>
      <c r="E9" s="24">
        <f>COUNTIF('Matriz RACI'!$I$6:$I$65,"C")</f>
        <v/>
      </c>
      <c r="F9" s="24">
        <f>COUNTIF('Matriz RACI'!$I$6:$I$65,"I")</f>
        <v/>
      </c>
    </row>
    <row r="10">
      <c r="A10" s="22" t="inlineStr">
        <is>
          <t>ING</t>
        </is>
      </c>
      <c r="B10" s="23" t="inlineStr">
        <is>
          <t>Líder de Ingeniería</t>
        </is>
      </c>
      <c r="C10" s="24">
        <f>COUNTIF('Matriz RACI'!$J$6:$J$65,"R")</f>
        <v/>
      </c>
      <c r="D10" s="24">
        <f>COUNTIF('Matriz RACI'!$J$6:$J$65,"A")</f>
        <v/>
      </c>
      <c r="E10" s="24">
        <f>COUNTIF('Matriz RACI'!$J$6:$J$65,"C")</f>
        <v/>
      </c>
      <c r="F10" s="24">
        <f>COUNTIF('Matriz RACI'!$J$6:$J$65,"I")</f>
        <v/>
      </c>
    </row>
    <row r="11">
      <c r="A11" s="22" t="inlineStr">
        <is>
          <t>PRO</t>
        </is>
      </c>
      <c r="B11" s="23" t="inlineStr">
        <is>
          <t>Líder de Procura</t>
        </is>
      </c>
      <c r="C11" s="24">
        <f>COUNTIF('Matriz RACI'!$K$6:$K$65,"R")</f>
        <v/>
      </c>
      <c r="D11" s="24">
        <f>COUNTIF('Matriz RACI'!$K$6:$K$65,"A")</f>
        <v/>
      </c>
      <c r="E11" s="24">
        <f>COUNTIF('Matriz RACI'!$K$6:$K$65,"C")</f>
        <v/>
      </c>
      <c r="F11" s="24">
        <f>COUNTIF('Matriz RACI'!$K$6:$K$65,"I")</f>
        <v/>
      </c>
    </row>
    <row r="12">
      <c r="A12" s="22" t="inlineStr">
        <is>
          <t>MAT</t>
        </is>
      </c>
      <c r="B12" s="23" t="inlineStr">
        <is>
          <t>Gestor de materiales</t>
        </is>
      </c>
      <c r="C12" s="24">
        <f>COUNTIF('Matriz RACI'!$L$6:$L$65,"R")</f>
        <v/>
      </c>
      <c r="D12" s="24">
        <f>COUNTIF('Matriz RACI'!$L$6:$L$65,"A")</f>
        <v/>
      </c>
      <c r="E12" s="24">
        <f>COUNTIF('Matriz RACI'!$L$6:$L$65,"C")</f>
        <v/>
      </c>
      <c r="F12" s="24">
        <f>COUNTIF('Matriz RACI'!$L$6:$L$65,"I")</f>
        <v/>
      </c>
    </row>
    <row r="13">
      <c r="A13" s="22" t="inlineStr">
        <is>
          <t>CON</t>
        </is>
      </c>
      <c r="B13" s="23" t="inlineStr">
        <is>
          <t>Gerente de Construcción</t>
        </is>
      </c>
      <c r="C13" s="24">
        <f>COUNTIF('Matriz RACI'!$M$6:$M$65,"R")</f>
        <v/>
      </c>
      <c r="D13" s="24">
        <f>COUNTIF('Matriz RACI'!$M$6:$M$65,"A")</f>
        <v/>
      </c>
      <c r="E13" s="24">
        <f>COUNTIF('Matriz RACI'!$M$6:$M$65,"C")</f>
        <v/>
      </c>
      <c r="F13" s="24">
        <f>COUNTIF('Matriz RACI'!$M$6:$M$65,"I")</f>
        <v/>
      </c>
    </row>
    <row r="14">
      <c r="A14" s="22" t="inlineStr">
        <is>
          <t>SUP</t>
        </is>
      </c>
      <c r="B14" s="23" t="inlineStr">
        <is>
          <t>Superintendente / capataz general</t>
        </is>
      </c>
      <c r="C14" s="24">
        <f>COUNTIF('Matriz RACI'!$N$6:$N$65,"R")</f>
        <v/>
      </c>
      <c r="D14" s="24">
        <f>COUNTIF('Matriz RACI'!$N$6:$N$65,"A")</f>
        <v/>
      </c>
      <c r="E14" s="24">
        <f>COUNTIF('Matriz RACI'!$N$6:$N$65,"C")</f>
        <v/>
      </c>
      <c r="F14" s="24">
        <f>COUNTIF('Matriz RACI'!$N$6:$N$65,"I")</f>
        <v/>
      </c>
    </row>
    <row r="15">
      <c r="A15" s="22" t="inlineStr">
        <is>
          <t>CTR</t>
        </is>
      </c>
      <c r="B15" s="23" t="inlineStr">
        <is>
          <t>Controles del proyecto</t>
        </is>
      </c>
      <c r="C15" s="24">
        <f>COUNTIF('Matriz RACI'!$O$6:$O$65,"R")</f>
        <v/>
      </c>
      <c r="D15" s="24">
        <f>COUNTIF('Matriz RACI'!$O$6:$O$65,"A")</f>
        <v/>
      </c>
      <c r="E15" s="24">
        <f>COUNTIF('Matriz RACI'!$O$6:$O$65,"C")</f>
        <v/>
      </c>
      <c r="F15" s="24">
        <f>COUNTIF('Matriz RACI'!$O$6:$O$65,"I")</f>
        <v/>
      </c>
    </row>
    <row r="16">
      <c r="A16" s="22" t="inlineStr">
        <is>
          <t>IM</t>
        </is>
      </c>
      <c r="B16" s="23" t="inlineStr">
        <is>
          <t>Coordinador de gestión de información</t>
        </is>
      </c>
      <c r="C16" s="24">
        <f>COUNTIF('Matriz RACI'!$P$6:$P$65,"R")</f>
        <v/>
      </c>
      <c r="D16" s="24">
        <f>COUNTIF('Matriz RACI'!$P$6:$P$65,"A")</f>
        <v/>
      </c>
      <c r="E16" s="24">
        <f>COUNTIF('Matriz RACI'!$P$6:$P$65,"C")</f>
        <v/>
      </c>
      <c r="F16" s="24">
        <f>COUNTIF('Matriz RACI'!$P$6:$P$65,"I")</f>
        <v/>
      </c>
    </row>
    <row r="17">
      <c r="A17" s="22" t="inlineStr">
        <is>
          <t>HSE</t>
        </is>
      </c>
      <c r="B17" s="23" t="inlineStr">
        <is>
          <t>Líder de HSE</t>
        </is>
      </c>
      <c r="C17" s="24">
        <f>COUNTIF('Matriz RACI'!$Q$6:$Q$65,"R")</f>
        <v/>
      </c>
      <c r="D17" s="24">
        <f>COUNTIF('Matriz RACI'!$Q$6:$Q$65,"A")</f>
        <v/>
      </c>
      <c r="E17" s="24">
        <f>COUNTIF('Matriz RACI'!$Q$6:$Q$65,"C")</f>
        <v/>
      </c>
      <c r="F17" s="24">
        <f>COUNTIF('Matriz RACI'!$Q$6:$Q$65,"I")</f>
        <v/>
      </c>
    </row>
    <row r="18">
      <c r="A18" s="22" t="inlineStr">
        <is>
          <t>CAL</t>
        </is>
      </c>
      <c r="B18" s="23" t="inlineStr">
        <is>
          <t>Líder de calidad (QA/QC)</t>
        </is>
      </c>
      <c r="C18" s="24">
        <f>COUNTIF('Matriz RACI'!$R$6:$R$65,"R")</f>
        <v/>
      </c>
      <c r="D18" s="24">
        <f>COUNTIF('Matriz RACI'!$R$6:$R$65,"A")</f>
        <v/>
      </c>
      <c r="E18" s="24">
        <f>COUNTIF('Matriz RACI'!$R$6:$R$65,"C")</f>
        <v/>
      </c>
      <c r="F18" s="24">
        <f>COUNTIF('Matriz RACI'!$R$6:$R$65,"I")</f>
        <v/>
      </c>
    </row>
    <row r="19">
      <c r="A19" s="22" t="inlineStr">
        <is>
          <t>COM</t>
        </is>
      </c>
      <c r="B19" s="23" t="inlineStr">
        <is>
          <t>Líder de comisionamiento</t>
        </is>
      </c>
      <c r="C19" s="24">
        <f>COUNTIF('Matriz RACI'!$S$6:$S$65,"R")</f>
        <v/>
      </c>
      <c r="D19" s="24">
        <f>COUNTIF('Matriz RACI'!$S$6:$S$65,"A")</f>
        <v/>
      </c>
      <c r="E19" s="24">
        <f>COUNTIF('Matriz RACI'!$S$6:$S$65,"C")</f>
        <v/>
      </c>
      <c r="F19" s="24">
        <f>COUNTIF('Matriz RACI'!$S$6:$S$65,"I")</f>
        <v/>
      </c>
    </row>
    <row r="20">
      <c r="A20" s="22" t="inlineStr">
        <is>
          <t>SUB</t>
        </is>
      </c>
      <c r="B20" s="23" t="inlineStr">
        <is>
          <t>Subcontratista de especialidad</t>
        </is>
      </c>
      <c r="C20" s="24">
        <f>COUNTIF('Matriz RACI'!$T$6:$T$65,"R")</f>
        <v/>
      </c>
      <c r="D20" s="24">
        <f>COUNTIF('Matriz RACI'!$T$6:$T$65,"A")</f>
        <v/>
      </c>
      <c r="E20" s="24">
        <f>COUNTIF('Matriz RACI'!$T$6:$T$65,"C")</f>
        <v/>
      </c>
      <c r="F20" s="24">
        <f>COUNTIF('Matriz RACI'!$T$6:$T$65,"I")</f>
        <v/>
      </c>
    </row>
  </sheetData>
  <printOptions horizontalCentered="1"/>
  <pageMargins left="0.4" right="0.4" top="0.6" bottom="0.6" header="0.5" footer="0.5"/>
  <pageSetup orientation="portrait" paperSize="9" fitToHeight="0" fitToWidth="1"/>
  <headerFooter>
    <oddHeader>&amp;L&amp;8 Kit de implementación AWP&amp;R&amp;8 Participación por rol</oddHeader>
    <oddFooter>&amp;L&amp;8 Proyecto Tipo (PT) – Complejo de instalaciones en tres fases&amp;R&amp;8 Página &amp;P de &amp;N</oddFooter>
    <evenHeader/>
    <evenFooter/>
    <firstHeader/>
    <firstFooter/>
  </headerFooter>
</worksheet>
</file>

<file path=xl/worksheets/sheet5.xml><?xml version="1.0" encoding="utf-8"?>
<worksheet xmlns="http://schemas.openxmlformats.org/spreadsheetml/2006/main">
  <sheetPr>
    <tabColor rgb="007F7F7F"/>
    <outlinePr summaryBelow="1" summaryRight="1"/>
    <pageSetUpPr/>
  </sheetPr>
  <dimension ref="A1:D18"/>
  <sheetViews>
    <sheetView tabSelected="0" workbookViewId="0">
      <pane ySplit="2" topLeftCell="A3" activePane="bottomLeft" state="frozen"/>
      <selection pane="bottomLeft" activeCell="A1" sqref="A1"/>
    </sheetView>
  </sheetViews>
  <sheetFormatPr baseColWidth="8" defaultRowHeight="15"/>
  <cols>
    <col width="30" customWidth="1" min="1" max="1"/>
    <col width="17" customWidth="1" min="2" max="2"/>
    <col width="39" customWidth="1" min="3" max="3"/>
    <col width="14" customWidth="1" min="4" max="4"/>
  </cols>
  <sheetData>
    <row r="1">
      <c r="A1" s="25" t="inlineStr">
        <is>
          <t>Valores de las listas desplegables. Puede ampliarlas agregando valores al final de cada columna y ajustando el rango con nombre (Fórmulas &gt; Administrador de nombres).</t>
        </is>
      </c>
    </row>
    <row r="2">
      <c r="A2" s="26" t="inlineStr">
        <is>
          <t>Etapas</t>
        </is>
      </c>
      <c r="B2" s="26" t="inlineStr">
        <is>
          <t>FasesExt</t>
        </is>
      </c>
      <c r="C2" s="26" t="inlineStr">
        <is>
          <t>Roles</t>
        </is>
      </c>
      <c r="D2" s="26" t="inlineStr">
        <is>
          <t>CodigosRol</t>
        </is>
      </c>
    </row>
    <row r="3">
      <c r="A3" s="27" t="inlineStr">
        <is>
          <t>Planificación temprana (FEL)</t>
        </is>
      </c>
      <c r="B3" s="27" t="inlineStr">
        <is>
          <t>Fase 1</t>
        </is>
      </c>
      <c r="C3" s="27" t="inlineStr">
        <is>
          <t>Gerente del proyecto del cliente</t>
        </is>
      </c>
      <c r="D3" s="27" t="inlineStr">
        <is>
          <t>CLI</t>
        </is>
      </c>
    </row>
    <row r="4">
      <c r="A4" s="27" t="inlineStr">
        <is>
          <t>Ingeniería</t>
        </is>
      </c>
      <c r="B4" s="27" t="inlineStr">
        <is>
          <t>Fase 2</t>
        </is>
      </c>
      <c r="C4" s="27" t="inlineStr">
        <is>
          <t>Gerente de Proyecto</t>
        </is>
      </c>
      <c r="D4" s="27" t="inlineStr">
        <is>
          <t>GP</t>
        </is>
      </c>
    </row>
    <row r="5">
      <c r="A5" s="27" t="inlineStr">
        <is>
          <t>Procura</t>
        </is>
      </c>
      <c r="B5" s="27" t="inlineStr">
        <is>
          <t>Fase 3</t>
        </is>
      </c>
      <c r="C5" s="27" t="inlineStr">
        <is>
          <t>AWP Champion</t>
        </is>
      </c>
      <c r="D5" s="27" t="inlineStr">
        <is>
          <t>CHA</t>
        </is>
      </c>
    </row>
    <row r="6">
      <c r="A6" s="27" t="inlineStr">
        <is>
          <t>Construcción</t>
        </is>
      </c>
      <c r="B6" s="27" t="inlineStr">
        <is>
          <t>Fases 1 y 2</t>
        </is>
      </c>
      <c r="C6" s="27" t="inlineStr">
        <is>
          <t>Líder de WFP</t>
        </is>
      </c>
      <c r="D6" s="27" t="inlineStr">
        <is>
          <t>LWF</t>
        </is>
      </c>
    </row>
    <row r="7">
      <c r="A7" s="27" t="inlineStr">
        <is>
          <t>Comisionamiento</t>
        </is>
      </c>
      <c r="B7" s="27" t="inlineStr">
        <is>
          <t>Fases 2 y 3</t>
        </is>
      </c>
      <c r="C7" s="27" t="inlineStr">
        <is>
          <t>Planificador de frente de trabajo</t>
        </is>
      </c>
      <c r="D7" s="27" t="inlineStr">
        <is>
          <t>WFP</t>
        </is>
      </c>
    </row>
    <row r="8">
      <c r="B8" s="27" t="inlineStr">
        <is>
          <t>Todas las fases</t>
        </is>
      </c>
      <c r="C8" s="27" t="inlineStr">
        <is>
          <t>Líder de Ingeniería</t>
        </is>
      </c>
      <c r="D8" s="27" t="inlineStr">
        <is>
          <t>ING</t>
        </is>
      </c>
    </row>
    <row r="9">
      <c r="C9" s="27" t="inlineStr">
        <is>
          <t>Líder de Procura</t>
        </is>
      </c>
      <c r="D9" s="27" t="inlineStr">
        <is>
          <t>PRO</t>
        </is>
      </c>
    </row>
    <row r="10">
      <c r="C10" s="27" t="inlineStr">
        <is>
          <t>Gestor de materiales</t>
        </is>
      </c>
      <c r="D10" s="27" t="inlineStr">
        <is>
          <t>MAT</t>
        </is>
      </c>
    </row>
    <row r="11">
      <c r="C11" s="27" t="inlineStr">
        <is>
          <t>Gerente de Construcción</t>
        </is>
      </c>
      <c r="D11" s="27" t="inlineStr">
        <is>
          <t>CON</t>
        </is>
      </c>
    </row>
    <row r="12">
      <c r="C12" s="27" t="inlineStr">
        <is>
          <t>Superintendente / capataz general</t>
        </is>
      </c>
      <c r="D12" s="27" t="inlineStr">
        <is>
          <t>SUP</t>
        </is>
      </c>
    </row>
    <row r="13">
      <c r="C13" s="27" t="inlineStr">
        <is>
          <t>Controles del proyecto</t>
        </is>
      </c>
      <c r="D13" s="27" t="inlineStr">
        <is>
          <t>CTR</t>
        </is>
      </c>
    </row>
    <row r="14">
      <c r="C14" s="27" t="inlineStr">
        <is>
          <t>Coordinador de gestión de información</t>
        </is>
      </c>
      <c r="D14" s="27" t="inlineStr">
        <is>
          <t>IM</t>
        </is>
      </c>
    </row>
    <row r="15">
      <c r="C15" s="27" t="inlineStr">
        <is>
          <t>Líder de HSE</t>
        </is>
      </c>
      <c r="D15" s="27" t="inlineStr">
        <is>
          <t>HSE</t>
        </is>
      </c>
    </row>
    <row r="16">
      <c r="C16" s="27" t="inlineStr">
        <is>
          <t>Líder de calidad (QA/QC)</t>
        </is>
      </c>
      <c r="D16" s="27" t="inlineStr">
        <is>
          <t>CAL</t>
        </is>
      </c>
    </row>
    <row r="17">
      <c r="C17" s="27" t="inlineStr">
        <is>
          <t>Líder de comisionamiento</t>
        </is>
      </c>
      <c r="D17" s="27" t="inlineStr">
        <is>
          <t>COM</t>
        </is>
      </c>
    </row>
    <row r="18">
      <c r="C18" s="27" t="inlineStr">
        <is>
          <t>Subcontratista de especialidad</t>
        </is>
      </c>
      <c r="D18" s="27" t="inlineStr">
        <is>
          <t>SUB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Kit de implementación AWP</dc:creator>
  <dc:title xmlns:dc="http://purl.org/dc/elements/1.1/">Matriz de roles RACI</dc:title>
  <dc:subject xmlns:dc="http://purl.org/dc/elements/1.1/">Proyecto Tipo (PT) – Complejo de instalaciones en tres fases</dc:subject>
  <dcterms:created xmlns:dcterms="http://purl.org/dc/terms/" xmlns:xsi="http://www.w3.org/2001/XMLSchema-instance" xsi:type="dcterms:W3CDTF">2026-09-25T03:31:51Z</dcterms:created>
  <dcterms:modified xmlns:dcterms="http://purl.org/dc/terms/" xmlns:xsi="http://www.w3.org/2001/XMLSchema-instance" xsi:type="dcterms:W3CDTF">2026-09-25T03:31:51Z</dcterms:modified>
</cp:coreProperties>
</file>