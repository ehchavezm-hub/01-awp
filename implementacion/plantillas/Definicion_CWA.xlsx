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CWA" sheetId="2" state="visible" r:id="rId2"/>
    <sheet xmlns:r="http://schemas.openxmlformats.org/officeDocument/2006/relationships" name="Criterios" sheetId="3" state="visible" r:id="rId3"/>
    <sheet xmlns:r="http://schemas.openxmlformats.org/officeDocument/2006/relationships" name="Listas" sheetId="4" state="visible" r:id="rId4"/>
  </sheets>
  <definedNames>
    <definedName name="Fases">Listas!$A$3:$A$5</definedName>
    <definedName name="EstadosPaquete">Listas!$B$3:$B$10</definedName>
    <definedName name="Roles">Listas!$C$3:$C$18</definedName>
    <definedName name="SiNo">Listas!$D$3:$D$4</definedName>
    <definedName name="_xlnm.Print_Area" localSheetId="0">'Instrucciones'!$A$1:$C$35</definedName>
    <definedName name="_xlnm._FilterDatabase" localSheetId="1" hidden="1">'CWA'!$A$5:$T$105</definedName>
    <definedName name="_xlnm.Print_Titles" localSheetId="1">'CWA'!$5:$5</definedName>
    <definedName name="_xlnm.Print_Area" localSheetId="1">'CWA'!$A$1:$T$55</definedName>
    <definedName name="_xlnm.Print_Titles" localSheetId="2">'Criterios'!$4:$4</definedName>
    <definedName name="_xlnm.Print_Area" localSheetId="2">'Criterios'!$A$1:$C$14</definedName>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13">
    <font>
      <name val="Calibri"/>
      <family val="2"/>
      <color theme="1"/>
      <sz val="11"/>
      <scheme val="minor"/>
    </font>
    <font>
      <name val="Calibri"/>
      <b val="1"/>
      <color rgb="001F3864"/>
      <sz val="15"/>
    </font>
    <font>
      <name val="Calibri"/>
      <i val="1"/>
      <color rgb="00595959"/>
      <sz val="10"/>
    </font>
    <font>
      <name val="Calibri"/>
      <b val="1"/>
      <color rgb="00FFFFFF"/>
      <sz val="10"/>
    </font>
    <font>
      <name val="Calibri"/>
      <color rgb="00000000"/>
      <sz val="10"/>
    </font>
    <font>
      <name val="Calibri"/>
      <color rgb="00404040"/>
      <sz val="10"/>
    </font>
    <font>
      <name val="Calibri"/>
      <b val="1"/>
      <color rgb="00FFFFFF"/>
    </font>
    <font>
      <name val="Calibri"/>
      <b val="1"/>
      <color rgb="001F3864"/>
      <sz val="16"/>
    </font>
    <font>
      <name val="Calibri"/>
      <b val="1"/>
      <color rgb="001F3864"/>
      <sz val="11"/>
    </font>
    <font>
      <name val="Calibri"/>
      <sz val="10"/>
    </font>
    <font>
      <name val="Calibri"/>
      <b val="1"/>
      <color rgb="001F3864"/>
      <sz val="12"/>
    </font>
    <font>
      <name val="Calibri"/>
      <b val="1"/>
      <sz val="10"/>
    </font>
    <font>
      <name val="Calibri"/>
      <i val="1"/>
      <sz val="9"/>
    </font>
  </fonts>
  <fills count="6">
    <fill>
      <patternFill/>
    </fill>
    <fill>
      <patternFill patternType="gray125"/>
    </fill>
    <fill>
      <patternFill patternType="solid">
        <fgColor rgb="001F3864"/>
        <bgColor rgb="001F3864"/>
      </patternFill>
    </fill>
    <fill>
      <patternFill patternType="solid">
        <fgColor rgb="002F5597"/>
        <bgColor rgb="002F5597"/>
      </patternFill>
    </fill>
    <fill>
      <patternFill patternType="solid">
        <fgColor rgb="00FFF2CC"/>
        <bgColor rgb="00FFF2CC"/>
      </patternFill>
    </fill>
    <fill>
      <patternFill patternType="solid">
        <fgColor rgb="00F2F2F2"/>
        <b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6">
    <xf numFmtId="0" fontId="0" fillId="0" borderId="0" pivotButton="0" quotePrefix="0" xfId="0"/>
    <xf numFmtId="0" fontId="7" fillId="0" borderId="0" pivotButton="0" quotePrefix="0" xfId="0"/>
    <xf numFmtId="0" fontId="2" fillId="0" borderId="0" pivotButton="0" quotePrefix="0" xfId="0"/>
    <xf numFmtId="0" fontId="8" fillId="0" borderId="0" applyAlignment="1" pivotButton="0" quotePrefix="0" xfId="0">
      <alignment vertical="top"/>
    </xf>
    <xf numFmtId="0" fontId="9" fillId="0" borderId="0" applyAlignment="1" pivotButton="0" quotePrefix="0" xfId="0">
      <alignment vertical="top" wrapText="1"/>
    </xf>
    <xf numFmtId="0" fontId="10" fillId="0" borderId="0" pivotButton="0" quotePrefix="0" xfId="0"/>
    <xf numFmtId="0" fontId="6" fillId="2" borderId="1" pivotButton="0" quotePrefix="0" xfId="0"/>
    <xf numFmtId="0" fontId="11" fillId="0" borderId="1" applyAlignment="1" pivotButton="0" quotePrefix="0" xfId="0">
      <alignment vertical="top" wrapText="1"/>
    </xf>
    <xf numFmtId="0" fontId="9" fillId="0" borderId="1" applyAlignment="1" pivotButton="0" quotePrefix="0" xfId="0">
      <alignment vertical="top" wrapText="1"/>
    </xf>
    <xf numFmtId="0" fontId="11" fillId="5" borderId="1" applyAlignment="1" pivotButton="0" quotePrefix="0" xfId="0">
      <alignment vertical="top" wrapText="1"/>
    </xf>
    <xf numFmtId="0" fontId="9" fillId="5" borderId="1" applyAlignment="1" pivotButton="0" quotePrefix="0" xfId="0">
      <alignment vertical="top" wrapText="1"/>
    </xf>
    <xf numFmtId="0" fontId="1" fillId="0" borderId="0" pivotButton="0" quotePrefix="0" xfId="0"/>
    <xf numFmtId="0" fontId="3" fillId="2" borderId="1" applyAlignment="1" pivotButton="0" quotePrefix="0" xfId="0">
      <alignment horizontal="center" vertical="center" wrapText="1"/>
    </xf>
    <xf numFmtId="0" fontId="3" fillId="3" borderId="1" applyAlignment="1" pivotButton="0" quotePrefix="0" xfId="0">
      <alignment horizontal="center" vertical="center" wrapText="1"/>
    </xf>
    <xf numFmtId="0" fontId="4" fillId="4" borderId="1" applyAlignment="1" pivotButton="0" quotePrefix="0" xfId="0">
      <alignment horizontal="center" vertical="top"/>
    </xf>
    <xf numFmtId="0" fontId="4" fillId="4" borderId="1" applyAlignment="1" pivotButton="0" quotePrefix="0" xfId="0">
      <alignment vertical="top"/>
    </xf>
    <xf numFmtId="0" fontId="4" fillId="4" borderId="1" applyAlignment="1" pivotButton="0" quotePrefix="0" xfId="0">
      <alignment vertical="top" wrapText="1"/>
    </xf>
    <xf numFmtId="3" fontId="4" fillId="4" borderId="1" applyAlignment="1" pivotButton="0" quotePrefix="0" xfId="0">
      <alignment vertical="top"/>
    </xf>
    <xf numFmtId="9" fontId="5" fillId="4" borderId="1" applyAlignment="1" pivotButton="0" quotePrefix="0" xfId="0">
      <alignment horizontal="center" vertical="top"/>
    </xf>
    <xf numFmtId="3" fontId="5" fillId="4" borderId="1" applyAlignment="1" pivotButton="0" quotePrefix="0" xfId="0">
      <alignment vertical="top"/>
    </xf>
    <xf numFmtId="0" fontId="5" fillId="4" borderId="1" applyAlignment="1" pivotButton="0" quotePrefix="0" xfId="0">
      <alignment vertical="top"/>
    </xf>
    <xf numFmtId="165" fontId="4" fillId="4" borderId="1" applyAlignment="1" pivotButton="0" quotePrefix="0" xfId="0">
      <alignment horizontal="center" vertical="top"/>
    </xf>
    <xf numFmtId="4" fontId="5" fillId="4" borderId="1" applyAlignment="1" pivotButton="0" quotePrefix="0" xfId="0">
      <alignment vertical="top"/>
    </xf>
    <xf numFmtId="0" fontId="4" fillId="0" borderId="1" applyAlignment="1" pivotButton="0" quotePrefix="0" xfId="0">
      <alignment horizontal="center" vertical="top"/>
    </xf>
    <xf numFmtId="0" fontId="4" fillId="0" borderId="1" applyAlignment="1" pivotButton="0" quotePrefix="0" xfId="0">
      <alignment vertical="top"/>
    </xf>
    <xf numFmtId="0" fontId="4" fillId="0" borderId="1" applyAlignment="1" pivotButton="0" quotePrefix="0" xfId="0">
      <alignment vertical="top" wrapText="1"/>
    </xf>
    <xf numFmtId="3" fontId="4" fillId="0" borderId="1" applyAlignment="1" pivotButton="0" quotePrefix="0" xfId="0">
      <alignment vertical="top"/>
    </xf>
    <xf numFmtId="9" fontId="5" fillId="5" borderId="1" applyAlignment="1" pivotButton="0" quotePrefix="0" xfId="0">
      <alignment horizontal="center" vertical="top"/>
    </xf>
    <xf numFmtId="3" fontId="5" fillId="5" borderId="1" applyAlignment="1" pivotButton="0" quotePrefix="0" xfId="0">
      <alignment vertical="top"/>
    </xf>
    <xf numFmtId="0" fontId="5" fillId="5" borderId="1" applyAlignment="1" pivotButton="0" quotePrefix="0" xfId="0">
      <alignment vertical="top"/>
    </xf>
    <xf numFmtId="165" fontId="4" fillId="0" borderId="1" applyAlignment="1" pivotButton="0" quotePrefix="0" xfId="0">
      <alignment horizontal="center" vertical="top"/>
    </xf>
    <xf numFmtId="4" fontId="5" fillId="5" borderId="1" applyAlignment="1" pivotButton="0" quotePrefix="0" xfId="0">
      <alignment vertical="top"/>
    </xf>
    <xf numFmtId="0" fontId="0" fillId="0" borderId="1" applyAlignment="1" pivotButton="0" quotePrefix="0" xfId="0">
      <alignment vertical="top" wrapText="1"/>
    </xf>
    <xf numFmtId="0" fontId="12" fillId="0" borderId="0" pivotButton="0" quotePrefix="0" xfId="0"/>
    <xf numFmtId="0" fontId="6" fillId="2" borderId="0" pivotButton="0" quotePrefix="0" xfId="0"/>
    <xf numFmtId="0" fontId="9" fillId="0" borderId="0" pivotButton="0" quotePrefix="0" xfId="0"/>
  </cellXfs>
  <cellStyles count="1">
    <cellStyle name="Normal" xfId="0" builtinId="0" hidden="0"/>
  </cellStyles>
  <dxfs count="2">
    <dxf>
      <font>
        <color rgb="009C0006"/>
      </font>
      <fill>
        <patternFill patternType="solid">
          <fgColor rgb="00F8CBAD"/>
          <bgColor rgb="00F8CBAD"/>
        </patternFill>
      </fill>
    </dxf>
    <dxf>
      <font>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548235"/>
    <outlinePr summaryBelow="1" summaryRight="1"/>
    <pageSetUpPr fitToPage="1"/>
  </sheetPr>
  <dimension ref="A1:C33"/>
  <sheetViews>
    <sheetView tabSelected="1" workbookViewId="0">
      <pane ySplit="3" topLeftCell="A4" activePane="bottomLeft" state="frozen"/>
      <selection pane="bottomLeft" activeCell="A1" sqref="A1"/>
    </sheetView>
  </sheetViews>
  <sheetFormatPr baseColWidth="8" defaultRowHeight="15"/>
  <cols>
    <col width="30" customWidth="1" min="1" max="1"/>
    <col width="70" customWidth="1" min="2" max="2"/>
    <col width="14" customWidth="1" min="3" max="3"/>
  </cols>
  <sheetData>
    <row r="1">
      <c r="A1" s="1" t="inlineStr">
        <is>
          <t>Definición de CWA</t>
        </is>
      </c>
    </row>
    <row r="2">
      <c r="A2" s="2" t="inlineStr">
        <is>
          <t>Kit de implementación AWP · Proyecto Tipo (PT) – Complejo de instalaciones en tres fases</t>
        </is>
      </c>
    </row>
    <row r="4" ht="42" customHeight="1">
      <c r="A4" s="3" t="inlineStr">
        <is>
          <t>Propósito</t>
        </is>
      </c>
      <c r="B4" s="4" t="inlineStr">
        <is>
          <t>Definir y documentar las áreas de trabajo de construcción (CWA) de cada fase: límites, disciplinas, tamaño, secuencia y predecesoras. Las CWA son la base de todo el flujo de paquetes y del Path of Construction.</t>
        </is>
      </c>
    </row>
    <row r="5" ht="42" customHeight="1">
      <c r="A5" s="3" t="inlineStr">
        <is>
          <t>Por qué se incluye</t>
        </is>
      </c>
      <c r="B5" s="4" t="inlineStr">
        <is>
          <t>Las fuentes (procedimiento 1.0, curso 2023 y marco educativo del CII) sitúan la definición de CWA como el primer entregable AWP de la planificación temprana. Sin una lista formal de CWA no se pueden codificar ni secuenciar los paquetes.</t>
        </is>
      </c>
    </row>
    <row r="6" ht="28" customHeight="1">
      <c r="A6" s="3" t="inlineStr">
        <is>
          <t>Cuándo se usa</t>
        </is>
      </c>
      <c r="B6" s="4" t="inlineStr">
        <is>
          <t>En la planificación temprana de cada fase (hito H1). Se revisa si cambia el alcance o la secuencia.</t>
        </is>
      </c>
    </row>
    <row r="7" ht="28" customHeight="1">
      <c r="A7" s="3" t="inlineStr">
        <is>
          <t>Quién la llena</t>
        </is>
      </c>
      <c r="B7" s="4" t="inlineStr">
        <is>
          <t>El AWP Champion con el Gerente de Construcción; participan ingeniería, procura y comisionamiento.</t>
        </is>
      </c>
    </row>
    <row r="8" ht="84" customHeight="1">
      <c r="A8" s="3" t="inlineStr">
        <is>
          <t>Cómo llenarla</t>
        </is>
      </c>
      <c r="B8" s="4" t="inlineStr">
        <is>
          <t>1. Borre las filas amarillas de ejemplo.
2. Registre una fila por CWA, con su código y fase.
3. Describa los límites de forma que coincidan con el plano de CWA.
4. Estime las HH y la cantidad de CWP; revise el control de tamaño.
5. Indique la secuencia y la CWA predecesora según el Path of Construction.
6. Revise cada CWA con la hoja «Criterios» y marque «Cumple criterios».</t>
        </is>
      </c>
    </row>
    <row r="9" ht="42" customHeight="1">
      <c r="A9" s="3" t="inlineStr">
        <is>
          <t>Colores</t>
        </is>
      </c>
      <c r="B9" s="4" t="inlineStr">
        <is>
          <t>Amarillo: fila de ejemplo (bórrela o reemplácela). Encabezado azul oscuro: dato que se ingresa. Encabezado azul medio y celda gris: columna calculada con fórmula (no la sobrescriba). Rojo: vencido o fuera de meta. Ámbar: por vencer o cerca del límite. Verde: cumplido.</t>
        </is>
      </c>
    </row>
    <row r="10" ht="42" customHeight="1">
      <c r="A10" s="3" t="inlineStr">
        <is>
          <t>Impresión</t>
        </is>
      </c>
      <c r="B10" s="4" t="inlineStr">
        <is>
          <t>Cada hoja está configurada en A4, ajustada al ancho de la página, con el encabezado repetido en cada página. El área de impresión de las hojas de datos cubre las primeras 50 filas: si usa más, amplíela en Diseño de página &gt; Área de impresión.</t>
        </is>
      </c>
    </row>
    <row r="12">
      <c r="A12" s="5" t="inlineStr">
        <is>
          <t>Columnas de la hoja «CWA»</t>
        </is>
      </c>
    </row>
    <row r="13">
      <c r="A13" s="6" t="inlineStr">
        <is>
          <t>Columna</t>
        </is>
      </c>
      <c r="B13" s="6" t="inlineStr">
        <is>
          <t>Significado</t>
        </is>
      </c>
      <c r="C13" s="6" t="inlineStr">
        <is>
          <t>Tipo de dato</t>
        </is>
      </c>
    </row>
    <row r="14" ht="15" customHeight="1">
      <c r="A14" s="7" t="inlineStr">
        <is>
          <t>Ejemplo</t>
        </is>
      </c>
      <c r="B14" s="8" t="inlineStr">
        <is>
          <t>Contiene «EJEMPLO» en las filas de ejemplo. Déjela vacía en las filas reales.</t>
        </is>
      </c>
      <c r="C14" s="8" t="inlineStr">
        <is>
          <t>Manual</t>
        </is>
      </c>
    </row>
    <row r="15" ht="15" customHeight="1">
      <c r="A15" s="7" t="inlineStr">
        <is>
          <t>Código CWA</t>
        </is>
      </c>
      <c r="B15" s="8" t="inlineStr">
        <is>
          <t>Código CWA-&lt;fase&gt;.&lt;nn&gt;. Una CWA pertenece a una sola fase.</t>
        </is>
      </c>
      <c r="C15" s="8" t="inlineStr">
        <is>
          <t>Manual</t>
        </is>
      </c>
    </row>
    <row r="16" ht="15" customHeight="1">
      <c r="A16" s="7" t="inlineStr">
        <is>
          <t>Fase del proyecto</t>
        </is>
      </c>
      <c r="B16" s="8" t="inlineStr">
        <is>
          <t>Fase del proyecto.</t>
        </is>
      </c>
      <c r="C16" s="8" t="inlineStr">
        <is>
          <t>Lista</t>
        </is>
      </c>
    </row>
    <row r="17" ht="15" customHeight="1">
      <c r="A17" s="7" t="inlineStr">
        <is>
          <t>Nombre</t>
        </is>
      </c>
      <c r="B17" s="8" t="inlineStr">
        <is>
          <t>Nombre corto del área.</t>
        </is>
      </c>
      <c r="C17" s="8" t="inlineStr">
        <is>
          <t>Manual</t>
        </is>
      </c>
    </row>
    <row r="18" ht="28" customHeight="1">
      <c r="A18" s="7" t="inlineStr">
        <is>
          <t>Límites (ejes, coordenadas, referencias)</t>
        </is>
      </c>
      <c r="B18" s="8" t="inlineStr">
        <is>
          <t>Descripción de los límites físicos o lógicos. Deben coincidir con el plano de CWA.</t>
        </is>
      </c>
      <c r="C18" s="8" t="inlineStr">
        <is>
          <t>Manual</t>
        </is>
      </c>
    </row>
    <row r="19" ht="15" customHeight="1">
      <c r="A19" s="7" t="inlineStr">
        <is>
          <t>Disciplinas</t>
        </is>
      </c>
      <c r="B19" s="8" t="inlineStr">
        <is>
          <t>Códigos de las disciplinas que trabajan en la CWA.</t>
        </is>
      </c>
      <c r="C19" s="8" t="inlineStr">
        <is>
          <t>Manual</t>
        </is>
      </c>
    </row>
    <row r="20" ht="15" customHeight="1">
      <c r="A20" s="7" t="inlineStr">
        <is>
          <t>HH estimadas</t>
        </is>
      </c>
      <c r="B20" s="8" t="inlineStr">
        <is>
          <t>Horas-hombre directas estimadas de construcción.</t>
        </is>
      </c>
      <c r="C20" s="8" t="inlineStr">
        <is>
          <t>Manual</t>
        </is>
      </c>
    </row>
    <row r="21" ht="15" customHeight="1">
      <c r="A21" s="9" t="inlineStr">
        <is>
          <t>% HH de la fase</t>
        </is>
      </c>
      <c r="B21" s="10" t="inlineStr">
        <is>
          <t>Calculado: participación de la CWA en las HH de su fase.</t>
        </is>
      </c>
      <c r="C21" s="10" t="inlineStr">
        <is>
          <t>Calculado</t>
        </is>
      </c>
    </row>
    <row r="22" ht="15" customHeight="1">
      <c r="A22" s="7" t="inlineStr">
        <is>
          <t>Secuencia en el PoC</t>
        </is>
      </c>
      <c r="B22" s="8" t="inlineStr">
        <is>
          <t>Orden de la CWA dentro del Path of Construction de su fase.</t>
        </is>
      </c>
      <c r="C22" s="8" t="inlineStr">
        <is>
          <t>Manual</t>
        </is>
      </c>
    </row>
    <row r="23" ht="15" customHeight="1">
      <c r="A23" s="7" t="inlineStr">
        <is>
          <t>CWA predecesora</t>
        </is>
      </c>
      <c r="B23" s="8" t="inlineStr">
        <is>
          <t>CWA que debe terminar (o entregar un área) antes de iniciar esta.</t>
        </is>
      </c>
      <c r="C23" s="8" t="inlineStr">
        <is>
          <t>Manual</t>
        </is>
      </c>
    </row>
    <row r="24" ht="15" customHeight="1">
      <c r="A24" s="7" t="inlineStr">
        <is>
          <t>N.° de CWP previstos</t>
        </is>
      </c>
      <c r="B24" s="8" t="inlineStr">
        <is>
          <t>Cantidad estimada de CWP (uno por disciplina y frente).</t>
        </is>
      </c>
      <c r="C24" s="8" t="inlineStr">
        <is>
          <t>Manual</t>
        </is>
      </c>
    </row>
    <row r="25" ht="15" customHeight="1">
      <c r="A25" s="9" t="inlineStr">
        <is>
          <t>HH promedio por CWP</t>
        </is>
      </c>
      <c r="B25" s="10" t="inlineStr">
        <is>
          <t>Calculado: HH de la CWA ÷ N.° de CWP.</t>
        </is>
      </c>
      <c r="C25" s="10" t="inlineStr">
        <is>
          <t>Calculado</t>
        </is>
      </c>
    </row>
    <row r="26" ht="15" customHeight="1">
      <c r="A26" s="9" t="inlineStr">
        <is>
          <t>Control tamaño CWP</t>
        </is>
      </c>
      <c r="B26" s="10" t="inlineStr">
        <is>
          <t>Calculado: avisa si el CWP promedio supera 40 000 HH (criterio de las fuentes).</t>
        </is>
      </c>
      <c r="C26" s="10" t="inlineStr">
        <is>
          <t>Calculado</t>
        </is>
      </c>
    </row>
    <row r="27" ht="15" customHeight="1">
      <c r="A27" s="7" t="inlineStr">
        <is>
          <t>Inicio plan</t>
        </is>
      </c>
      <c r="B27" s="8" t="inlineStr">
        <is>
          <t>Inicio de construcción previsto en la CWA.</t>
        </is>
      </c>
      <c r="C27" s="8" t="inlineStr">
        <is>
          <t>Manual</t>
        </is>
      </c>
    </row>
    <row r="28" ht="15" customHeight="1">
      <c r="A28" s="7" t="inlineStr">
        <is>
          <t>Fin plan</t>
        </is>
      </c>
      <c r="B28" s="8" t="inlineStr">
        <is>
          <t>Fin de construcción previsto.</t>
        </is>
      </c>
      <c r="C28" s="8" t="inlineStr">
        <is>
          <t>Manual</t>
        </is>
      </c>
    </row>
    <row r="29" ht="15" customHeight="1">
      <c r="A29" s="9" t="inlineStr">
        <is>
          <t>Duración (meses)</t>
        </is>
      </c>
      <c r="B29" s="10" t="inlineStr">
        <is>
          <t>Calculado: duración aproximada en meses.</t>
        </is>
      </c>
      <c r="C29" s="10" t="inlineStr">
        <is>
          <t>Calculado</t>
        </is>
      </c>
    </row>
    <row r="30" ht="15" customHeight="1">
      <c r="A30" s="7" t="inlineStr">
        <is>
          <t>Responsable (rol)</t>
        </is>
      </c>
      <c r="B30" s="8" t="inlineStr">
        <is>
          <t>Rol responsable de la CWA en construcción.</t>
        </is>
      </c>
      <c r="C30" s="8" t="inlineStr">
        <is>
          <t>Lista</t>
        </is>
      </c>
    </row>
    <row r="31" ht="15" customHeight="1">
      <c r="A31" s="7" t="inlineStr">
        <is>
          <t>Estado</t>
        </is>
      </c>
      <c r="B31" s="8" t="inlineStr">
        <is>
          <t>Estado de la CWA.</t>
        </is>
      </c>
      <c r="C31" s="8" t="inlineStr">
        <is>
          <t>Lista</t>
        </is>
      </c>
    </row>
    <row r="32" ht="15" customHeight="1">
      <c r="A32" s="7" t="inlineStr">
        <is>
          <t>Cumple criterios</t>
        </is>
      </c>
      <c r="B32" s="8" t="inlineStr">
        <is>
          <t>«Sí» si la CWA cumple la lista de la hoja «Criterios».</t>
        </is>
      </c>
      <c r="C32" s="8" t="inlineStr">
        <is>
          <t>Lista</t>
        </is>
      </c>
    </row>
    <row r="33" ht="15" customHeight="1">
      <c r="A33" s="7" t="inlineStr">
        <is>
          <t>Observaciones</t>
        </is>
      </c>
      <c r="B33" s="8" t="inlineStr">
        <is>
          <t>Comentarios.</t>
        </is>
      </c>
      <c r="C33" s="8" t="inlineStr">
        <is>
          <t>Manual</t>
        </is>
      </c>
    </row>
  </sheetData>
  <mergeCells count="7">
    <mergeCell ref="B6:C6"/>
    <mergeCell ref="B7:C7"/>
    <mergeCell ref="B5:C5"/>
    <mergeCell ref="B10:C10"/>
    <mergeCell ref="B9:C9"/>
    <mergeCell ref="B8:C8"/>
    <mergeCell ref="B4:C4"/>
  </mergeCells>
  <printOptions horizontalCentered="1"/>
  <pageMargins left="0.4" right="0.4" top="0.6" bottom="0.6" header="0.5" footer="0.5"/>
  <pageSetup orientation="portrait" paperSize="9" fitToHeight="0" fitToWidth="1"/>
  <headerFooter>
    <oddHeader>&amp;L&amp;8 Kit de implementación AWP&amp;R&amp;8 Definición de CWA</oddHeader>
    <oddFooter>&amp;L&amp;8 Proyecto Tipo (PT) – Complejo de instalaciones en tres fases&amp;R&amp;8 Página &amp;P de &amp;N</oddFooter>
    <evenHeader/>
    <evenFooter/>
    <firstHeader/>
    <firstFooter/>
  </headerFooter>
</worksheet>
</file>

<file path=xl/worksheets/sheet2.xml><?xml version="1.0" encoding="utf-8"?>
<worksheet xmlns="http://schemas.openxmlformats.org/spreadsheetml/2006/main">
  <sheetPr>
    <tabColor rgb="001F3864"/>
    <outlinePr summaryBelow="1" summaryRight="1"/>
    <pageSetUpPr fitToPage="1"/>
  </sheetPr>
  <dimension ref="A1:T105"/>
  <sheetViews>
    <sheetView tabSelected="0" workbookViewId="0">
      <pane xSplit="2" ySplit="5" topLeftCell="C6"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1" customWidth="1" min="3" max="3"/>
    <col width="28" customWidth="1" min="4" max="4"/>
    <col width="34" customWidth="1" min="5" max="5"/>
    <col width="14" customWidth="1" min="6" max="6"/>
    <col width="11" customWidth="1" min="7" max="7"/>
    <col width="9" customWidth="1" min="8" max="8"/>
    <col width="9" customWidth="1" min="9" max="9"/>
    <col width="11" customWidth="1" min="10" max="10"/>
    <col width="9" customWidth="1" min="11" max="11"/>
    <col width="11" customWidth="1" min="12" max="12"/>
    <col width="17" customWidth="1" min="13" max="13"/>
    <col width="11" customWidth="1" min="14" max="14"/>
    <col width="11" customWidth="1" min="15" max="15"/>
    <col width="9" customWidth="1" min="16" max="16"/>
    <col width="20" customWidth="1" min="17" max="17"/>
    <col width="12" customWidth="1" min="18" max="18"/>
    <col width="9" customWidth="1" min="19" max="19"/>
    <col width="28" customWidth="1" min="20" max="20"/>
  </cols>
  <sheetData>
    <row r="1" ht="24" customHeight="1">
      <c r="A1" s="11" t="inlineStr">
        <is>
          <t>Definición de áreas de trabajo de construcción (CWA)</t>
        </is>
      </c>
    </row>
    <row r="2">
      <c r="A2" s="2" t="inlineStr">
        <is>
          <t>Proyecto Tipo (PT) – Complejo de instalaciones en tres fases. Las filas en amarillo marcadas «EJEMPLO» son de ejemplo: bórrelas o reemplácelas.</t>
        </is>
      </c>
    </row>
    <row r="5" ht="42" customHeight="1">
      <c r="A5" s="12" t="inlineStr">
        <is>
          <t>Ejemplo</t>
        </is>
      </c>
      <c r="B5" s="12" t="inlineStr">
        <is>
          <t>Código CWA</t>
        </is>
      </c>
      <c r="C5" s="12" t="inlineStr">
        <is>
          <t>Fase del proyecto</t>
        </is>
      </c>
      <c r="D5" s="12" t="inlineStr">
        <is>
          <t>Nombre</t>
        </is>
      </c>
      <c r="E5" s="12" t="inlineStr">
        <is>
          <t>Límites (ejes, coordenadas, referencias)</t>
        </is>
      </c>
      <c r="F5" s="12" t="inlineStr">
        <is>
          <t>Disciplinas</t>
        </is>
      </c>
      <c r="G5" s="12" t="inlineStr">
        <is>
          <t>HH estimadas</t>
        </is>
      </c>
      <c r="H5" s="13" t="inlineStr">
        <is>
          <t>% HH de la fase</t>
        </is>
      </c>
      <c r="I5" s="12" t="inlineStr">
        <is>
          <t>Secuencia en el PoC</t>
        </is>
      </c>
      <c r="J5" s="12" t="inlineStr">
        <is>
          <t>CWA predecesora</t>
        </is>
      </c>
      <c r="K5" s="12" t="inlineStr">
        <is>
          <t>N.° de CWP previstos</t>
        </is>
      </c>
      <c r="L5" s="13" t="inlineStr">
        <is>
          <t>HH promedio por CWP</t>
        </is>
      </c>
      <c r="M5" s="13" t="inlineStr">
        <is>
          <t>Control tamaño CWP</t>
        </is>
      </c>
      <c r="N5" s="12" t="inlineStr">
        <is>
          <t>Inicio plan</t>
        </is>
      </c>
      <c r="O5" s="12" t="inlineStr">
        <is>
          <t>Fin plan</t>
        </is>
      </c>
      <c r="P5" s="13" t="inlineStr">
        <is>
          <t>Duración (meses)</t>
        </is>
      </c>
      <c r="Q5" s="12" t="inlineStr">
        <is>
          <t>Responsable (rol)</t>
        </is>
      </c>
      <c r="R5" s="12" t="inlineStr">
        <is>
          <t>Estado</t>
        </is>
      </c>
      <c r="S5" s="12" t="inlineStr">
        <is>
          <t>Cumple criterios</t>
        </is>
      </c>
      <c r="T5" s="12" t="inlineStr">
        <is>
          <t>Observaciones</t>
        </is>
      </c>
    </row>
    <row r="6">
      <c r="A6" s="14" t="inlineStr">
        <is>
          <t>EJEMPLO</t>
        </is>
      </c>
      <c r="B6" s="15" t="inlineStr">
        <is>
          <t>CWA-1.01</t>
        </is>
      </c>
      <c r="C6" s="15" t="inlineStr">
        <is>
          <t>Fase 1</t>
        </is>
      </c>
      <c r="D6" s="16" t="inlineStr">
        <is>
          <t>Plataformas y movimiento de tierras</t>
        </is>
      </c>
      <c r="E6" s="16" t="inlineStr">
        <is>
          <t>Plataformas norte y sur, taludes y drenaje superficial</t>
        </is>
      </c>
      <c r="F6" s="15" t="inlineStr">
        <is>
          <t>CIV</t>
        </is>
      </c>
      <c r="G6" s="17" t="n">
        <v>120000</v>
      </c>
      <c r="H6" s="18">
        <f>IF(B6="","",IFERROR(G6/SUMIFS($G$6:$G$105,$C$6:$C$105,C6),""))</f>
        <v/>
      </c>
      <c r="I6" s="17" t="n">
        <v>1</v>
      </c>
      <c r="J6" s="15" t="inlineStr">
        <is>
          <t>—</t>
        </is>
      </c>
      <c r="K6" s="17" t="n">
        <v>4</v>
      </c>
      <c r="L6" s="19">
        <f>IF(OR(G6="",K6="",K6=0),"",G6/K6)</f>
        <v/>
      </c>
      <c r="M6" s="20">
        <f>IF(B6="","",IF(L6="","",IF(L6&gt;40000,"Revisar: CWP &gt; 40 000 HH","OK")))</f>
        <v/>
      </c>
      <c r="N6" s="21" t="n">
        <v>46545</v>
      </c>
      <c r="O6" s="21" t="n">
        <v>46741</v>
      </c>
      <c r="P6" s="22">
        <f>IF(OR(N6="",O6=""),"",ROUND((O6-N6)/30.4,1))</f>
        <v/>
      </c>
      <c r="Q6" s="15" t="inlineStr">
        <is>
          <t>Gerente de Construcción</t>
        </is>
      </c>
      <c r="R6" s="15" t="inlineStr">
        <is>
          <t>Cerrado</t>
        </is>
      </c>
      <c r="S6" s="15" t="inlineStr">
        <is>
          <t>Sí</t>
        </is>
      </c>
      <c r="T6" s="16" t="inlineStr"/>
    </row>
    <row r="7">
      <c r="A7" s="14" t="inlineStr">
        <is>
          <t>EJEMPLO</t>
        </is>
      </c>
      <c r="B7" s="15" t="inlineStr">
        <is>
          <t>CWA-1.02</t>
        </is>
      </c>
      <c r="C7" s="15" t="inlineStr">
        <is>
          <t>Fase 1</t>
        </is>
      </c>
      <c r="D7" s="16" t="inlineStr">
        <is>
          <t>Redes enterradas</t>
        </is>
      </c>
      <c r="E7" s="16" t="inlineStr">
        <is>
          <t>Redes de agua, desagüe y bancos de ductos en todo el terreno</t>
        </is>
      </c>
      <c r="F7" s="15" t="inlineStr">
        <is>
          <t>CIV, TUB, ELE</t>
        </is>
      </c>
      <c r="G7" s="17" t="n">
        <v>110000</v>
      </c>
      <c r="H7" s="18">
        <f>IF(B7="","",IFERROR(G7/SUMIFS($G$6:$G$105,$C$6:$C$105,C7),""))</f>
        <v/>
      </c>
      <c r="I7" s="17" t="n">
        <v>2</v>
      </c>
      <c r="J7" s="15" t="inlineStr">
        <is>
          <t>CWA-1.01</t>
        </is>
      </c>
      <c r="K7" s="17" t="n">
        <v>5</v>
      </c>
      <c r="L7" s="19">
        <f>IF(OR(G7="",K7="",K7=0),"",G7/K7)</f>
        <v/>
      </c>
      <c r="M7" s="20">
        <f>IF(B7="","",IF(L7="","",IF(L7&gt;40000,"Revisar: CWP &gt; 40 000 HH","OK")))</f>
        <v/>
      </c>
      <c r="N7" s="21" t="n">
        <v>46601</v>
      </c>
      <c r="O7" s="21" t="n">
        <v>46783</v>
      </c>
      <c r="P7" s="22">
        <f>IF(OR(N7="",O7=""),"",ROUND((O7-N7)/30.4,1))</f>
        <v/>
      </c>
      <c r="Q7" s="15" t="inlineStr">
        <is>
          <t>Gerente de Construcción</t>
        </is>
      </c>
      <c r="R7" s="15" t="inlineStr">
        <is>
          <t>Cerrado</t>
        </is>
      </c>
      <c r="S7" s="15" t="inlineStr">
        <is>
          <t>Sí</t>
        </is>
      </c>
      <c r="T7" s="16" t="inlineStr"/>
    </row>
    <row r="8">
      <c r="A8" s="14" t="inlineStr">
        <is>
          <t>EJEMPLO</t>
        </is>
      </c>
      <c r="B8" s="15" t="inlineStr">
        <is>
          <t>CWA-1.03</t>
        </is>
      </c>
      <c r="C8" s="15" t="inlineStr">
        <is>
          <t>Fase 1</t>
        </is>
      </c>
      <c r="D8" s="16" t="inlineStr">
        <is>
          <t>Vías de acceso e instalaciones temporales</t>
        </is>
      </c>
      <c r="E8" s="16" t="inlineStr">
        <is>
          <t>Vía de acceso principal, patio de acopio y oficinas de obra</t>
        </is>
      </c>
      <c r="F8" s="15" t="inlineStr">
        <is>
          <t>CIV, ELE, ARQ</t>
        </is>
      </c>
      <c r="G8" s="17" t="n">
        <v>70000</v>
      </c>
      <c r="H8" s="18">
        <f>IF(B8="","",IFERROR(G8/SUMIFS($G$6:$G$105,$C$6:$C$105,C8),""))</f>
        <v/>
      </c>
      <c r="I8" s="17" t="n">
        <v>1</v>
      </c>
      <c r="J8" s="15" t="inlineStr">
        <is>
          <t>—</t>
        </is>
      </c>
      <c r="K8" s="17" t="n">
        <v>3</v>
      </c>
      <c r="L8" s="19">
        <f>IF(OR(G8="",K8="",K8=0),"",G8/K8)</f>
        <v/>
      </c>
      <c r="M8" s="20">
        <f>IF(B8="","",IF(L8="","",IF(L8&gt;40000,"Revisar: CWP &gt; 40 000 HH","OK")))</f>
        <v/>
      </c>
      <c r="N8" s="21" t="n">
        <v>46510</v>
      </c>
      <c r="O8" s="21" t="n">
        <v>46720</v>
      </c>
      <c r="P8" s="22">
        <f>IF(OR(N8="",O8=""),"",ROUND((O8-N8)/30.4,1))</f>
        <v/>
      </c>
      <c r="Q8" s="15" t="inlineStr">
        <is>
          <t>Gerente de Construcción</t>
        </is>
      </c>
      <c r="R8" s="15" t="inlineStr">
        <is>
          <t>Cerrado</t>
        </is>
      </c>
      <c r="S8" s="15" t="inlineStr">
        <is>
          <t>Sí</t>
        </is>
      </c>
      <c r="T8" s="16" t="inlineStr"/>
    </row>
    <row r="9">
      <c r="A9" s="14" t="inlineStr">
        <is>
          <t>EJEMPLO</t>
        </is>
      </c>
      <c r="B9" s="15" t="inlineStr">
        <is>
          <t>CWA-2.01</t>
        </is>
      </c>
      <c r="C9" s="15" t="inlineStr">
        <is>
          <t>Fase 2</t>
        </is>
      </c>
      <c r="D9" s="16" t="inlineStr">
        <is>
          <t>Instalación principal – bloque A</t>
        </is>
      </c>
      <c r="E9" s="16" t="inlineStr">
        <is>
          <t>Ejes A1–A12 de la instalación principal</t>
        </is>
      </c>
      <c r="F9" s="15" t="inlineStr">
        <is>
          <t>Todas</t>
        </is>
      </c>
      <c r="G9" s="17" t="n">
        <v>380000</v>
      </c>
      <c r="H9" s="18">
        <f>IF(B9="","",IFERROR(G9/SUMIFS($G$6:$G$105,$C$6:$C$105,C9),""))</f>
        <v/>
      </c>
      <c r="I9" s="17" t="n">
        <v>2</v>
      </c>
      <c r="J9" s="15" t="inlineStr">
        <is>
          <t>CWA-2.03</t>
        </is>
      </c>
      <c r="K9" s="17" t="n">
        <v>14</v>
      </c>
      <c r="L9" s="19">
        <f>IF(OR(G9="",K9="",K9=0),"",G9/K9)</f>
        <v/>
      </c>
      <c r="M9" s="20">
        <f>IF(B9="","",IF(L9="","",IF(L9&gt;40000,"Revisar: CWP &gt; 40 000 HH","OK")))</f>
        <v/>
      </c>
      <c r="N9" s="21" t="n">
        <v>46790</v>
      </c>
      <c r="O9" s="21" t="n">
        <v>47175</v>
      </c>
      <c r="P9" s="22">
        <f>IF(OR(N9="",O9=""),"",ROUND((O9-N9)/30.4,1))</f>
        <v/>
      </c>
      <c r="Q9" s="15" t="inlineStr">
        <is>
          <t>Gerente de Construcción</t>
        </is>
      </c>
      <c r="R9" s="15" t="inlineStr">
        <is>
          <t>En ejecución</t>
        </is>
      </c>
      <c r="S9" s="15" t="inlineStr">
        <is>
          <t>Sí</t>
        </is>
      </c>
      <c r="T9" s="16" t="inlineStr"/>
    </row>
    <row r="10">
      <c r="A10" s="14" t="inlineStr">
        <is>
          <t>EJEMPLO</t>
        </is>
      </c>
      <c r="B10" s="15" t="inlineStr">
        <is>
          <t>CWA-2.02</t>
        </is>
      </c>
      <c r="C10" s="15" t="inlineStr">
        <is>
          <t>Fase 2</t>
        </is>
      </c>
      <c r="D10" s="16" t="inlineStr">
        <is>
          <t>Instalación principal – bloque B</t>
        </is>
      </c>
      <c r="E10" s="16" t="inlineStr">
        <is>
          <t>Ejes B1–B10 de la instalación principal</t>
        </is>
      </c>
      <c r="F10" s="15" t="inlineStr">
        <is>
          <t>Todas</t>
        </is>
      </c>
      <c r="G10" s="17" t="n">
        <v>360000</v>
      </c>
      <c r="H10" s="18">
        <f>IF(B10="","",IFERROR(G10/SUMIFS($G$6:$G$105,$C$6:$C$105,C10),""))</f>
        <v/>
      </c>
      <c r="I10" s="17" t="n">
        <v>3</v>
      </c>
      <c r="J10" s="15" t="inlineStr">
        <is>
          <t>CWA-2.01</t>
        </is>
      </c>
      <c r="K10" s="17" t="n">
        <v>13</v>
      </c>
      <c r="L10" s="19">
        <f>IF(OR(G10="",K10="",K10=0),"",G10/K10)</f>
        <v/>
      </c>
      <c r="M10" s="20">
        <f>IF(B10="","",IF(L10="","",IF(L10&gt;40000,"Revisar: CWP &gt; 40 000 HH","OK")))</f>
        <v/>
      </c>
      <c r="N10" s="21" t="n">
        <v>46874</v>
      </c>
      <c r="O10" s="21" t="n">
        <v>47203</v>
      </c>
      <c r="P10" s="22">
        <f>IF(OR(N10="",O10=""),"",ROUND((O10-N10)/30.4,1))</f>
        <v/>
      </c>
      <c r="Q10" s="15" t="inlineStr">
        <is>
          <t>Gerente de Construcción</t>
        </is>
      </c>
      <c r="R10" s="15" t="inlineStr">
        <is>
          <t>Aprobado</t>
        </is>
      </c>
      <c r="S10" s="15" t="inlineStr">
        <is>
          <t>Sí</t>
        </is>
      </c>
      <c r="T10" s="16" t="inlineStr"/>
    </row>
    <row r="11">
      <c r="A11" s="14" t="inlineStr">
        <is>
          <t>EJEMPLO</t>
        </is>
      </c>
      <c r="B11" s="15" t="inlineStr">
        <is>
          <t>CWA-2.03</t>
        </is>
      </c>
      <c r="C11" s="15" t="inlineStr">
        <is>
          <t>Fase 2</t>
        </is>
      </c>
      <c r="D11" s="16" t="inlineStr">
        <is>
          <t>Sala eléctrica y de servicios</t>
        </is>
      </c>
      <c r="E11" s="16" t="inlineStr">
        <is>
          <t>Edificio de sala eléctrica y cuarto de servicios</t>
        </is>
      </c>
      <c r="F11" s="15" t="inlineStr">
        <is>
          <t>CIV, EST, ELE, INS</t>
        </is>
      </c>
      <c r="G11" s="17" t="n">
        <v>160000</v>
      </c>
      <c r="H11" s="18">
        <f>IF(B11="","",IFERROR(G11/SUMIFS($G$6:$G$105,$C$6:$C$105,C11),""))</f>
        <v/>
      </c>
      <c r="I11" s="17" t="n">
        <v>1</v>
      </c>
      <c r="J11" s="15" t="inlineStr">
        <is>
          <t>CWA-1.02</t>
        </is>
      </c>
      <c r="K11" s="17" t="n">
        <v>8</v>
      </c>
      <c r="L11" s="19">
        <f>IF(OR(G11="",K11="",K11=0),"",G11/K11)</f>
        <v/>
      </c>
      <c r="M11" s="20">
        <f>IF(B11="","",IF(L11="","",IF(L11&gt;40000,"Revisar: CWP &gt; 40 000 HH","OK")))</f>
        <v/>
      </c>
      <c r="N11" s="21" t="n">
        <v>46762</v>
      </c>
      <c r="O11" s="21" t="n">
        <v>47105</v>
      </c>
      <c r="P11" s="22">
        <f>IF(OR(N11="",O11=""),"",ROUND((O11-N11)/30.4,1))</f>
        <v/>
      </c>
      <c r="Q11" s="15" t="inlineStr">
        <is>
          <t>Gerente de Construcción</t>
        </is>
      </c>
      <c r="R11" s="15" t="inlineStr">
        <is>
          <t>En ejecución</t>
        </is>
      </c>
      <c r="S11" s="15" t="inlineStr">
        <is>
          <t>Sí</t>
        </is>
      </c>
      <c r="T11" s="16" t="inlineStr"/>
    </row>
    <row r="12">
      <c r="A12" s="14" t="inlineStr">
        <is>
          <t>EJEMPLO</t>
        </is>
      </c>
      <c r="B12" s="15" t="inlineStr">
        <is>
          <t>CWA-2.04</t>
        </is>
      </c>
      <c r="C12" s="15" t="inlineStr">
        <is>
          <t>Fase 2</t>
        </is>
      </c>
      <c r="D12" s="16" t="inlineStr">
        <is>
          <t>Galería de servicios e interconexiones</t>
        </is>
      </c>
      <c r="E12" s="16" t="inlineStr">
        <is>
          <t>Galería elevada entre bloques y sala eléctrica</t>
        </is>
      </c>
      <c r="F12" s="15" t="inlineStr">
        <is>
          <t>EST, TUB, ELE</t>
        </is>
      </c>
      <c r="G12" s="17" t="n">
        <v>200000</v>
      </c>
      <c r="H12" s="18">
        <f>IF(B12="","",IFERROR(G12/SUMIFS($G$6:$G$105,$C$6:$C$105,C12),""))</f>
        <v/>
      </c>
      <c r="I12" s="17" t="n">
        <v>4</v>
      </c>
      <c r="J12" s="15" t="inlineStr">
        <is>
          <t>CWA-2.01</t>
        </is>
      </c>
      <c r="K12" s="17" t="n">
        <v>10</v>
      </c>
      <c r="L12" s="19">
        <f>IF(OR(G12="",K12="",K12=0),"",G12/K12)</f>
        <v/>
      </c>
      <c r="M12" s="20">
        <f>IF(B12="","",IF(L12="","",IF(L12&gt;40000,"Revisar: CWP &gt; 40 000 HH","OK")))</f>
        <v/>
      </c>
      <c r="N12" s="21" t="n">
        <v>46937</v>
      </c>
      <c r="O12" s="21" t="n">
        <v>47238</v>
      </c>
      <c r="P12" s="22">
        <f>IF(OR(N12="",O12=""),"",ROUND((O12-N12)/30.4,1))</f>
        <v/>
      </c>
      <c r="Q12" s="15" t="inlineStr">
        <is>
          <t>Gerente de Construcción</t>
        </is>
      </c>
      <c r="R12" s="15" t="inlineStr">
        <is>
          <t>Aprobado</t>
        </is>
      </c>
      <c r="S12" s="15" t="inlineStr">
        <is>
          <t>Sí</t>
        </is>
      </c>
      <c r="T12" s="16" t="inlineStr"/>
    </row>
    <row r="13">
      <c r="A13" s="14" t="inlineStr">
        <is>
          <t>EJEMPLO</t>
        </is>
      </c>
      <c r="B13" s="15" t="inlineStr">
        <is>
          <t>CWA-3.01</t>
        </is>
      </c>
      <c r="C13" s="15" t="inlineStr">
        <is>
          <t>Fase 3</t>
        </is>
      </c>
      <c r="D13" s="16" t="inlineStr">
        <is>
          <t>Edificaciones complementarias</t>
        </is>
      </c>
      <c r="E13" s="16" t="inlineStr">
        <is>
          <t>Almacén, oficinas y talleres</t>
        </is>
      </c>
      <c r="F13" s="15" t="inlineStr">
        <is>
          <t>CIV, EST, ARQ, ELE</t>
        </is>
      </c>
      <c r="G13" s="17" t="n">
        <v>180000</v>
      </c>
      <c r="H13" s="18">
        <f>IF(B13="","",IFERROR(G13/SUMIFS($G$6:$G$105,$C$6:$C$105,C13),""))</f>
        <v/>
      </c>
      <c r="I13" s="17" t="n">
        <v>1</v>
      </c>
      <c r="J13" s="15" t="inlineStr">
        <is>
          <t>CWA-1.02</t>
        </is>
      </c>
      <c r="K13" s="17" t="n">
        <v>8</v>
      </c>
      <c r="L13" s="19">
        <f>IF(OR(G13="",K13="",K13=0),"",G13/K13)</f>
        <v/>
      </c>
      <c r="M13" s="20">
        <f>IF(B13="","",IF(L13="","",IF(L13&gt;40000,"Revisar: CWP &gt; 40 000 HH","OK")))</f>
        <v/>
      </c>
      <c r="N13" s="21" t="n">
        <v>47154</v>
      </c>
      <c r="O13" s="21" t="n">
        <v>47420</v>
      </c>
      <c r="P13" s="22">
        <f>IF(OR(N13="",O13=""),"",ROUND((O13-N13)/30.4,1))</f>
        <v/>
      </c>
      <c r="Q13" s="15" t="inlineStr">
        <is>
          <t>Gerente de Construcción</t>
        </is>
      </c>
      <c r="R13" s="15" t="inlineStr">
        <is>
          <t>En desarrollo</t>
        </is>
      </c>
      <c r="S13" s="15" t="inlineStr">
        <is>
          <t>Sí</t>
        </is>
      </c>
      <c r="T13" s="16" t="inlineStr"/>
    </row>
    <row r="14">
      <c r="A14" s="14" t="inlineStr">
        <is>
          <t>EJEMPLO</t>
        </is>
      </c>
      <c r="B14" s="15" t="inlineStr">
        <is>
          <t>CWA-3.02</t>
        </is>
      </c>
      <c r="C14" s="15" t="inlineStr">
        <is>
          <t>Fase 3</t>
        </is>
      </c>
      <c r="D14" s="16" t="inlineStr">
        <is>
          <t>Ampliación de la instalación principal</t>
        </is>
      </c>
      <c r="E14" s="16" t="inlineStr">
        <is>
          <t>Ejes C1–C6, contiguos al bloque B</t>
        </is>
      </c>
      <c r="F14" s="15" t="inlineStr">
        <is>
          <t>Todas</t>
        </is>
      </c>
      <c r="G14" s="17" t="n">
        <v>200000</v>
      </c>
      <c r="H14" s="18">
        <f>IF(B14="","",IFERROR(G14/SUMIFS($G$6:$G$105,$C$6:$C$105,C14),""))</f>
        <v/>
      </c>
      <c r="I14" s="17" t="n">
        <v>2</v>
      </c>
      <c r="J14" s="15" t="inlineStr">
        <is>
          <t>CWA-2.04</t>
        </is>
      </c>
      <c r="K14" s="17" t="n">
        <v>9</v>
      </c>
      <c r="L14" s="19">
        <f>IF(OR(G14="",K14="",K14=0),"",G14/K14)</f>
        <v/>
      </c>
      <c r="M14" s="20">
        <f>IF(B14="","",IF(L14="","",IF(L14&gt;40000,"Revisar: CWP &gt; 40 000 HH","OK")))</f>
        <v/>
      </c>
      <c r="N14" s="21" t="n">
        <v>47154</v>
      </c>
      <c r="O14" s="21" t="n">
        <v>47420</v>
      </c>
      <c r="P14" s="22">
        <f>IF(OR(N14="",O14=""),"",ROUND((O14-N14)/30.4,1))</f>
        <v/>
      </c>
      <c r="Q14" s="15" t="inlineStr">
        <is>
          <t>Gerente de Construcción</t>
        </is>
      </c>
      <c r="R14" s="15" t="inlineStr">
        <is>
          <t>En desarrollo</t>
        </is>
      </c>
      <c r="S14" s="15" t="inlineStr">
        <is>
          <t>Sí</t>
        </is>
      </c>
      <c r="T14" s="16" t="inlineStr"/>
    </row>
    <row r="15">
      <c r="A15" s="14" t="inlineStr">
        <is>
          <t>EJEMPLO</t>
        </is>
      </c>
      <c r="B15" s="15" t="inlineStr">
        <is>
          <t>CWA-3.03</t>
        </is>
      </c>
      <c r="C15" s="15" t="inlineStr">
        <is>
          <t>Fase 3</t>
        </is>
      </c>
      <c r="D15" s="16" t="inlineStr">
        <is>
          <t>Urbanización y obras exteriores</t>
        </is>
      </c>
      <c r="E15" s="16" t="inlineStr">
        <is>
          <t>Pavimentos, veredas, alumbrado y cercos</t>
        </is>
      </c>
      <c r="F15" s="15" t="inlineStr">
        <is>
          <t>CIV, ELE</t>
        </is>
      </c>
      <c r="G15" s="17" t="n">
        <v>70000</v>
      </c>
      <c r="H15" s="18">
        <f>IF(B15="","",IFERROR(G15/SUMIFS($G$6:$G$105,$C$6:$C$105,C15),""))</f>
        <v/>
      </c>
      <c r="I15" s="17" t="n">
        <v>3</v>
      </c>
      <c r="J15" s="15" t="inlineStr">
        <is>
          <t>CWA-3.01</t>
        </is>
      </c>
      <c r="K15" s="17" t="n">
        <v>3</v>
      </c>
      <c r="L15" s="19">
        <f>IF(OR(G15="",K15="",K15=0),"",G15/K15)</f>
        <v/>
      </c>
      <c r="M15" s="20">
        <f>IF(B15="","",IF(L15="","",IF(L15&gt;40000,"Revisar: CWP &gt; 40 000 HH","OK")))</f>
        <v/>
      </c>
      <c r="N15" s="21" t="n">
        <v>47273</v>
      </c>
      <c r="O15" s="21" t="n">
        <v>47448</v>
      </c>
      <c r="P15" s="22">
        <f>IF(OR(N15="",O15=""),"",ROUND((O15-N15)/30.4,1))</f>
        <v/>
      </c>
      <c r="Q15" s="15" t="inlineStr">
        <is>
          <t>Gerente de Construcción</t>
        </is>
      </c>
      <c r="R15" s="15" t="inlineStr">
        <is>
          <t>En desarrollo</t>
        </is>
      </c>
      <c r="S15" s="15" t="inlineStr">
        <is>
          <t>Sí</t>
        </is>
      </c>
      <c r="T15" s="16" t="inlineStr"/>
    </row>
    <row r="16">
      <c r="A16" s="23" t="n"/>
      <c r="B16" s="24" t="n"/>
      <c r="C16" s="24" t="n"/>
      <c r="D16" s="25" t="n"/>
      <c r="E16" s="25" t="n"/>
      <c r="F16" s="24" t="n"/>
      <c r="G16" s="26" t="n"/>
      <c r="H16" s="27">
        <f>IF(B16="","",IFERROR(G16/SUMIFS($G$6:$G$105,$C$6:$C$105,C16),""))</f>
        <v/>
      </c>
      <c r="I16" s="26" t="n"/>
      <c r="J16" s="24" t="n"/>
      <c r="K16" s="26" t="n"/>
      <c r="L16" s="28">
        <f>IF(OR(G16="",K16="",K16=0),"",G16/K16)</f>
        <v/>
      </c>
      <c r="M16" s="29">
        <f>IF(B16="","",IF(L16="","",IF(L16&gt;40000,"Revisar: CWP &gt; 40 000 HH","OK")))</f>
        <v/>
      </c>
      <c r="N16" s="30" t="n"/>
      <c r="O16" s="30" t="n"/>
      <c r="P16" s="31">
        <f>IF(OR(N16="",O16=""),"",ROUND((O16-N16)/30.4,1))</f>
        <v/>
      </c>
      <c r="Q16" s="24" t="n"/>
      <c r="R16" s="24" t="n"/>
      <c r="S16" s="24" t="n"/>
      <c r="T16" s="25" t="n"/>
    </row>
    <row r="17">
      <c r="A17" s="23" t="n"/>
      <c r="B17" s="24" t="n"/>
      <c r="C17" s="24" t="n"/>
      <c r="D17" s="25" t="n"/>
      <c r="E17" s="25" t="n"/>
      <c r="F17" s="24" t="n"/>
      <c r="G17" s="26" t="n"/>
      <c r="H17" s="27">
        <f>IF(B17="","",IFERROR(G17/SUMIFS($G$6:$G$105,$C$6:$C$105,C17),""))</f>
        <v/>
      </c>
      <c r="I17" s="26" t="n"/>
      <c r="J17" s="24" t="n"/>
      <c r="K17" s="26" t="n"/>
      <c r="L17" s="28">
        <f>IF(OR(G17="",K17="",K17=0),"",G17/K17)</f>
        <v/>
      </c>
      <c r="M17" s="29">
        <f>IF(B17="","",IF(L17="","",IF(L17&gt;40000,"Revisar: CWP &gt; 40 000 HH","OK")))</f>
        <v/>
      </c>
      <c r="N17" s="30" t="n"/>
      <c r="O17" s="30" t="n"/>
      <c r="P17" s="31">
        <f>IF(OR(N17="",O17=""),"",ROUND((O17-N17)/30.4,1))</f>
        <v/>
      </c>
      <c r="Q17" s="24" t="n"/>
      <c r="R17" s="24" t="n"/>
      <c r="S17" s="24" t="n"/>
      <c r="T17" s="25" t="n"/>
    </row>
    <row r="18">
      <c r="A18" s="23" t="n"/>
      <c r="B18" s="24" t="n"/>
      <c r="C18" s="24" t="n"/>
      <c r="D18" s="25" t="n"/>
      <c r="E18" s="25" t="n"/>
      <c r="F18" s="24" t="n"/>
      <c r="G18" s="26" t="n"/>
      <c r="H18" s="27">
        <f>IF(B18="","",IFERROR(G18/SUMIFS($G$6:$G$105,$C$6:$C$105,C18),""))</f>
        <v/>
      </c>
      <c r="I18" s="26" t="n"/>
      <c r="J18" s="24" t="n"/>
      <c r="K18" s="26" t="n"/>
      <c r="L18" s="28">
        <f>IF(OR(G18="",K18="",K18=0),"",G18/K18)</f>
        <v/>
      </c>
      <c r="M18" s="29">
        <f>IF(B18="","",IF(L18="","",IF(L18&gt;40000,"Revisar: CWP &gt; 40 000 HH","OK")))</f>
        <v/>
      </c>
      <c r="N18" s="30" t="n"/>
      <c r="O18" s="30" t="n"/>
      <c r="P18" s="31">
        <f>IF(OR(N18="",O18=""),"",ROUND((O18-N18)/30.4,1))</f>
        <v/>
      </c>
      <c r="Q18" s="24" t="n"/>
      <c r="R18" s="24" t="n"/>
      <c r="S18" s="24" t="n"/>
      <c r="T18" s="25" t="n"/>
    </row>
    <row r="19">
      <c r="A19" s="23" t="n"/>
      <c r="B19" s="24" t="n"/>
      <c r="C19" s="24" t="n"/>
      <c r="D19" s="25" t="n"/>
      <c r="E19" s="25" t="n"/>
      <c r="F19" s="24" t="n"/>
      <c r="G19" s="26" t="n"/>
      <c r="H19" s="27">
        <f>IF(B19="","",IFERROR(G19/SUMIFS($G$6:$G$105,$C$6:$C$105,C19),""))</f>
        <v/>
      </c>
      <c r="I19" s="26" t="n"/>
      <c r="J19" s="24" t="n"/>
      <c r="K19" s="26" t="n"/>
      <c r="L19" s="28">
        <f>IF(OR(G19="",K19="",K19=0),"",G19/K19)</f>
        <v/>
      </c>
      <c r="M19" s="29">
        <f>IF(B19="","",IF(L19="","",IF(L19&gt;40000,"Revisar: CWP &gt; 40 000 HH","OK")))</f>
        <v/>
      </c>
      <c r="N19" s="30" t="n"/>
      <c r="O19" s="30" t="n"/>
      <c r="P19" s="31">
        <f>IF(OR(N19="",O19=""),"",ROUND((O19-N19)/30.4,1))</f>
        <v/>
      </c>
      <c r="Q19" s="24" t="n"/>
      <c r="R19" s="24" t="n"/>
      <c r="S19" s="24" t="n"/>
      <c r="T19" s="25" t="n"/>
    </row>
    <row r="20">
      <c r="A20" s="23" t="n"/>
      <c r="B20" s="24" t="n"/>
      <c r="C20" s="24" t="n"/>
      <c r="D20" s="25" t="n"/>
      <c r="E20" s="25" t="n"/>
      <c r="F20" s="24" t="n"/>
      <c r="G20" s="26" t="n"/>
      <c r="H20" s="27">
        <f>IF(B20="","",IFERROR(G20/SUMIFS($G$6:$G$105,$C$6:$C$105,C20),""))</f>
        <v/>
      </c>
      <c r="I20" s="26" t="n"/>
      <c r="J20" s="24" t="n"/>
      <c r="K20" s="26" t="n"/>
      <c r="L20" s="28">
        <f>IF(OR(G20="",K20="",K20=0),"",G20/K20)</f>
        <v/>
      </c>
      <c r="M20" s="29">
        <f>IF(B20="","",IF(L20="","",IF(L20&gt;40000,"Revisar: CWP &gt; 40 000 HH","OK")))</f>
        <v/>
      </c>
      <c r="N20" s="30" t="n"/>
      <c r="O20" s="30" t="n"/>
      <c r="P20" s="31">
        <f>IF(OR(N20="",O20=""),"",ROUND((O20-N20)/30.4,1))</f>
        <v/>
      </c>
      <c r="Q20" s="24" t="n"/>
      <c r="R20" s="24" t="n"/>
      <c r="S20" s="24" t="n"/>
      <c r="T20" s="25" t="n"/>
    </row>
    <row r="21">
      <c r="A21" s="23" t="n"/>
      <c r="B21" s="24" t="n"/>
      <c r="C21" s="24" t="n"/>
      <c r="D21" s="25" t="n"/>
      <c r="E21" s="25" t="n"/>
      <c r="F21" s="24" t="n"/>
      <c r="G21" s="26" t="n"/>
      <c r="H21" s="27">
        <f>IF(B21="","",IFERROR(G21/SUMIFS($G$6:$G$105,$C$6:$C$105,C21),""))</f>
        <v/>
      </c>
      <c r="I21" s="26" t="n"/>
      <c r="J21" s="24" t="n"/>
      <c r="K21" s="26" t="n"/>
      <c r="L21" s="28">
        <f>IF(OR(G21="",K21="",K21=0),"",G21/K21)</f>
        <v/>
      </c>
      <c r="M21" s="29">
        <f>IF(B21="","",IF(L21="","",IF(L21&gt;40000,"Revisar: CWP &gt; 40 000 HH","OK")))</f>
        <v/>
      </c>
      <c r="N21" s="30" t="n"/>
      <c r="O21" s="30" t="n"/>
      <c r="P21" s="31">
        <f>IF(OR(N21="",O21=""),"",ROUND((O21-N21)/30.4,1))</f>
        <v/>
      </c>
      <c r="Q21" s="24" t="n"/>
      <c r="R21" s="24" t="n"/>
      <c r="S21" s="24" t="n"/>
      <c r="T21" s="25" t="n"/>
    </row>
    <row r="22">
      <c r="A22" s="23" t="n"/>
      <c r="B22" s="24" t="n"/>
      <c r="C22" s="24" t="n"/>
      <c r="D22" s="25" t="n"/>
      <c r="E22" s="25" t="n"/>
      <c r="F22" s="24" t="n"/>
      <c r="G22" s="26" t="n"/>
      <c r="H22" s="27">
        <f>IF(B22="","",IFERROR(G22/SUMIFS($G$6:$G$105,$C$6:$C$105,C22),""))</f>
        <v/>
      </c>
      <c r="I22" s="26" t="n"/>
      <c r="J22" s="24" t="n"/>
      <c r="K22" s="26" t="n"/>
      <c r="L22" s="28">
        <f>IF(OR(G22="",K22="",K22=0),"",G22/K22)</f>
        <v/>
      </c>
      <c r="M22" s="29">
        <f>IF(B22="","",IF(L22="","",IF(L22&gt;40000,"Revisar: CWP &gt; 40 000 HH","OK")))</f>
        <v/>
      </c>
      <c r="N22" s="30" t="n"/>
      <c r="O22" s="30" t="n"/>
      <c r="P22" s="31">
        <f>IF(OR(N22="",O22=""),"",ROUND((O22-N22)/30.4,1))</f>
        <v/>
      </c>
      <c r="Q22" s="24" t="n"/>
      <c r="R22" s="24" t="n"/>
      <c r="S22" s="24" t="n"/>
      <c r="T22" s="25" t="n"/>
    </row>
    <row r="23">
      <c r="A23" s="23" t="n"/>
      <c r="B23" s="24" t="n"/>
      <c r="C23" s="24" t="n"/>
      <c r="D23" s="25" t="n"/>
      <c r="E23" s="25" t="n"/>
      <c r="F23" s="24" t="n"/>
      <c r="G23" s="26" t="n"/>
      <c r="H23" s="27">
        <f>IF(B23="","",IFERROR(G23/SUMIFS($G$6:$G$105,$C$6:$C$105,C23),""))</f>
        <v/>
      </c>
      <c r="I23" s="26" t="n"/>
      <c r="J23" s="24" t="n"/>
      <c r="K23" s="26" t="n"/>
      <c r="L23" s="28">
        <f>IF(OR(G23="",K23="",K23=0),"",G23/K23)</f>
        <v/>
      </c>
      <c r="M23" s="29">
        <f>IF(B23="","",IF(L23="","",IF(L23&gt;40000,"Revisar: CWP &gt; 40 000 HH","OK")))</f>
        <v/>
      </c>
      <c r="N23" s="30" t="n"/>
      <c r="O23" s="30" t="n"/>
      <c r="P23" s="31">
        <f>IF(OR(N23="",O23=""),"",ROUND((O23-N23)/30.4,1))</f>
        <v/>
      </c>
      <c r="Q23" s="24" t="n"/>
      <c r="R23" s="24" t="n"/>
      <c r="S23" s="24" t="n"/>
      <c r="T23" s="25" t="n"/>
    </row>
    <row r="24">
      <c r="A24" s="23" t="n"/>
      <c r="B24" s="24" t="n"/>
      <c r="C24" s="24" t="n"/>
      <c r="D24" s="25" t="n"/>
      <c r="E24" s="25" t="n"/>
      <c r="F24" s="24" t="n"/>
      <c r="G24" s="26" t="n"/>
      <c r="H24" s="27">
        <f>IF(B24="","",IFERROR(G24/SUMIFS($G$6:$G$105,$C$6:$C$105,C24),""))</f>
        <v/>
      </c>
      <c r="I24" s="26" t="n"/>
      <c r="J24" s="24" t="n"/>
      <c r="K24" s="26" t="n"/>
      <c r="L24" s="28">
        <f>IF(OR(G24="",K24="",K24=0),"",G24/K24)</f>
        <v/>
      </c>
      <c r="M24" s="29">
        <f>IF(B24="","",IF(L24="","",IF(L24&gt;40000,"Revisar: CWP &gt; 40 000 HH","OK")))</f>
        <v/>
      </c>
      <c r="N24" s="30" t="n"/>
      <c r="O24" s="30" t="n"/>
      <c r="P24" s="31">
        <f>IF(OR(N24="",O24=""),"",ROUND((O24-N24)/30.4,1))</f>
        <v/>
      </c>
      <c r="Q24" s="24" t="n"/>
      <c r="R24" s="24" t="n"/>
      <c r="S24" s="24" t="n"/>
      <c r="T24" s="25" t="n"/>
    </row>
    <row r="25">
      <c r="A25" s="23" t="n"/>
      <c r="B25" s="24" t="n"/>
      <c r="C25" s="24" t="n"/>
      <c r="D25" s="25" t="n"/>
      <c r="E25" s="25" t="n"/>
      <c r="F25" s="24" t="n"/>
      <c r="G25" s="26" t="n"/>
      <c r="H25" s="27">
        <f>IF(B25="","",IFERROR(G25/SUMIFS($G$6:$G$105,$C$6:$C$105,C25),""))</f>
        <v/>
      </c>
      <c r="I25" s="26" t="n"/>
      <c r="J25" s="24" t="n"/>
      <c r="K25" s="26" t="n"/>
      <c r="L25" s="28">
        <f>IF(OR(G25="",K25="",K25=0),"",G25/K25)</f>
        <v/>
      </c>
      <c r="M25" s="29">
        <f>IF(B25="","",IF(L25="","",IF(L25&gt;40000,"Revisar: CWP &gt; 40 000 HH","OK")))</f>
        <v/>
      </c>
      <c r="N25" s="30" t="n"/>
      <c r="O25" s="30" t="n"/>
      <c r="P25" s="31">
        <f>IF(OR(N25="",O25=""),"",ROUND((O25-N25)/30.4,1))</f>
        <v/>
      </c>
      <c r="Q25" s="24" t="n"/>
      <c r="R25" s="24" t="n"/>
      <c r="S25" s="24" t="n"/>
      <c r="T25" s="25" t="n"/>
    </row>
    <row r="26">
      <c r="A26" s="23" t="n"/>
      <c r="B26" s="24" t="n"/>
      <c r="C26" s="24" t="n"/>
      <c r="D26" s="25" t="n"/>
      <c r="E26" s="25" t="n"/>
      <c r="F26" s="24" t="n"/>
      <c r="G26" s="26" t="n"/>
      <c r="H26" s="27">
        <f>IF(B26="","",IFERROR(G26/SUMIFS($G$6:$G$105,$C$6:$C$105,C26),""))</f>
        <v/>
      </c>
      <c r="I26" s="26" t="n"/>
      <c r="J26" s="24" t="n"/>
      <c r="K26" s="26" t="n"/>
      <c r="L26" s="28">
        <f>IF(OR(G26="",K26="",K26=0),"",G26/K26)</f>
        <v/>
      </c>
      <c r="M26" s="29">
        <f>IF(B26="","",IF(L26="","",IF(L26&gt;40000,"Revisar: CWP &gt; 40 000 HH","OK")))</f>
        <v/>
      </c>
      <c r="N26" s="30" t="n"/>
      <c r="O26" s="30" t="n"/>
      <c r="P26" s="31">
        <f>IF(OR(N26="",O26=""),"",ROUND((O26-N26)/30.4,1))</f>
        <v/>
      </c>
      <c r="Q26" s="24" t="n"/>
      <c r="R26" s="24" t="n"/>
      <c r="S26" s="24" t="n"/>
      <c r="T26" s="25" t="n"/>
    </row>
    <row r="27">
      <c r="A27" s="23" t="n"/>
      <c r="B27" s="24" t="n"/>
      <c r="C27" s="24" t="n"/>
      <c r="D27" s="25" t="n"/>
      <c r="E27" s="25" t="n"/>
      <c r="F27" s="24" t="n"/>
      <c r="G27" s="26" t="n"/>
      <c r="H27" s="27">
        <f>IF(B27="","",IFERROR(G27/SUMIFS($G$6:$G$105,$C$6:$C$105,C27),""))</f>
        <v/>
      </c>
      <c r="I27" s="26" t="n"/>
      <c r="J27" s="24" t="n"/>
      <c r="K27" s="26" t="n"/>
      <c r="L27" s="28">
        <f>IF(OR(G27="",K27="",K27=0),"",G27/K27)</f>
        <v/>
      </c>
      <c r="M27" s="29">
        <f>IF(B27="","",IF(L27="","",IF(L27&gt;40000,"Revisar: CWP &gt; 40 000 HH","OK")))</f>
        <v/>
      </c>
      <c r="N27" s="30" t="n"/>
      <c r="O27" s="30" t="n"/>
      <c r="P27" s="31">
        <f>IF(OR(N27="",O27=""),"",ROUND((O27-N27)/30.4,1))</f>
        <v/>
      </c>
      <c r="Q27" s="24" t="n"/>
      <c r="R27" s="24" t="n"/>
      <c r="S27" s="24" t="n"/>
      <c r="T27" s="25" t="n"/>
    </row>
    <row r="28">
      <c r="A28" s="23" t="n"/>
      <c r="B28" s="24" t="n"/>
      <c r="C28" s="24" t="n"/>
      <c r="D28" s="25" t="n"/>
      <c r="E28" s="25" t="n"/>
      <c r="F28" s="24" t="n"/>
      <c r="G28" s="26" t="n"/>
      <c r="H28" s="27">
        <f>IF(B28="","",IFERROR(G28/SUMIFS($G$6:$G$105,$C$6:$C$105,C28),""))</f>
        <v/>
      </c>
      <c r="I28" s="26" t="n"/>
      <c r="J28" s="24" t="n"/>
      <c r="K28" s="26" t="n"/>
      <c r="L28" s="28">
        <f>IF(OR(G28="",K28="",K28=0),"",G28/K28)</f>
        <v/>
      </c>
      <c r="M28" s="29">
        <f>IF(B28="","",IF(L28="","",IF(L28&gt;40000,"Revisar: CWP &gt; 40 000 HH","OK")))</f>
        <v/>
      </c>
      <c r="N28" s="30" t="n"/>
      <c r="O28" s="30" t="n"/>
      <c r="P28" s="31">
        <f>IF(OR(N28="",O28=""),"",ROUND((O28-N28)/30.4,1))</f>
        <v/>
      </c>
      <c r="Q28" s="24" t="n"/>
      <c r="R28" s="24" t="n"/>
      <c r="S28" s="24" t="n"/>
      <c r="T28" s="25" t="n"/>
    </row>
    <row r="29">
      <c r="A29" s="23" t="n"/>
      <c r="B29" s="24" t="n"/>
      <c r="C29" s="24" t="n"/>
      <c r="D29" s="25" t="n"/>
      <c r="E29" s="25" t="n"/>
      <c r="F29" s="24" t="n"/>
      <c r="G29" s="26" t="n"/>
      <c r="H29" s="27">
        <f>IF(B29="","",IFERROR(G29/SUMIFS($G$6:$G$105,$C$6:$C$105,C29),""))</f>
        <v/>
      </c>
      <c r="I29" s="26" t="n"/>
      <c r="J29" s="24" t="n"/>
      <c r="K29" s="26" t="n"/>
      <c r="L29" s="28">
        <f>IF(OR(G29="",K29="",K29=0),"",G29/K29)</f>
        <v/>
      </c>
      <c r="M29" s="29">
        <f>IF(B29="","",IF(L29="","",IF(L29&gt;40000,"Revisar: CWP &gt; 40 000 HH","OK")))</f>
        <v/>
      </c>
      <c r="N29" s="30" t="n"/>
      <c r="O29" s="30" t="n"/>
      <c r="P29" s="31">
        <f>IF(OR(N29="",O29=""),"",ROUND((O29-N29)/30.4,1))</f>
        <v/>
      </c>
      <c r="Q29" s="24" t="n"/>
      <c r="R29" s="24" t="n"/>
      <c r="S29" s="24" t="n"/>
      <c r="T29" s="25" t="n"/>
    </row>
    <row r="30">
      <c r="A30" s="23" t="n"/>
      <c r="B30" s="24" t="n"/>
      <c r="C30" s="24" t="n"/>
      <c r="D30" s="25" t="n"/>
      <c r="E30" s="25" t="n"/>
      <c r="F30" s="24" t="n"/>
      <c r="G30" s="26" t="n"/>
      <c r="H30" s="27">
        <f>IF(B30="","",IFERROR(G30/SUMIFS($G$6:$G$105,$C$6:$C$105,C30),""))</f>
        <v/>
      </c>
      <c r="I30" s="26" t="n"/>
      <c r="J30" s="24" t="n"/>
      <c r="K30" s="26" t="n"/>
      <c r="L30" s="28">
        <f>IF(OR(G30="",K30="",K30=0),"",G30/K30)</f>
        <v/>
      </c>
      <c r="M30" s="29">
        <f>IF(B30="","",IF(L30="","",IF(L30&gt;40000,"Revisar: CWP &gt; 40 000 HH","OK")))</f>
        <v/>
      </c>
      <c r="N30" s="30" t="n"/>
      <c r="O30" s="30" t="n"/>
      <c r="P30" s="31">
        <f>IF(OR(N30="",O30=""),"",ROUND((O30-N30)/30.4,1))</f>
        <v/>
      </c>
      <c r="Q30" s="24" t="n"/>
      <c r="R30" s="24" t="n"/>
      <c r="S30" s="24" t="n"/>
      <c r="T30" s="25" t="n"/>
    </row>
    <row r="31">
      <c r="A31" s="23" t="n"/>
      <c r="B31" s="24" t="n"/>
      <c r="C31" s="24" t="n"/>
      <c r="D31" s="25" t="n"/>
      <c r="E31" s="25" t="n"/>
      <c r="F31" s="24" t="n"/>
      <c r="G31" s="26" t="n"/>
      <c r="H31" s="27">
        <f>IF(B31="","",IFERROR(G31/SUMIFS($G$6:$G$105,$C$6:$C$105,C31),""))</f>
        <v/>
      </c>
      <c r="I31" s="26" t="n"/>
      <c r="J31" s="24" t="n"/>
      <c r="K31" s="26" t="n"/>
      <c r="L31" s="28">
        <f>IF(OR(G31="",K31="",K31=0),"",G31/K31)</f>
        <v/>
      </c>
      <c r="M31" s="29">
        <f>IF(B31="","",IF(L31="","",IF(L31&gt;40000,"Revisar: CWP &gt; 40 000 HH","OK")))</f>
        <v/>
      </c>
      <c r="N31" s="30" t="n"/>
      <c r="O31" s="30" t="n"/>
      <c r="P31" s="31">
        <f>IF(OR(N31="",O31=""),"",ROUND((O31-N31)/30.4,1))</f>
        <v/>
      </c>
      <c r="Q31" s="24" t="n"/>
      <c r="R31" s="24" t="n"/>
      <c r="S31" s="24" t="n"/>
      <c r="T31" s="25" t="n"/>
    </row>
    <row r="32">
      <c r="A32" s="23" t="n"/>
      <c r="B32" s="24" t="n"/>
      <c r="C32" s="24" t="n"/>
      <c r="D32" s="25" t="n"/>
      <c r="E32" s="25" t="n"/>
      <c r="F32" s="24" t="n"/>
      <c r="G32" s="26" t="n"/>
      <c r="H32" s="27">
        <f>IF(B32="","",IFERROR(G32/SUMIFS($G$6:$G$105,$C$6:$C$105,C32),""))</f>
        <v/>
      </c>
      <c r="I32" s="26" t="n"/>
      <c r="J32" s="24" t="n"/>
      <c r="K32" s="26" t="n"/>
      <c r="L32" s="28">
        <f>IF(OR(G32="",K32="",K32=0),"",G32/K32)</f>
        <v/>
      </c>
      <c r="M32" s="29">
        <f>IF(B32="","",IF(L32="","",IF(L32&gt;40000,"Revisar: CWP &gt; 40 000 HH","OK")))</f>
        <v/>
      </c>
      <c r="N32" s="30" t="n"/>
      <c r="O32" s="30" t="n"/>
      <c r="P32" s="31">
        <f>IF(OR(N32="",O32=""),"",ROUND((O32-N32)/30.4,1))</f>
        <v/>
      </c>
      <c r="Q32" s="24" t="n"/>
      <c r="R32" s="24" t="n"/>
      <c r="S32" s="24" t="n"/>
      <c r="T32" s="25" t="n"/>
    </row>
    <row r="33">
      <c r="A33" s="23" t="n"/>
      <c r="B33" s="24" t="n"/>
      <c r="C33" s="24" t="n"/>
      <c r="D33" s="25" t="n"/>
      <c r="E33" s="25" t="n"/>
      <c r="F33" s="24" t="n"/>
      <c r="G33" s="26" t="n"/>
      <c r="H33" s="27">
        <f>IF(B33="","",IFERROR(G33/SUMIFS($G$6:$G$105,$C$6:$C$105,C33),""))</f>
        <v/>
      </c>
      <c r="I33" s="26" t="n"/>
      <c r="J33" s="24" t="n"/>
      <c r="K33" s="26" t="n"/>
      <c r="L33" s="28">
        <f>IF(OR(G33="",K33="",K33=0),"",G33/K33)</f>
        <v/>
      </c>
      <c r="M33" s="29">
        <f>IF(B33="","",IF(L33="","",IF(L33&gt;40000,"Revisar: CWP &gt; 40 000 HH","OK")))</f>
        <v/>
      </c>
      <c r="N33" s="30" t="n"/>
      <c r="O33" s="30" t="n"/>
      <c r="P33" s="31">
        <f>IF(OR(N33="",O33=""),"",ROUND((O33-N33)/30.4,1))</f>
        <v/>
      </c>
      <c r="Q33" s="24" t="n"/>
      <c r="R33" s="24" t="n"/>
      <c r="S33" s="24" t="n"/>
      <c r="T33" s="25" t="n"/>
    </row>
    <row r="34">
      <c r="A34" s="23" t="n"/>
      <c r="B34" s="24" t="n"/>
      <c r="C34" s="24" t="n"/>
      <c r="D34" s="25" t="n"/>
      <c r="E34" s="25" t="n"/>
      <c r="F34" s="24" t="n"/>
      <c r="G34" s="26" t="n"/>
      <c r="H34" s="27">
        <f>IF(B34="","",IFERROR(G34/SUMIFS($G$6:$G$105,$C$6:$C$105,C34),""))</f>
        <v/>
      </c>
      <c r="I34" s="26" t="n"/>
      <c r="J34" s="24" t="n"/>
      <c r="K34" s="26" t="n"/>
      <c r="L34" s="28">
        <f>IF(OR(G34="",K34="",K34=0),"",G34/K34)</f>
        <v/>
      </c>
      <c r="M34" s="29">
        <f>IF(B34="","",IF(L34="","",IF(L34&gt;40000,"Revisar: CWP &gt; 40 000 HH","OK")))</f>
        <v/>
      </c>
      <c r="N34" s="30" t="n"/>
      <c r="O34" s="30" t="n"/>
      <c r="P34" s="31">
        <f>IF(OR(N34="",O34=""),"",ROUND((O34-N34)/30.4,1))</f>
        <v/>
      </c>
      <c r="Q34" s="24" t="n"/>
      <c r="R34" s="24" t="n"/>
      <c r="S34" s="24" t="n"/>
      <c r="T34" s="25" t="n"/>
    </row>
    <row r="35">
      <c r="A35" s="23" t="n"/>
      <c r="B35" s="24" t="n"/>
      <c r="C35" s="24" t="n"/>
      <c r="D35" s="25" t="n"/>
      <c r="E35" s="25" t="n"/>
      <c r="F35" s="24" t="n"/>
      <c r="G35" s="26" t="n"/>
      <c r="H35" s="27">
        <f>IF(B35="","",IFERROR(G35/SUMIFS($G$6:$G$105,$C$6:$C$105,C35),""))</f>
        <v/>
      </c>
      <c r="I35" s="26" t="n"/>
      <c r="J35" s="24" t="n"/>
      <c r="K35" s="26" t="n"/>
      <c r="L35" s="28">
        <f>IF(OR(G35="",K35="",K35=0),"",G35/K35)</f>
        <v/>
      </c>
      <c r="M35" s="29">
        <f>IF(B35="","",IF(L35="","",IF(L35&gt;40000,"Revisar: CWP &gt; 40 000 HH","OK")))</f>
        <v/>
      </c>
      <c r="N35" s="30" t="n"/>
      <c r="O35" s="30" t="n"/>
      <c r="P35" s="31">
        <f>IF(OR(N35="",O35=""),"",ROUND((O35-N35)/30.4,1))</f>
        <v/>
      </c>
      <c r="Q35" s="24" t="n"/>
      <c r="R35" s="24" t="n"/>
      <c r="S35" s="24" t="n"/>
      <c r="T35" s="25" t="n"/>
    </row>
    <row r="36">
      <c r="A36" s="23" t="n"/>
      <c r="B36" s="24" t="n"/>
      <c r="C36" s="24" t="n"/>
      <c r="D36" s="25" t="n"/>
      <c r="E36" s="25" t="n"/>
      <c r="F36" s="24" t="n"/>
      <c r="G36" s="26" t="n"/>
      <c r="H36" s="27">
        <f>IF(B36="","",IFERROR(G36/SUMIFS($G$6:$G$105,$C$6:$C$105,C36),""))</f>
        <v/>
      </c>
      <c r="I36" s="26" t="n"/>
      <c r="J36" s="24" t="n"/>
      <c r="K36" s="26" t="n"/>
      <c r="L36" s="28">
        <f>IF(OR(G36="",K36="",K36=0),"",G36/K36)</f>
        <v/>
      </c>
      <c r="M36" s="29">
        <f>IF(B36="","",IF(L36="","",IF(L36&gt;40000,"Revisar: CWP &gt; 40 000 HH","OK")))</f>
        <v/>
      </c>
      <c r="N36" s="30" t="n"/>
      <c r="O36" s="30" t="n"/>
      <c r="P36" s="31">
        <f>IF(OR(N36="",O36=""),"",ROUND((O36-N36)/30.4,1))</f>
        <v/>
      </c>
      <c r="Q36" s="24" t="n"/>
      <c r="R36" s="24" t="n"/>
      <c r="S36" s="24" t="n"/>
      <c r="T36" s="25" t="n"/>
    </row>
    <row r="37">
      <c r="A37" s="23" t="n"/>
      <c r="B37" s="24" t="n"/>
      <c r="C37" s="24" t="n"/>
      <c r="D37" s="25" t="n"/>
      <c r="E37" s="25" t="n"/>
      <c r="F37" s="24" t="n"/>
      <c r="G37" s="26" t="n"/>
      <c r="H37" s="27">
        <f>IF(B37="","",IFERROR(G37/SUMIFS($G$6:$G$105,$C$6:$C$105,C37),""))</f>
        <v/>
      </c>
      <c r="I37" s="26" t="n"/>
      <c r="J37" s="24" t="n"/>
      <c r="K37" s="26" t="n"/>
      <c r="L37" s="28">
        <f>IF(OR(G37="",K37="",K37=0),"",G37/K37)</f>
        <v/>
      </c>
      <c r="M37" s="29">
        <f>IF(B37="","",IF(L37="","",IF(L37&gt;40000,"Revisar: CWP &gt; 40 000 HH","OK")))</f>
        <v/>
      </c>
      <c r="N37" s="30" t="n"/>
      <c r="O37" s="30" t="n"/>
      <c r="P37" s="31">
        <f>IF(OR(N37="",O37=""),"",ROUND((O37-N37)/30.4,1))</f>
        <v/>
      </c>
      <c r="Q37" s="24" t="n"/>
      <c r="R37" s="24" t="n"/>
      <c r="S37" s="24" t="n"/>
      <c r="T37" s="25" t="n"/>
    </row>
    <row r="38">
      <c r="A38" s="23" t="n"/>
      <c r="B38" s="24" t="n"/>
      <c r="C38" s="24" t="n"/>
      <c r="D38" s="25" t="n"/>
      <c r="E38" s="25" t="n"/>
      <c r="F38" s="24" t="n"/>
      <c r="G38" s="26" t="n"/>
      <c r="H38" s="27">
        <f>IF(B38="","",IFERROR(G38/SUMIFS($G$6:$G$105,$C$6:$C$105,C38),""))</f>
        <v/>
      </c>
      <c r="I38" s="26" t="n"/>
      <c r="J38" s="24" t="n"/>
      <c r="K38" s="26" t="n"/>
      <c r="L38" s="28">
        <f>IF(OR(G38="",K38="",K38=0),"",G38/K38)</f>
        <v/>
      </c>
      <c r="M38" s="29">
        <f>IF(B38="","",IF(L38="","",IF(L38&gt;40000,"Revisar: CWP &gt; 40 000 HH","OK")))</f>
        <v/>
      </c>
      <c r="N38" s="30" t="n"/>
      <c r="O38" s="30" t="n"/>
      <c r="P38" s="31">
        <f>IF(OR(N38="",O38=""),"",ROUND((O38-N38)/30.4,1))</f>
        <v/>
      </c>
      <c r="Q38" s="24" t="n"/>
      <c r="R38" s="24" t="n"/>
      <c r="S38" s="24" t="n"/>
      <c r="T38" s="25" t="n"/>
    </row>
    <row r="39">
      <c r="A39" s="23" t="n"/>
      <c r="B39" s="24" t="n"/>
      <c r="C39" s="24" t="n"/>
      <c r="D39" s="25" t="n"/>
      <c r="E39" s="25" t="n"/>
      <c r="F39" s="24" t="n"/>
      <c r="G39" s="26" t="n"/>
      <c r="H39" s="27">
        <f>IF(B39="","",IFERROR(G39/SUMIFS($G$6:$G$105,$C$6:$C$105,C39),""))</f>
        <v/>
      </c>
      <c r="I39" s="26" t="n"/>
      <c r="J39" s="24" t="n"/>
      <c r="K39" s="26" t="n"/>
      <c r="L39" s="28">
        <f>IF(OR(G39="",K39="",K39=0),"",G39/K39)</f>
        <v/>
      </c>
      <c r="M39" s="29">
        <f>IF(B39="","",IF(L39="","",IF(L39&gt;40000,"Revisar: CWP &gt; 40 000 HH","OK")))</f>
        <v/>
      </c>
      <c r="N39" s="30" t="n"/>
      <c r="O39" s="30" t="n"/>
      <c r="P39" s="31">
        <f>IF(OR(N39="",O39=""),"",ROUND((O39-N39)/30.4,1))</f>
        <v/>
      </c>
      <c r="Q39" s="24" t="n"/>
      <c r="R39" s="24" t="n"/>
      <c r="S39" s="24" t="n"/>
      <c r="T39" s="25" t="n"/>
    </row>
    <row r="40">
      <c r="A40" s="23" t="n"/>
      <c r="B40" s="24" t="n"/>
      <c r="C40" s="24" t="n"/>
      <c r="D40" s="25" t="n"/>
      <c r="E40" s="25" t="n"/>
      <c r="F40" s="24" t="n"/>
      <c r="G40" s="26" t="n"/>
      <c r="H40" s="27">
        <f>IF(B40="","",IFERROR(G40/SUMIFS($G$6:$G$105,$C$6:$C$105,C40),""))</f>
        <v/>
      </c>
      <c r="I40" s="26" t="n"/>
      <c r="J40" s="24" t="n"/>
      <c r="K40" s="26" t="n"/>
      <c r="L40" s="28">
        <f>IF(OR(G40="",K40="",K40=0),"",G40/K40)</f>
        <v/>
      </c>
      <c r="M40" s="29">
        <f>IF(B40="","",IF(L40="","",IF(L40&gt;40000,"Revisar: CWP &gt; 40 000 HH","OK")))</f>
        <v/>
      </c>
      <c r="N40" s="30" t="n"/>
      <c r="O40" s="30" t="n"/>
      <c r="P40" s="31">
        <f>IF(OR(N40="",O40=""),"",ROUND((O40-N40)/30.4,1))</f>
        <v/>
      </c>
      <c r="Q40" s="24" t="n"/>
      <c r="R40" s="24" t="n"/>
      <c r="S40" s="24" t="n"/>
      <c r="T40" s="25" t="n"/>
    </row>
    <row r="41">
      <c r="A41" s="23" t="n"/>
      <c r="B41" s="24" t="n"/>
      <c r="C41" s="24" t="n"/>
      <c r="D41" s="25" t="n"/>
      <c r="E41" s="25" t="n"/>
      <c r="F41" s="24" t="n"/>
      <c r="G41" s="26" t="n"/>
      <c r="H41" s="27">
        <f>IF(B41="","",IFERROR(G41/SUMIFS($G$6:$G$105,$C$6:$C$105,C41),""))</f>
        <v/>
      </c>
      <c r="I41" s="26" t="n"/>
      <c r="J41" s="24" t="n"/>
      <c r="K41" s="26" t="n"/>
      <c r="L41" s="28">
        <f>IF(OR(G41="",K41="",K41=0),"",G41/K41)</f>
        <v/>
      </c>
      <c r="M41" s="29">
        <f>IF(B41="","",IF(L41="","",IF(L41&gt;40000,"Revisar: CWP &gt; 40 000 HH","OK")))</f>
        <v/>
      </c>
      <c r="N41" s="30" t="n"/>
      <c r="O41" s="30" t="n"/>
      <c r="P41" s="31">
        <f>IF(OR(N41="",O41=""),"",ROUND((O41-N41)/30.4,1))</f>
        <v/>
      </c>
      <c r="Q41" s="24" t="n"/>
      <c r="R41" s="24" t="n"/>
      <c r="S41" s="24" t="n"/>
      <c r="T41" s="25" t="n"/>
    </row>
    <row r="42">
      <c r="A42" s="23" t="n"/>
      <c r="B42" s="24" t="n"/>
      <c r="C42" s="24" t="n"/>
      <c r="D42" s="25" t="n"/>
      <c r="E42" s="25" t="n"/>
      <c r="F42" s="24" t="n"/>
      <c r="G42" s="26" t="n"/>
      <c r="H42" s="27">
        <f>IF(B42="","",IFERROR(G42/SUMIFS($G$6:$G$105,$C$6:$C$105,C42),""))</f>
        <v/>
      </c>
      <c r="I42" s="26" t="n"/>
      <c r="J42" s="24" t="n"/>
      <c r="K42" s="26" t="n"/>
      <c r="L42" s="28">
        <f>IF(OR(G42="",K42="",K42=0),"",G42/K42)</f>
        <v/>
      </c>
      <c r="M42" s="29">
        <f>IF(B42="","",IF(L42="","",IF(L42&gt;40000,"Revisar: CWP &gt; 40 000 HH","OK")))</f>
        <v/>
      </c>
      <c r="N42" s="30" t="n"/>
      <c r="O42" s="30" t="n"/>
      <c r="P42" s="31">
        <f>IF(OR(N42="",O42=""),"",ROUND((O42-N42)/30.4,1))</f>
        <v/>
      </c>
      <c r="Q42" s="24" t="n"/>
      <c r="R42" s="24" t="n"/>
      <c r="S42" s="24" t="n"/>
      <c r="T42" s="25" t="n"/>
    </row>
    <row r="43">
      <c r="A43" s="23" t="n"/>
      <c r="B43" s="24" t="n"/>
      <c r="C43" s="24" t="n"/>
      <c r="D43" s="25" t="n"/>
      <c r="E43" s="25" t="n"/>
      <c r="F43" s="24" t="n"/>
      <c r="G43" s="26" t="n"/>
      <c r="H43" s="27">
        <f>IF(B43="","",IFERROR(G43/SUMIFS($G$6:$G$105,$C$6:$C$105,C43),""))</f>
        <v/>
      </c>
      <c r="I43" s="26" t="n"/>
      <c r="J43" s="24" t="n"/>
      <c r="K43" s="26" t="n"/>
      <c r="L43" s="28">
        <f>IF(OR(G43="",K43="",K43=0),"",G43/K43)</f>
        <v/>
      </c>
      <c r="M43" s="29">
        <f>IF(B43="","",IF(L43="","",IF(L43&gt;40000,"Revisar: CWP &gt; 40 000 HH","OK")))</f>
        <v/>
      </c>
      <c r="N43" s="30" t="n"/>
      <c r="O43" s="30" t="n"/>
      <c r="P43" s="31">
        <f>IF(OR(N43="",O43=""),"",ROUND((O43-N43)/30.4,1))</f>
        <v/>
      </c>
      <c r="Q43" s="24" t="n"/>
      <c r="R43" s="24" t="n"/>
      <c r="S43" s="24" t="n"/>
      <c r="T43" s="25" t="n"/>
    </row>
    <row r="44">
      <c r="A44" s="23" t="n"/>
      <c r="B44" s="24" t="n"/>
      <c r="C44" s="24" t="n"/>
      <c r="D44" s="25" t="n"/>
      <c r="E44" s="25" t="n"/>
      <c r="F44" s="24" t="n"/>
      <c r="G44" s="26" t="n"/>
      <c r="H44" s="27">
        <f>IF(B44="","",IFERROR(G44/SUMIFS($G$6:$G$105,$C$6:$C$105,C44),""))</f>
        <v/>
      </c>
      <c r="I44" s="26" t="n"/>
      <c r="J44" s="24" t="n"/>
      <c r="K44" s="26" t="n"/>
      <c r="L44" s="28">
        <f>IF(OR(G44="",K44="",K44=0),"",G44/K44)</f>
        <v/>
      </c>
      <c r="M44" s="29">
        <f>IF(B44="","",IF(L44="","",IF(L44&gt;40000,"Revisar: CWP &gt; 40 000 HH","OK")))</f>
        <v/>
      </c>
      <c r="N44" s="30" t="n"/>
      <c r="O44" s="30" t="n"/>
      <c r="P44" s="31">
        <f>IF(OR(N44="",O44=""),"",ROUND((O44-N44)/30.4,1))</f>
        <v/>
      </c>
      <c r="Q44" s="24" t="n"/>
      <c r="R44" s="24" t="n"/>
      <c r="S44" s="24" t="n"/>
      <c r="T44" s="25" t="n"/>
    </row>
    <row r="45">
      <c r="A45" s="23" t="n"/>
      <c r="B45" s="24" t="n"/>
      <c r="C45" s="24" t="n"/>
      <c r="D45" s="25" t="n"/>
      <c r="E45" s="25" t="n"/>
      <c r="F45" s="24" t="n"/>
      <c r="G45" s="26" t="n"/>
      <c r="H45" s="27">
        <f>IF(B45="","",IFERROR(G45/SUMIFS($G$6:$G$105,$C$6:$C$105,C45),""))</f>
        <v/>
      </c>
      <c r="I45" s="26" t="n"/>
      <c r="J45" s="24" t="n"/>
      <c r="K45" s="26" t="n"/>
      <c r="L45" s="28">
        <f>IF(OR(G45="",K45="",K45=0),"",G45/K45)</f>
        <v/>
      </c>
      <c r="M45" s="29">
        <f>IF(B45="","",IF(L45="","",IF(L45&gt;40000,"Revisar: CWP &gt; 40 000 HH","OK")))</f>
        <v/>
      </c>
      <c r="N45" s="30" t="n"/>
      <c r="O45" s="30" t="n"/>
      <c r="P45" s="31">
        <f>IF(OR(N45="",O45=""),"",ROUND((O45-N45)/30.4,1))</f>
        <v/>
      </c>
      <c r="Q45" s="24" t="n"/>
      <c r="R45" s="24" t="n"/>
      <c r="S45" s="24" t="n"/>
      <c r="T45" s="25" t="n"/>
    </row>
    <row r="46">
      <c r="A46" s="23" t="n"/>
      <c r="B46" s="24" t="n"/>
      <c r="C46" s="24" t="n"/>
      <c r="D46" s="25" t="n"/>
      <c r="E46" s="25" t="n"/>
      <c r="F46" s="24" t="n"/>
      <c r="G46" s="26" t="n"/>
      <c r="H46" s="27">
        <f>IF(B46="","",IFERROR(G46/SUMIFS($G$6:$G$105,$C$6:$C$105,C46),""))</f>
        <v/>
      </c>
      <c r="I46" s="26" t="n"/>
      <c r="J46" s="24" t="n"/>
      <c r="K46" s="26" t="n"/>
      <c r="L46" s="28">
        <f>IF(OR(G46="",K46="",K46=0),"",G46/K46)</f>
        <v/>
      </c>
      <c r="M46" s="29">
        <f>IF(B46="","",IF(L46="","",IF(L46&gt;40000,"Revisar: CWP &gt; 40 000 HH","OK")))</f>
        <v/>
      </c>
      <c r="N46" s="30" t="n"/>
      <c r="O46" s="30" t="n"/>
      <c r="P46" s="31">
        <f>IF(OR(N46="",O46=""),"",ROUND((O46-N46)/30.4,1))</f>
        <v/>
      </c>
      <c r="Q46" s="24" t="n"/>
      <c r="R46" s="24" t="n"/>
      <c r="S46" s="24" t="n"/>
      <c r="T46" s="25" t="n"/>
    </row>
    <row r="47">
      <c r="A47" s="23" t="n"/>
      <c r="B47" s="24" t="n"/>
      <c r="C47" s="24" t="n"/>
      <c r="D47" s="25" t="n"/>
      <c r="E47" s="25" t="n"/>
      <c r="F47" s="24" t="n"/>
      <c r="G47" s="26" t="n"/>
      <c r="H47" s="27">
        <f>IF(B47="","",IFERROR(G47/SUMIFS($G$6:$G$105,$C$6:$C$105,C47),""))</f>
        <v/>
      </c>
      <c r="I47" s="26" t="n"/>
      <c r="J47" s="24" t="n"/>
      <c r="K47" s="26" t="n"/>
      <c r="L47" s="28">
        <f>IF(OR(G47="",K47="",K47=0),"",G47/K47)</f>
        <v/>
      </c>
      <c r="M47" s="29">
        <f>IF(B47="","",IF(L47="","",IF(L47&gt;40000,"Revisar: CWP &gt; 40 000 HH","OK")))</f>
        <v/>
      </c>
      <c r="N47" s="30" t="n"/>
      <c r="O47" s="30" t="n"/>
      <c r="P47" s="31">
        <f>IF(OR(N47="",O47=""),"",ROUND((O47-N47)/30.4,1))</f>
        <v/>
      </c>
      <c r="Q47" s="24" t="n"/>
      <c r="R47" s="24" t="n"/>
      <c r="S47" s="24" t="n"/>
      <c r="T47" s="25" t="n"/>
    </row>
    <row r="48">
      <c r="A48" s="23" t="n"/>
      <c r="B48" s="24" t="n"/>
      <c r="C48" s="24" t="n"/>
      <c r="D48" s="25" t="n"/>
      <c r="E48" s="25" t="n"/>
      <c r="F48" s="24" t="n"/>
      <c r="G48" s="26" t="n"/>
      <c r="H48" s="27">
        <f>IF(B48="","",IFERROR(G48/SUMIFS($G$6:$G$105,$C$6:$C$105,C48),""))</f>
        <v/>
      </c>
      <c r="I48" s="26" t="n"/>
      <c r="J48" s="24" t="n"/>
      <c r="K48" s="26" t="n"/>
      <c r="L48" s="28">
        <f>IF(OR(G48="",K48="",K48=0),"",G48/K48)</f>
        <v/>
      </c>
      <c r="M48" s="29">
        <f>IF(B48="","",IF(L48="","",IF(L48&gt;40000,"Revisar: CWP &gt; 40 000 HH","OK")))</f>
        <v/>
      </c>
      <c r="N48" s="30" t="n"/>
      <c r="O48" s="30" t="n"/>
      <c r="P48" s="31">
        <f>IF(OR(N48="",O48=""),"",ROUND((O48-N48)/30.4,1))</f>
        <v/>
      </c>
      <c r="Q48" s="24" t="n"/>
      <c r="R48" s="24" t="n"/>
      <c r="S48" s="24" t="n"/>
      <c r="T48" s="25" t="n"/>
    </row>
    <row r="49">
      <c r="A49" s="23" t="n"/>
      <c r="B49" s="24" t="n"/>
      <c r="C49" s="24" t="n"/>
      <c r="D49" s="25" t="n"/>
      <c r="E49" s="25" t="n"/>
      <c r="F49" s="24" t="n"/>
      <c r="G49" s="26" t="n"/>
      <c r="H49" s="27">
        <f>IF(B49="","",IFERROR(G49/SUMIFS($G$6:$G$105,$C$6:$C$105,C49),""))</f>
        <v/>
      </c>
      <c r="I49" s="26" t="n"/>
      <c r="J49" s="24" t="n"/>
      <c r="K49" s="26" t="n"/>
      <c r="L49" s="28">
        <f>IF(OR(G49="",K49="",K49=0),"",G49/K49)</f>
        <v/>
      </c>
      <c r="M49" s="29">
        <f>IF(B49="","",IF(L49="","",IF(L49&gt;40000,"Revisar: CWP &gt; 40 000 HH","OK")))</f>
        <v/>
      </c>
      <c r="N49" s="30" t="n"/>
      <c r="O49" s="30" t="n"/>
      <c r="P49" s="31">
        <f>IF(OR(N49="",O49=""),"",ROUND((O49-N49)/30.4,1))</f>
        <v/>
      </c>
      <c r="Q49" s="24" t="n"/>
      <c r="R49" s="24" t="n"/>
      <c r="S49" s="24" t="n"/>
      <c r="T49" s="25" t="n"/>
    </row>
    <row r="50">
      <c r="A50" s="23" t="n"/>
      <c r="B50" s="24" t="n"/>
      <c r="C50" s="24" t="n"/>
      <c r="D50" s="25" t="n"/>
      <c r="E50" s="25" t="n"/>
      <c r="F50" s="24" t="n"/>
      <c r="G50" s="26" t="n"/>
      <c r="H50" s="27">
        <f>IF(B50="","",IFERROR(G50/SUMIFS($G$6:$G$105,$C$6:$C$105,C50),""))</f>
        <v/>
      </c>
      <c r="I50" s="26" t="n"/>
      <c r="J50" s="24" t="n"/>
      <c r="K50" s="26" t="n"/>
      <c r="L50" s="28">
        <f>IF(OR(G50="",K50="",K50=0),"",G50/K50)</f>
        <v/>
      </c>
      <c r="M50" s="29">
        <f>IF(B50="","",IF(L50="","",IF(L50&gt;40000,"Revisar: CWP &gt; 40 000 HH","OK")))</f>
        <v/>
      </c>
      <c r="N50" s="30" t="n"/>
      <c r="O50" s="30" t="n"/>
      <c r="P50" s="31">
        <f>IF(OR(N50="",O50=""),"",ROUND((O50-N50)/30.4,1))</f>
        <v/>
      </c>
      <c r="Q50" s="24" t="n"/>
      <c r="R50" s="24" t="n"/>
      <c r="S50" s="24" t="n"/>
      <c r="T50" s="25" t="n"/>
    </row>
    <row r="51">
      <c r="A51" s="23" t="n"/>
      <c r="B51" s="24" t="n"/>
      <c r="C51" s="24" t="n"/>
      <c r="D51" s="25" t="n"/>
      <c r="E51" s="25" t="n"/>
      <c r="F51" s="24" t="n"/>
      <c r="G51" s="26" t="n"/>
      <c r="H51" s="27">
        <f>IF(B51="","",IFERROR(G51/SUMIFS($G$6:$G$105,$C$6:$C$105,C51),""))</f>
        <v/>
      </c>
      <c r="I51" s="26" t="n"/>
      <c r="J51" s="24" t="n"/>
      <c r="K51" s="26" t="n"/>
      <c r="L51" s="28">
        <f>IF(OR(G51="",K51="",K51=0),"",G51/K51)</f>
        <v/>
      </c>
      <c r="M51" s="29">
        <f>IF(B51="","",IF(L51="","",IF(L51&gt;40000,"Revisar: CWP &gt; 40 000 HH","OK")))</f>
        <v/>
      </c>
      <c r="N51" s="30" t="n"/>
      <c r="O51" s="30" t="n"/>
      <c r="P51" s="31">
        <f>IF(OR(N51="",O51=""),"",ROUND((O51-N51)/30.4,1))</f>
        <v/>
      </c>
      <c r="Q51" s="24" t="n"/>
      <c r="R51" s="24" t="n"/>
      <c r="S51" s="24" t="n"/>
      <c r="T51" s="25" t="n"/>
    </row>
    <row r="52">
      <c r="A52" s="23" t="n"/>
      <c r="B52" s="24" t="n"/>
      <c r="C52" s="24" t="n"/>
      <c r="D52" s="25" t="n"/>
      <c r="E52" s="25" t="n"/>
      <c r="F52" s="24" t="n"/>
      <c r="G52" s="26" t="n"/>
      <c r="H52" s="27">
        <f>IF(B52="","",IFERROR(G52/SUMIFS($G$6:$G$105,$C$6:$C$105,C52),""))</f>
        <v/>
      </c>
      <c r="I52" s="26" t="n"/>
      <c r="J52" s="24" t="n"/>
      <c r="K52" s="26" t="n"/>
      <c r="L52" s="28">
        <f>IF(OR(G52="",K52="",K52=0),"",G52/K52)</f>
        <v/>
      </c>
      <c r="M52" s="29">
        <f>IF(B52="","",IF(L52="","",IF(L52&gt;40000,"Revisar: CWP &gt; 40 000 HH","OK")))</f>
        <v/>
      </c>
      <c r="N52" s="30" t="n"/>
      <c r="O52" s="30" t="n"/>
      <c r="P52" s="31">
        <f>IF(OR(N52="",O52=""),"",ROUND((O52-N52)/30.4,1))</f>
        <v/>
      </c>
      <c r="Q52" s="24" t="n"/>
      <c r="R52" s="24" t="n"/>
      <c r="S52" s="24" t="n"/>
      <c r="T52" s="25" t="n"/>
    </row>
    <row r="53">
      <c r="A53" s="23" t="n"/>
      <c r="B53" s="24" t="n"/>
      <c r="C53" s="24" t="n"/>
      <c r="D53" s="25" t="n"/>
      <c r="E53" s="25" t="n"/>
      <c r="F53" s="24" t="n"/>
      <c r="G53" s="26" t="n"/>
      <c r="H53" s="27">
        <f>IF(B53="","",IFERROR(G53/SUMIFS($G$6:$G$105,$C$6:$C$105,C53),""))</f>
        <v/>
      </c>
      <c r="I53" s="26" t="n"/>
      <c r="J53" s="24" t="n"/>
      <c r="K53" s="26" t="n"/>
      <c r="L53" s="28">
        <f>IF(OR(G53="",K53="",K53=0),"",G53/K53)</f>
        <v/>
      </c>
      <c r="M53" s="29">
        <f>IF(B53="","",IF(L53="","",IF(L53&gt;40000,"Revisar: CWP &gt; 40 000 HH","OK")))</f>
        <v/>
      </c>
      <c r="N53" s="30" t="n"/>
      <c r="O53" s="30" t="n"/>
      <c r="P53" s="31">
        <f>IF(OR(N53="",O53=""),"",ROUND((O53-N53)/30.4,1))</f>
        <v/>
      </c>
      <c r="Q53" s="24" t="n"/>
      <c r="R53" s="24" t="n"/>
      <c r="S53" s="24" t="n"/>
      <c r="T53" s="25" t="n"/>
    </row>
    <row r="54">
      <c r="A54" s="23" t="n"/>
      <c r="B54" s="24" t="n"/>
      <c r="C54" s="24" t="n"/>
      <c r="D54" s="25" t="n"/>
      <c r="E54" s="25" t="n"/>
      <c r="F54" s="24" t="n"/>
      <c r="G54" s="26" t="n"/>
      <c r="H54" s="27">
        <f>IF(B54="","",IFERROR(G54/SUMIFS($G$6:$G$105,$C$6:$C$105,C54),""))</f>
        <v/>
      </c>
      <c r="I54" s="26" t="n"/>
      <c r="J54" s="24" t="n"/>
      <c r="K54" s="26" t="n"/>
      <c r="L54" s="28">
        <f>IF(OR(G54="",K54="",K54=0),"",G54/K54)</f>
        <v/>
      </c>
      <c r="M54" s="29">
        <f>IF(B54="","",IF(L54="","",IF(L54&gt;40000,"Revisar: CWP &gt; 40 000 HH","OK")))</f>
        <v/>
      </c>
      <c r="N54" s="30" t="n"/>
      <c r="O54" s="30" t="n"/>
      <c r="P54" s="31">
        <f>IF(OR(N54="",O54=""),"",ROUND((O54-N54)/30.4,1))</f>
        <v/>
      </c>
      <c r="Q54" s="24" t="n"/>
      <c r="R54" s="24" t="n"/>
      <c r="S54" s="24" t="n"/>
      <c r="T54" s="25" t="n"/>
    </row>
    <row r="55">
      <c r="A55" s="23" t="n"/>
      <c r="B55" s="24" t="n"/>
      <c r="C55" s="24" t="n"/>
      <c r="D55" s="25" t="n"/>
      <c r="E55" s="25" t="n"/>
      <c r="F55" s="24" t="n"/>
      <c r="G55" s="26" t="n"/>
      <c r="H55" s="27">
        <f>IF(B55="","",IFERROR(G55/SUMIFS($G$6:$G$105,$C$6:$C$105,C55),""))</f>
        <v/>
      </c>
      <c r="I55" s="26" t="n"/>
      <c r="J55" s="24" t="n"/>
      <c r="K55" s="26" t="n"/>
      <c r="L55" s="28">
        <f>IF(OR(G55="",K55="",K55=0),"",G55/K55)</f>
        <v/>
      </c>
      <c r="M55" s="29">
        <f>IF(B55="","",IF(L55="","",IF(L55&gt;40000,"Revisar: CWP &gt; 40 000 HH","OK")))</f>
        <v/>
      </c>
      <c r="N55" s="30" t="n"/>
      <c r="O55" s="30" t="n"/>
      <c r="P55" s="31">
        <f>IF(OR(N55="",O55=""),"",ROUND((O55-N55)/30.4,1))</f>
        <v/>
      </c>
      <c r="Q55" s="24" t="n"/>
      <c r="R55" s="24" t="n"/>
      <c r="S55" s="24" t="n"/>
      <c r="T55" s="25" t="n"/>
    </row>
    <row r="56">
      <c r="A56" s="23" t="n"/>
      <c r="B56" s="24" t="n"/>
      <c r="C56" s="24" t="n"/>
      <c r="D56" s="25" t="n"/>
      <c r="E56" s="25" t="n"/>
      <c r="F56" s="24" t="n"/>
      <c r="G56" s="26" t="n"/>
      <c r="H56" s="27">
        <f>IF(B56="","",IFERROR(G56/SUMIFS($G$6:$G$105,$C$6:$C$105,C56),""))</f>
        <v/>
      </c>
      <c r="I56" s="26" t="n"/>
      <c r="J56" s="24" t="n"/>
      <c r="K56" s="26" t="n"/>
      <c r="L56" s="28">
        <f>IF(OR(G56="",K56="",K56=0),"",G56/K56)</f>
        <v/>
      </c>
      <c r="M56" s="29">
        <f>IF(B56="","",IF(L56="","",IF(L56&gt;40000,"Revisar: CWP &gt; 40 000 HH","OK")))</f>
        <v/>
      </c>
      <c r="N56" s="30" t="n"/>
      <c r="O56" s="30" t="n"/>
      <c r="P56" s="31">
        <f>IF(OR(N56="",O56=""),"",ROUND((O56-N56)/30.4,1))</f>
        <v/>
      </c>
      <c r="Q56" s="24" t="n"/>
      <c r="R56" s="24" t="n"/>
      <c r="S56" s="24" t="n"/>
      <c r="T56" s="25" t="n"/>
    </row>
    <row r="57">
      <c r="A57" s="23" t="n"/>
      <c r="B57" s="24" t="n"/>
      <c r="C57" s="24" t="n"/>
      <c r="D57" s="25" t="n"/>
      <c r="E57" s="25" t="n"/>
      <c r="F57" s="24" t="n"/>
      <c r="G57" s="26" t="n"/>
      <c r="H57" s="27">
        <f>IF(B57="","",IFERROR(G57/SUMIFS($G$6:$G$105,$C$6:$C$105,C57),""))</f>
        <v/>
      </c>
      <c r="I57" s="26" t="n"/>
      <c r="J57" s="24" t="n"/>
      <c r="K57" s="26" t="n"/>
      <c r="L57" s="28">
        <f>IF(OR(G57="",K57="",K57=0),"",G57/K57)</f>
        <v/>
      </c>
      <c r="M57" s="29">
        <f>IF(B57="","",IF(L57="","",IF(L57&gt;40000,"Revisar: CWP &gt; 40 000 HH","OK")))</f>
        <v/>
      </c>
      <c r="N57" s="30" t="n"/>
      <c r="O57" s="30" t="n"/>
      <c r="P57" s="31">
        <f>IF(OR(N57="",O57=""),"",ROUND((O57-N57)/30.4,1))</f>
        <v/>
      </c>
      <c r="Q57" s="24" t="n"/>
      <c r="R57" s="24" t="n"/>
      <c r="S57" s="24" t="n"/>
      <c r="T57" s="25" t="n"/>
    </row>
    <row r="58">
      <c r="A58" s="23" t="n"/>
      <c r="B58" s="24" t="n"/>
      <c r="C58" s="24" t="n"/>
      <c r="D58" s="25" t="n"/>
      <c r="E58" s="25" t="n"/>
      <c r="F58" s="24" t="n"/>
      <c r="G58" s="26" t="n"/>
      <c r="H58" s="27">
        <f>IF(B58="","",IFERROR(G58/SUMIFS($G$6:$G$105,$C$6:$C$105,C58),""))</f>
        <v/>
      </c>
      <c r="I58" s="26" t="n"/>
      <c r="J58" s="24" t="n"/>
      <c r="K58" s="26" t="n"/>
      <c r="L58" s="28">
        <f>IF(OR(G58="",K58="",K58=0),"",G58/K58)</f>
        <v/>
      </c>
      <c r="M58" s="29">
        <f>IF(B58="","",IF(L58="","",IF(L58&gt;40000,"Revisar: CWP &gt; 40 000 HH","OK")))</f>
        <v/>
      </c>
      <c r="N58" s="30" t="n"/>
      <c r="O58" s="30" t="n"/>
      <c r="P58" s="31">
        <f>IF(OR(N58="",O58=""),"",ROUND((O58-N58)/30.4,1))</f>
        <v/>
      </c>
      <c r="Q58" s="24" t="n"/>
      <c r="R58" s="24" t="n"/>
      <c r="S58" s="24" t="n"/>
      <c r="T58" s="25" t="n"/>
    </row>
    <row r="59">
      <c r="A59" s="23" t="n"/>
      <c r="B59" s="24" t="n"/>
      <c r="C59" s="24" t="n"/>
      <c r="D59" s="25" t="n"/>
      <c r="E59" s="25" t="n"/>
      <c r="F59" s="24" t="n"/>
      <c r="G59" s="26" t="n"/>
      <c r="H59" s="27">
        <f>IF(B59="","",IFERROR(G59/SUMIFS($G$6:$G$105,$C$6:$C$105,C59),""))</f>
        <v/>
      </c>
      <c r="I59" s="26" t="n"/>
      <c r="J59" s="24" t="n"/>
      <c r="K59" s="26" t="n"/>
      <c r="L59" s="28">
        <f>IF(OR(G59="",K59="",K59=0),"",G59/K59)</f>
        <v/>
      </c>
      <c r="M59" s="29">
        <f>IF(B59="","",IF(L59="","",IF(L59&gt;40000,"Revisar: CWP &gt; 40 000 HH","OK")))</f>
        <v/>
      </c>
      <c r="N59" s="30" t="n"/>
      <c r="O59" s="30" t="n"/>
      <c r="P59" s="31">
        <f>IF(OR(N59="",O59=""),"",ROUND((O59-N59)/30.4,1))</f>
        <v/>
      </c>
      <c r="Q59" s="24" t="n"/>
      <c r="R59" s="24" t="n"/>
      <c r="S59" s="24" t="n"/>
      <c r="T59" s="25" t="n"/>
    </row>
    <row r="60">
      <c r="A60" s="23" t="n"/>
      <c r="B60" s="24" t="n"/>
      <c r="C60" s="24" t="n"/>
      <c r="D60" s="25" t="n"/>
      <c r="E60" s="25" t="n"/>
      <c r="F60" s="24" t="n"/>
      <c r="G60" s="26" t="n"/>
      <c r="H60" s="27">
        <f>IF(B60="","",IFERROR(G60/SUMIFS($G$6:$G$105,$C$6:$C$105,C60),""))</f>
        <v/>
      </c>
      <c r="I60" s="26" t="n"/>
      <c r="J60" s="24" t="n"/>
      <c r="K60" s="26" t="n"/>
      <c r="L60" s="28">
        <f>IF(OR(G60="",K60="",K60=0),"",G60/K60)</f>
        <v/>
      </c>
      <c r="M60" s="29">
        <f>IF(B60="","",IF(L60="","",IF(L60&gt;40000,"Revisar: CWP &gt; 40 000 HH","OK")))</f>
        <v/>
      </c>
      <c r="N60" s="30" t="n"/>
      <c r="O60" s="30" t="n"/>
      <c r="P60" s="31">
        <f>IF(OR(N60="",O60=""),"",ROUND((O60-N60)/30.4,1))</f>
        <v/>
      </c>
      <c r="Q60" s="24" t="n"/>
      <c r="R60" s="24" t="n"/>
      <c r="S60" s="24" t="n"/>
      <c r="T60" s="25" t="n"/>
    </row>
    <row r="61">
      <c r="A61" s="23" t="n"/>
      <c r="B61" s="24" t="n"/>
      <c r="C61" s="24" t="n"/>
      <c r="D61" s="25" t="n"/>
      <c r="E61" s="25" t="n"/>
      <c r="F61" s="24" t="n"/>
      <c r="G61" s="26" t="n"/>
      <c r="H61" s="27">
        <f>IF(B61="","",IFERROR(G61/SUMIFS($G$6:$G$105,$C$6:$C$105,C61),""))</f>
        <v/>
      </c>
      <c r="I61" s="26" t="n"/>
      <c r="J61" s="24" t="n"/>
      <c r="K61" s="26" t="n"/>
      <c r="L61" s="28">
        <f>IF(OR(G61="",K61="",K61=0),"",G61/K61)</f>
        <v/>
      </c>
      <c r="M61" s="29">
        <f>IF(B61="","",IF(L61="","",IF(L61&gt;40000,"Revisar: CWP &gt; 40 000 HH","OK")))</f>
        <v/>
      </c>
      <c r="N61" s="30" t="n"/>
      <c r="O61" s="30" t="n"/>
      <c r="P61" s="31">
        <f>IF(OR(N61="",O61=""),"",ROUND((O61-N61)/30.4,1))</f>
        <v/>
      </c>
      <c r="Q61" s="24" t="n"/>
      <c r="R61" s="24" t="n"/>
      <c r="S61" s="24" t="n"/>
      <c r="T61" s="25" t="n"/>
    </row>
    <row r="62">
      <c r="A62" s="23" t="n"/>
      <c r="B62" s="24" t="n"/>
      <c r="C62" s="24" t="n"/>
      <c r="D62" s="25" t="n"/>
      <c r="E62" s="25" t="n"/>
      <c r="F62" s="24" t="n"/>
      <c r="G62" s="26" t="n"/>
      <c r="H62" s="27">
        <f>IF(B62="","",IFERROR(G62/SUMIFS($G$6:$G$105,$C$6:$C$105,C62),""))</f>
        <v/>
      </c>
      <c r="I62" s="26" t="n"/>
      <c r="J62" s="24" t="n"/>
      <c r="K62" s="26" t="n"/>
      <c r="L62" s="28">
        <f>IF(OR(G62="",K62="",K62=0),"",G62/K62)</f>
        <v/>
      </c>
      <c r="M62" s="29">
        <f>IF(B62="","",IF(L62="","",IF(L62&gt;40000,"Revisar: CWP &gt; 40 000 HH","OK")))</f>
        <v/>
      </c>
      <c r="N62" s="30" t="n"/>
      <c r="O62" s="30" t="n"/>
      <c r="P62" s="31">
        <f>IF(OR(N62="",O62=""),"",ROUND((O62-N62)/30.4,1))</f>
        <v/>
      </c>
      <c r="Q62" s="24" t="n"/>
      <c r="R62" s="24" t="n"/>
      <c r="S62" s="24" t="n"/>
      <c r="T62" s="25" t="n"/>
    </row>
    <row r="63">
      <c r="A63" s="23" t="n"/>
      <c r="B63" s="24" t="n"/>
      <c r="C63" s="24" t="n"/>
      <c r="D63" s="25" t="n"/>
      <c r="E63" s="25" t="n"/>
      <c r="F63" s="24" t="n"/>
      <c r="G63" s="26" t="n"/>
      <c r="H63" s="27">
        <f>IF(B63="","",IFERROR(G63/SUMIFS($G$6:$G$105,$C$6:$C$105,C63),""))</f>
        <v/>
      </c>
      <c r="I63" s="26" t="n"/>
      <c r="J63" s="24" t="n"/>
      <c r="K63" s="26" t="n"/>
      <c r="L63" s="28">
        <f>IF(OR(G63="",K63="",K63=0),"",G63/K63)</f>
        <v/>
      </c>
      <c r="M63" s="29">
        <f>IF(B63="","",IF(L63="","",IF(L63&gt;40000,"Revisar: CWP &gt; 40 000 HH","OK")))</f>
        <v/>
      </c>
      <c r="N63" s="30" t="n"/>
      <c r="O63" s="30" t="n"/>
      <c r="P63" s="31">
        <f>IF(OR(N63="",O63=""),"",ROUND((O63-N63)/30.4,1))</f>
        <v/>
      </c>
      <c r="Q63" s="24" t="n"/>
      <c r="R63" s="24" t="n"/>
      <c r="S63" s="24" t="n"/>
      <c r="T63" s="25" t="n"/>
    </row>
    <row r="64">
      <c r="A64" s="23" t="n"/>
      <c r="B64" s="24" t="n"/>
      <c r="C64" s="24" t="n"/>
      <c r="D64" s="25" t="n"/>
      <c r="E64" s="25" t="n"/>
      <c r="F64" s="24" t="n"/>
      <c r="G64" s="26" t="n"/>
      <c r="H64" s="27">
        <f>IF(B64="","",IFERROR(G64/SUMIFS($G$6:$G$105,$C$6:$C$105,C64),""))</f>
        <v/>
      </c>
      <c r="I64" s="26" t="n"/>
      <c r="J64" s="24" t="n"/>
      <c r="K64" s="26" t="n"/>
      <c r="L64" s="28">
        <f>IF(OR(G64="",K64="",K64=0),"",G64/K64)</f>
        <v/>
      </c>
      <c r="M64" s="29">
        <f>IF(B64="","",IF(L64="","",IF(L64&gt;40000,"Revisar: CWP &gt; 40 000 HH","OK")))</f>
        <v/>
      </c>
      <c r="N64" s="30" t="n"/>
      <c r="O64" s="30" t="n"/>
      <c r="P64" s="31">
        <f>IF(OR(N64="",O64=""),"",ROUND((O64-N64)/30.4,1))</f>
        <v/>
      </c>
      <c r="Q64" s="24" t="n"/>
      <c r="R64" s="24" t="n"/>
      <c r="S64" s="24" t="n"/>
      <c r="T64" s="25" t="n"/>
    </row>
    <row r="65">
      <c r="A65" s="23" t="n"/>
      <c r="B65" s="24" t="n"/>
      <c r="C65" s="24" t="n"/>
      <c r="D65" s="25" t="n"/>
      <c r="E65" s="25" t="n"/>
      <c r="F65" s="24" t="n"/>
      <c r="G65" s="26" t="n"/>
      <c r="H65" s="27">
        <f>IF(B65="","",IFERROR(G65/SUMIFS($G$6:$G$105,$C$6:$C$105,C65),""))</f>
        <v/>
      </c>
      <c r="I65" s="26" t="n"/>
      <c r="J65" s="24" t="n"/>
      <c r="K65" s="26" t="n"/>
      <c r="L65" s="28">
        <f>IF(OR(G65="",K65="",K65=0),"",G65/K65)</f>
        <v/>
      </c>
      <c r="M65" s="29">
        <f>IF(B65="","",IF(L65="","",IF(L65&gt;40000,"Revisar: CWP &gt; 40 000 HH","OK")))</f>
        <v/>
      </c>
      <c r="N65" s="30" t="n"/>
      <c r="O65" s="30" t="n"/>
      <c r="P65" s="31">
        <f>IF(OR(N65="",O65=""),"",ROUND((O65-N65)/30.4,1))</f>
        <v/>
      </c>
      <c r="Q65" s="24" t="n"/>
      <c r="R65" s="24" t="n"/>
      <c r="S65" s="24" t="n"/>
      <c r="T65" s="25" t="n"/>
    </row>
    <row r="66">
      <c r="A66" s="23" t="n"/>
      <c r="B66" s="24" t="n"/>
      <c r="C66" s="24" t="n"/>
      <c r="D66" s="25" t="n"/>
      <c r="E66" s="25" t="n"/>
      <c r="F66" s="24" t="n"/>
      <c r="G66" s="26" t="n"/>
      <c r="H66" s="27">
        <f>IF(B66="","",IFERROR(G66/SUMIFS($G$6:$G$105,$C$6:$C$105,C66),""))</f>
        <v/>
      </c>
      <c r="I66" s="26" t="n"/>
      <c r="J66" s="24" t="n"/>
      <c r="K66" s="26" t="n"/>
      <c r="L66" s="28">
        <f>IF(OR(G66="",K66="",K66=0),"",G66/K66)</f>
        <v/>
      </c>
      <c r="M66" s="29">
        <f>IF(B66="","",IF(L66="","",IF(L66&gt;40000,"Revisar: CWP &gt; 40 000 HH","OK")))</f>
        <v/>
      </c>
      <c r="N66" s="30" t="n"/>
      <c r="O66" s="30" t="n"/>
      <c r="P66" s="31">
        <f>IF(OR(N66="",O66=""),"",ROUND((O66-N66)/30.4,1))</f>
        <v/>
      </c>
      <c r="Q66" s="24" t="n"/>
      <c r="R66" s="24" t="n"/>
      <c r="S66" s="24" t="n"/>
      <c r="T66" s="25" t="n"/>
    </row>
    <row r="67">
      <c r="A67" s="23" t="n"/>
      <c r="B67" s="24" t="n"/>
      <c r="C67" s="24" t="n"/>
      <c r="D67" s="25" t="n"/>
      <c r="E67" s="25" t="n"/>
      <c r="F67" s="24" t="n"/>
      <c r="G67" s="26" t="n"/>
      <c r="H67" s="27">
        <f>IF(B67="","",IFERROR(G67/SUMIFS($G$6:$G$105,$C$6:$C$105,C67),""))</f>
        <v/>
      </c>
      <c r="I67" s="26" t="n"/>
      <c r="J67" s="24" t="n"/>
      <c r="K67" s="26" t="n"/>
      <c r="L67" s="28">
        <f>IF(OR(G67="",K67="",K67=0),"",G67/K67)</f>
        <v/>
      </c>
      <c r="M67" s="29">
        <f>IF(B67="","",IF(L67="","",IF(L67&gt;40000,"Revisar: CWP &gt; 40 000 HH","OK")))</f>
        <v/>
      </c>
      <c r="N67" s="30" t="n"/>
      <c r="O67" s="30" t="n"/>
      <c r="P67" s="31">
        <f>IF(OR(N67="",O67=""),"",ROUND((O67-N67)/30.4,1))</f>
        <v/>
      </c>
      <c r="Q67" s="24" t="n"/>
      <c r="R67" s="24" t="n"/>
      <c r="S67" s="24" t="n"/>
      <c r="T67" s="25" t="n"/>
    </row>
    <row r="68">
      <c r="A68" s="23" t="n"/>
      <c r="B68" s="24" t="n"/>
      <c r="C68" s="24" t="n"/>
      <c r="D68" s="25" t="n"/>
      <c r="E68" s="25" t="n"/>
      <c r="F68" s="24" t="n"/>
      <c r="G68" s="26" t="n"/>
      <c r="H68" s="27">
        <f>IF(B68="","",IFERROR(G68/SUMIFS($G$6:$G$105,$C$6:$C$105,C68),""))</f>
        <v/>
      </c>
      <c r="I68" s="26" t="n"/>
      <c r="J68" s="24" t="n"/>
      <c r="K68" s="26" t="n"/>
      <c r="L68" s="28">
        <f>IF(OR(G68="",K68="",K68=0),"",G68/K68)</f>
        <v/>
      </c>
      <c r="M68" s="29">
        <f>IF(B68="","",IF(L68="","",IF(L68&gt;40000,"Revisar: CWP &gt; 40 000 HH","OK")))</f>
        <v/>
      </c>
      <c r="N68" s="30" t="n"/>
      <c r="O68" s="30" t="n"/>
      <c r="P68" s="31">
        <f>IF(OR(N68="",O68=""),"",ROUND((O68-N68)/30.4,1))</f>
        <v/>
      </c>
      <c r="Q68" s="24" t="n"/>
      <c r="R68" s="24" t="n"/>
      <c r="S68" s="24" t="n"/>
      <c r="T68" s="25" t="n"/>
    </row>
    <row r="69">
      <c r="A69" s="23" t="n"/>
      <c r="B69" s="24" t="n"/>
      <c r="C69" s="24" t="n"/>
      <c r="D69" s="25" t="n"/>
      <c r="E69" s="25" t="n"/>
      <c r="F69" s="24" t="n"/>
      <c r="G69" s="26" t="n"/>
      <c r="H69" s="27">
        <f>IF(B69="","",IFERROR(G69/SUMIFS($G$6:$G$105,$C$6:$C$105,C69),""))</f>
        <v/>
      </c>
      <c r="I69" s="26" t="n"/>
      <c r="J69" s="24" t="n"/>
      <c r="K69" s="26" t="n"/>
      <c r="L69" s="28">
        <f>IF(OR(G69="",K69="",K69=0),"",G69/K69)</f>
        <v/>
      </c>
      <c r="M69" s="29">
        <f>IF(B69="","",IF(L69="","",IF(L69&gt;40000,"Revisar: CWP &gt; 40 000 HH","OK")))</f>
        <v/>
      </c>
      <c r="N69" s="30" t="n"/>
      <c r="O69" s="30" t="n"/>
      <c r="P69" s="31">
        <f>IF(OR(N69="",O69=""),"",ROUND((O69-N69)/30.4,1))</f>
        <v/>
      </c>
      <c r="Q69" s="24" t="n"/>
      <c r="R69" s="24" t="n"/>
      <c r="S69" s="24" t="n"/>
      <c r="T69" s="25" t="n"/>
    </row>
    <row r="70">
      <c r="A70" s="23" t="n"/>
      <c r="B70" s="24" t="n"/>
      <c r="C70" s="24" t="n"/>
      <c r="D70" s="25" t="n"/>
      <c r="E70" s="25" t="n"/>
      <c r="F70" s="24" t="n"/>
      <c r="G70" s="26" t="n"/>
      <c r="H70" s="27">
        <f>IF(B70="","",IFERROR(G70/SUMIFS($G$6:$G$105,$C$6:$C$105,C70),""))</f>
        <v/>
      </c>
      <c r="I70" s="26" t="n"/>
      <c r="J70" s="24" t="n"/>
      <c r="K70" s="26" t="n"/>
      <c r="L70" s="28">
        <f>IF(OR(G70="",K70="",K70=0),"",G70/K70)</f>
        <v/>
      </c>
      <c r="M70" s="29">
        <f>IF(B70="","",IF(L70="","",IF(L70&gt;40000,"Revisar: CWP &gt; 40 000 HH","OK")))</f>
        <v/>
      </c>
      <c r="N70" s="30" t="n"/>
      <c r="O70" s="30" t="n"/>
      <c r="P70" s="31">
        <f>IF(OR(N70="",O70=""),"",ROUND((O70-N70)/30.4,1))</f>
        <v/>
      </c>
      <c r="Q70" s="24" t="n"/>
      <c r="R70" s="24" t="n"/>
      <c r="S70" s="24" t="n"/>
      <c r="T70" s="25" t="n"/>
    </row>
    <row r="71">
      <c r="A71" s="23" t="n"/>
      <c r="B71" s="24" t="n"/>
      <c r="C71" s="24" t="n"/>
      <c r="D71" s="25" t="n"/>
      <c r="E71" s="25" t="n"/>
      <c r="F71" s="24" t="n"/>
      <c r="G71" s="26" t="n"/>
      <c r="H71" s="27">
        <f>IF(B71="","",IFERROR(G71/SUMIFS($G$6:$G$105,$C$6:$C$105,C71),""))</f>
        <v/>
      </c>
      <c r="I71" s="26" t="n"/>
      <c r="J71" s="24" t="n"/>
      <c r="K71" s="26" t="n"/>
      <c r="L71" s="28">
        <f>IF(OR(G71="",K71="",K71=0),"",G71/K71)</f>
        <v/>
      </c>
      <c r="M71" s="29">
        <f>IF(B71="","",IF(L71="","",IF(L71&gt;40000,"Revisar: CWP &gt; 40 000 HH","OK")))</f>
        <v/>
      </c>
      <c r="N71" s="30" t="n"/>
      <c r="O71" s="30" t="n"/>
      <c r="P71" s="31">
        <f>IF(OR(N71="",O71=""),"",ROUND((O71-N71)/30.4,1))</f>
        <v/>
      </c>
      <c r="Q71" s="24" t="n"/>
      <c r="R71" s="24" t="n"/>
      <c r="S71" s="24" t="n"/>
      <c r="T71" s="25" t="n"/>
    </row>
    <row r="72">
      <c r="A72" s="23" t="n"/>
      <c r="B72" s="24" t="n"/>
      <c r="C72" s="24" t="n"/>
      <c r="D72" s="25" t="n"/>
      <c r="E72" s="25" t="n"/>
      <c r="F72" s="24" t="n"/>
      <c r="G72" s="26" t="n"/>
      <c r="H72" s="27">
        <f>IF(B72="","",IFERROR(G72/SUMIFS($G$6:$G$105,$C$6:$C$105,C72),""))</f>
        <v/>
      </c>
      <c r="I72" s="26" t="n"/>
      <c r="J72" s="24" t="n"/>
      <c r="K72" s="26" t="n"/>
      <c r="L72" s="28">
        <f>IF(OR(G72="",K72="",K72=0),"",G72/K72)</f>
        <v/>
      </c>
      <c r="M72" s="29">
        <f>IF(B72="","",IF(L72="","",IF(L72&gt;40000,"Revisar: CWP &gt; 40 000 HH","OK")))</f>
        <v/>
      </c>
      <c r="N72" s="30" t="n"/>
      <c r="O72" s="30" t="n"/>
      <c r="P72" s="31">
        <f>IF(OR(N72="",O72=""),"",ROUND((O72-N72)/30.4,1))</f>
        <v/>
      </c>
      <c r="Q72" s="24" t="n"/>
      <c r="R72" s="24" t="n"/>
      <c r="S72" s="24" t="n"/>
      <c r="T72" s="25" t="n"/>
    </row>
    <row r="73">
      <c r="A73" s="23" t="n"/>
      <c r="B73" s="24" t="n"/>
      <c r="C73" s="24" t="n"/>
      <c r="D73" s="25" t="n"/>
      <c r="E73" s="25" t="n"/>
      <c r="F73" s="24" t="n"/>
      <c r="G73" s="26" t="n"/>
      <c r="H73" s="27">
        <f>IF(B73="","",IFERROR(G73/SUMIFS($G$6:$G$105,$C$6:$C$105,C73),""))</f>
        <v/>
      </c>
      <c r="I73" s="26" t="n"/>
      <c r="J73" s="24" t="n"/>
      <c r="K73" s="26" t="n"/>
      <c r="L73" s="28">
        <f>IF(OR(G73="",K73="",K73=0),"",G73/K73)</f>
        <v/>
      </c>
      <c r="M73" s="29">
        <f>IF(B73="","",IF(L73="","",IF(L73&gt;40000,"Revisar: CWP &gt; 40 000 HH","OK")))</f>
        <v/>
      </c>
      <c r="N73" s="30" t="n"/>
      <c r="O73" s="30" t="n"/>
      <c r="P73" s="31">
        <f>IF(OR(N73="",O73=""),"",ROUND((O73-N73)/30.4,1))</f>
        <v/>
      </c>
      <c r="Q73" s="24" t="n"/>
      <c r="R73" s="24" t="n"/>
      <c r="S73" s="24" t="n"/>
      <c r="T73" s="25" t="n"/>
    </row>
    <row r="74">
      <c r="A74" s="23" t="n"/>
      <c r="B74" s="24" t="n"/>
      <c r="C74" s="24" t="n"/>
      <c r="D74" s="25" t="n"/>
      <c r="E74" s="25" t="n"/>
      <c r="F74" s="24" t="n"/>
      <c r="G74" s="26" t="n"/>
      <c r="H74" s="27">
        <f>IF(B74="","",IFERROR(G74/SUMIFS($G$6:$G$105,$C$6:$C$105,C74),""))</f>
        <v/>
      </c>
      <c r="I74" s="26" t="n"/>
      <c r="J74" s="24" t="n"/>
      <c r="K74" s="26" t="n"/>
      <c r="L74" s="28">
        <f>IF(OR(G74="",K74="",K74=0),"",G74/K74)</f>
        <v/>
      </c>
      <c r="M74" s="29">
        <f>IF(B74="","",IF(L74="","",IF(L74&gt;40000,"Revisar: CWP &gt; 40 000 HH","OK")))</f>
        <v/>
      </c>
      <c r="N74" s="30" t="n"/>
      <c r="O74" s="30" t="n"/>
      <c r="P74" s="31">
        <f>IF(OR(N74="",O74=""),"",ROUND((O74-N74)/30.4,1))</f>
        <v/>
      </c>
      <c r="Q74" s="24" t="n"/>
      <c r="R74" s="24" t="n"/>
      <c r="S74" s="24" t="n"/>
      <c r="T74" s="25" t="n"/>
    </row>
    <row r="75">
      <c r="A75" s="23" t="n"/>
      <c r="B75" s="24" t="n"/>
      <c r="C75" s="24" t="n"/>
      <c r="D75" s="25" t="n"/>
      <c r="E75" s="25" t="n"/>
      <c r="F75" s="24" t="n"/>
      <c r="G75" s="26" t="n"/>
      <c r="H75" s="27">
        <f>IF(B75="","",IFERROR(G75/SUMIFS($G$6:$G$105,$C$6:$C$105,C75),""))</f>
        <v/>
      </c>
      <c r="I75" s="26" t="n"/>
      <c r="J75" s="24" t="n"/>
      <c r="K75" s="26" t="n"/>
      <c r="L75" s="28">
        <f>IF(OR(G75="",K75="",K75=0),"",G75/K75)</f>
        <v/>
      </c>
      <c r="M75" s="29">
        <f>IF(B75="","",IF(L75="","",IF(L75&gt;40000,"Revisar: CWP &gt; 40 000 HH","OK")))</f>
        <v/>
      </c>
      <c r="N75" s="30" t="n"/>
      <c r="O75" s="30" t="n"/>
      <c r="P75" s="31">
        <f>IF(OR(N75="",O75=""),"",ROUND((O75-N75)/30.4,1))</f>
        <v/>
      </c>
      <c r="Q75" s="24" t="n"/>
      <c r="R75" s="24" t="n"/>
      <c r="S75" s="24" t="n"/>
      <c r="T75" s="25" t="n"/>
    </row>
    <row r="76">
      <c r="A76" s="23" t="n"/>
      <c r="B76" s="24" t="n"/>
      <c r="C76" s="24" t="n"/>
      <c r="D76" s="25" t="n"/>
      <c r="E76" s="25" t="n"/>
      <c r="F76" s="24" t="n"/>
      <c r="G76" s="26" t="n"/>
      <c r="H76" s="27">
        <f>IF(B76="","",IFERROR(G76/SUMIFS($G$6:$G$105,$C$6:$C$105,C76),""))</f>
        <v/>
      </c>
      <c r="I76" s="26" t="n"/>
      <c r="J76" s="24" t="n"/>
      <c r="K76" s="26" t="n"/>
      <c r="L76" s="28">
        <f>IF(OR(G76="",K76="",K76=0),"",G76/K76)</f>
        <v/>
      </c>
      <c r="M76" s="29">
        <f>IF(B76="","",IF(L76="","",IF(L76&gt;40000,"Revisar: CWP &gt; 40 000 HH","OK")))</f>
        <v/>
      </c>
      <c r="N76" s="30" t="n"/>
      <c r="O76" s="30" t="n"/>
      <c r="P76" s="31">
        <f>IF(OR(N76="",O76=""),"",ROUND((O76-N76)/30.4,1))</f>
        <v/>
      </c>
      <c r="Q76" s="24" t="n"/>
      <c r="R76" s="24" t="n"/>
      <c r="S76" s="24" t="n"/>
      <c r="T76" s="25" t="n"/>
    </row>
    <row r="77">
      <c r="A77" s="23" t="n"/>
      <c r="B77" s="24" t="n"/>
      <c r="C77" s="24" t="n"/>
      <c r="D77" s="25" t="n"/>
      <c r="E77" s="25" t="n"/>
      <c r="F77" s="24" t="n"/>
      <c r="G77" s="26" t="n"/>
      <c r="H77" s="27">
        <f>IF(B77="","",IFERROR(G77/SUMIFS($G$6:$G$105,$C$6:$C$105,C77),""))</f>
        <v/>
      </c>
      <c r="I77" s="26" t="n"/>
      <c r="J77" s="24" t="n"/>
      <c r="K77" s="26" t="n"/>
      <c r="L77" s="28">
        <f>IF(OR(G77="",K77="",K77=0),"",G77/K77)</f>
        <v/>
      </c>
      <c r="M77" s="29">
        <f>IF(B77="","",IF(L77="","",IF(L77&gt;40000,"Revisar: CWP &gt; 40 000 HH","OK")))</f>
        <v/>
      </c>
      <c r="N77" s="30" t="n"/>
      <c r="O77" s="30" t="n"/>
      <c r="P77" s="31">
        <f>IF(OR(N77="",O77=""),"",ROUND((O77-N77)/30.4,1))</f>
        <v/>
      </c>
      <c r="Q77" s="24" t="n"/>
      <c r="R77" s="24" t="n"/>
      <c r="S77" s="24" t="n"/>
      <c r="T77" s="25" t="n"/>
    </row>
    <row r="78">
      <c r="A78" s="23" t="n"/>
      <c r="B78" s="24" t="n"/>
      <c r="C78" s="24" t="n"/>
      <c r="D78" s="25" t="n"/>
      <c r="E78" s="25" t="n"/>
      <c r="F78" s="24" t="n"/>
      <c r="G78" s="26" t="n"/>
      <c r="H78" s="27">
        <f>IF(B78="","",IFERROR(G78/SUMIFS($G$6:$G$105,$C$6:$C$105,C78),""))</f>
        <v/>
      </c>
      <c r="I78" s="26" t="n"/>
      <c r="J78" s="24" t="n"/>
      <c r="K78" s="26" t="n"/>
      <c r="L78" s="28">
        <f>IF(OR(G78="",K78="",K78=0),"",G78/K78)</f>
        <v/>
      </c>
      <c r="M78" s="29">
        <f>IF(B78="","",IF(L78="","",IF(L78&gt;40000,"Revisar: CWP &gt; 40 000 HH","OK")))</f>
        <v/>
      </c>
      <c r="N78" s="30" t="n"/>
      <c r="O78" s="30" t="n"/>
      <c r="P78" s="31">
        <f>IF(OR(N78="",O78=""),"",ROUND((O78-N78)/30.4,1))</f>
        <v/>
      </c>
      <c r="Q78" s="24" t="n"/>
      <c r="R78" s="24" t="n"/>
      <c r="S78" s="24" t="n"/>
      <c r="T78" s="25" t="n"/>
    </row>
    <row r="79">
      <c r="A79" s="23" t="n"/>
      <c r="B79" s="24" t="n"/>
      <c r="C79" s="24" t="n"/>
      <c r="D79" s="25" t="n"/>
      <c r="E79" s="25" t="n"/>
      <c r="F79" s="24" t="n"/>
      <c r="G79" s="26" t="n"/>
      <c r="H79" s="27">
        <f>IF(B79="","",IFERROR(G79/SUMIFS($G$6:$G$105,$C$6:$C$105,C79),""))</f>
        <v/>
      </c>
      <c r="I79" s="26" t="n"/>
      <c r="J79" s="24" t="n"/>
      <c r="K79" s="26" t="n"/>
      <c r="L79" s="28">
        <f>IF(OR(G79="",K79="",K79=0),"",G79/K79)</f>
        <v/>
      </c>
      <c r="M79" s="29">
        <f>IF(B79="","",IF(L79="","",IF(L79&gt;40000,"Revisar: CWP &gt; 40 000 HH","OK")))</f>
        <v/>
      </c>
      <c r="N79" s="30" t="n"/>
      <c r="O79" s="30" t="n"/>
      <c r="P79" s="31">
        <f>IF(OR(N79="",O79=""),"",ROUND((O79-N79)/30.4,1))</f>
        <v/>
      </c>
      <c r="Q79" s="24" t="n"/>
      <c r="R79" s="24" t="n"/>
      <c r="S79" s="24" t="n"/>
      <c r="T79" s="25" t="n"/>
    </row>
    <row r="80">
      <c r="A80" s="23" t="n"/>
      <c r="B80" s="24" t="n"/>
      <c r="C80" s="24" t="n"/>
      <c r="D80" s="25" t="n"/>
      <c r="E80" s="25" t="n"/>
      <c r="F80" s="24" t="n"/>
      <c r="G80" s="26" t="n"/>
      <c r="H80" s="27">
        <f>IF(B80="","",IFERROR(G80/SUMIFS($G$6:$G$105,$C$6:$C$105,C80),""))</f>
        <v/>
      </c>
      <c r="I80" s="26" t="n"/>
      <c r="J80" s="24" t="n"/>
      <c r="K80" s="26" t="n"/>
      <c r="L80" s="28">
        <f>IF(OR(G80="",K80="",K80=0),"",G80/K80)</f>
        <v/>
      </c>
      <c r="M80" s="29">
        <f>IF(B80="","",IF(L80="","",IF(L80&gt;40000,"Revisar: CWP &gt; 40 000 HH","OK")))</f>
        <v/>
      </c>
      <c r="N80" s="30" t="n"/>
      <c r="O80" s="30" t="n"/>
      <c r="P80" s="31">
        <f>IF(OR(N80="",O80=""),"",ROUND((O80-N80)/30.4,1))</f>
        <v/>
      </c>
      <c r="Q80" s="24" t="n"/>
      <c r="R80" s="24" t="n"/>
      <c r="S80" s="24" t="n"/>
      <c r="T80" s="25" t="n"/>
    </row>
    <row r="81">
      <c r="A81" s="23" t="n"/>
      <c r="B81" s="24" t="n"/>
      <c r="C81" s="24" t="n"/>
      <c r="D81" s="25" t="n"/>
      <c r="E81" s="25" t="n"/>
      <c r="F81" s="24" t="n"/>
      <c r="G81" s="26" t="n"/>
      <c r="H81" s="27">
        <f>IF(B81="","",IFERROR(G81/SUMIFS($G$6:$G$105,$C$6:$C$105,C81),""))</f>
        <v/>
      </c>
      <c r="I81" s="26" t="n"/>
      <c r="J81" s="24" t="n"/>
      <c r="K81" s="26" t="n"/>
      <c r="L81" s="28">
        <f>IF(OR(G81="",K81="",K81=0),"",G81/K81)</f>
        <v/>
      </c>
      <c r="M81" s="29">
        <f>IF(B81="","",IF(L81="","",IF(L81&gt;40000,"Revisar: CWP &gt; 40 000 HH","OK")))</f>
        <v/>
      </c>
      <c r="N81" s="30" t="n"/>
      <c r="O81" s="30" t="n"/>
      <c r="P81" s="31">
        <f>IF(OR(N81="",O81=""),"",ROUND((O81-N81)/30.4,1))</f>
        <v/>
      </c>
      <c r="Q81" s="24" t="n"/>
      <c r="R81" s="24" t="n"/>
      <c r="S81" s="24" t="n"/>
      <c r="T81" s="25" t="n"/>
    </row>
    <row r="82">
      <c r="A82" s="23" t="n"/>
      <c r="B82" s="24" t="n"/>
      <c r="C82" s="24" t="n"/>
      <c r="D82" s="25" t="n"/>
      <c r="E82" s="25" t="n"/>
      <c r="F82" s="24" t="n"/>
      <c r="G82" s="26" t="n"/>
      <c r="H82" s="27">
        <f>IF(B82="","",IFERROR(G82/SUMIFS($G$6:$G$105,$C$6:$C$105,C82),""))</f>
        <v/>
      </c>
      <c r="I82" s="26" t="n"/>
      <c r="J82" s="24" t="n"/>
      <c r="K82" s="26" t="n"/>
      <c r="L82" s="28">
        <f>IF(OR(G82="",K82="",K82=0),"",G82/K82)</f>
        <v/>
      </c>
      <c r="M82" s="29">
        <f>IF(B82="","",IF(L82="","",IF(L82&gt;40000,"Revisar: CWP &gt; 40 000 HH","OK")))</f>
        <v/>
      </c>
      <c r="N82" s="30" t="n"/>
      <c r="O82" s="30" t="n"/>
      <c r="P82" s="31">
        <f>IF(OR(N82="",O82=""),"",ROUND((O82-N82)/30.4,1))</f>
        <v/>
      </c>
      <c r="Q82" s="24" t="n"/>
      <c r="R82" s="24" t="n"/>
      <c r="S82" s="24" t="n"/>
      <c r="T82" s="25" t="n"/>
    </row>
    <row r="83">
      <c r="A83" s="23" t="n"/>
      <c r="B83" s="24" t="n"/>
      <c r="C83" s="24" t="n"/>
      <c r="D83" s="25" t="n"/>
      <c r="E83" s="25" t="n"/>
      <c r="F83" s="24" t="n"/>
      <c r="G83" s="26" t="n"/>
      <c r="H83" s="27">
        <f>IF(B83="","",IFERROR(G83/SUMIFS($G$6:$G$105,$C$6:$C$105,C83),""))</f>
        <v/>
      </c>
      <c r="I83" s="26" t="n"/>
      <c r="J83" s="24" t="n"/>
      <c r="K83" s="26" t="n"/>
      <c r="L83" s="28">
        <f>IF(OR(G83="",K83="",K83=0),"",G83/K83)</f>
        <v/>
      </c>
      <c r="M83" s="29">
        <f>IF(B83="","",IF(L83="","",IF(L83&gt;40000,"Revisar: CWP &gt; 40 000 HH","OK")))</f>
        <v/>
      </c>
      <c r="N83" s="30" t="n"/>
      <c r="O83" s="30" t="n"/>
      <c r="P83" s="31">
        <f>IF(OR(N83="",O83=""),"",ROUND((O83-N83)/30.4,1))</f>
        <v/>
      </c>
      <c r="Q83" s="24" t="n"/>
      <c r="R83" s="24" t="n"/>
      <c r="S83" s="24" t="n"/>
      <c r="T83" s="25" t="n"/>
    </row>
    <row r="84">
      <c r="A84" s="23" t="n"/>
      <c r="B84" s="24" t="n"/>
      <c r="C84" s="24" t="n"/>
      <c r="D84" s="25" t="n"/>
      <c r="E84" s="25" t="n"/>
      <c r="F84" s="24" t="n"/>
      <c r="G84" s="26" t="n"/>
      <c r="H84" s="27">
        <f>IF(B84="","",IFERROR(G84/SUMIFS($G$6:$G$105,$C$6:$C$105,C84),""))</f>
        <v/>
      </c>
      <c r="I84" s="26" t="n"/>
      <c r="J84" s="24" t="n"/>
      <c r="K84" s="26" t="n"/>
      <c r="L84" s="28">
        <f>IF(OR(G84="",K84="",K84=0),"",G84/K84)</f>
        <v/>
      </c>
      <c r="M84" s="29">
        <f>IF(B84="","",IF(L84="","",IF(L84&gt;40000,"Revisar: CWP &gt; 40 000 HH","OK")))</f>
        <v/>
      </c>
      <c r="N84" s="30" t="n"/>
      <c r="O84" s="30" t="n"/>
      <c r="P84" s="31">
        <f>IF(OR(N84="",O84=""),"",ROUND((O84-N84)/30.4,1))</f>
        <v/>
      </c>
      <c r="Q84" s="24" t="n"/>
      <c r="R84" s="24" t="n"/>
      <c r="S84" s="24" t="n"/>
      <c r="T84" s="25" t="n"/>
    </row>
    <row r="85">
      <c r="A85" s="23" t="n"/>
      <c r="B85" s="24" t="n"/>
      <c r="C85" s="24" t="n"/>
      <c r="D85" s="25" t="n"/>
      <c r="E85" s="25" t="n"/>
      <c r="F85" s="24" t="n"/>
      <c r="G85" s="26" t="n"/>
      <c r="H85" s="27">
        <f>IF(B85="","",IFERROR(G85/SUMIFS($G$6:$G$105,$C$6:$C$105,C85),""))</f>
        <v/>
      </c>
      <c r="I85" s="26" t="n"/>
      <c r="J85" s="24" t="n"/>
      <c r="K85" s="26" t="n"/>
      <c r="L85" s="28">
        <f>IF(OR(G85="",K85="",K85=0),"",G85/K85)</f>
        <v/>
      </c>
      <c r="M85" s="29">
        <f>IF(B85="","",IF(L85="","",IF(L85&gt;40000,"Revisar: CWP &gt; 40 000 HH","OK")))</f>
        <v/>
      </c>
      <c r="N85" s="30" t="n"/>
      <c r="O85" s="30" t="n"/>
      <c r="P85" s="31">
        <f>IF(OR(N85="",O85=""),"",ROUND((O85-N85)/30.4,1))</f>
        <v/>
      </c>
      <c r="Q85" s="24" t="n"/>
      <c r="R85" s="24" t="n"/>
      <c r="S85" s="24" t="n"/>
      <c r="T85" s="25" t="n"/>
    </row>
    <row r="86">
      <c r="A86" s="23" t="n"/>
      <c r="B86" s="24" t="n"/>
      <c r="C86" s="24" t="n"/>
      <c r="D86" s="25" t="n"/>
      <c r="E86" s="25" t="n"/>
      <c r="F86" s="24" t="n"/>
      <c r="G86" s="26" t="n"/>
      <c r="H86" s="27">
        <f>IF(B86="","",IFERROR(G86/SUMIFS($G$6:$G$105,$C$6:$C$105,C86),""))</f>
        <v/>
      </c>
      <c r="I86" s="26" t="n"/>
      <c r="J86" s="24" t="n"/>
      <c r="K86" s="26" t="n"/>
      <c r="L86" s="28">
        <f>IF(OR(G86="",K86="",K86=0),"",G86/K86)</f>
        <v/>
      </c>
      <c r="M86" s="29">
        <f>IF(B86="","",IF(L86="","",IF(L86&gt;40000,"Revisar: CWP &gt; 40 000 HH","OK")))</f>
        <v/>
      </c>
      <c r="N86" s="30" t="n"/>
      <c r="O86" s="30" t="n"/>
      <c r="P86" s="31">
        <f>IF(OR(N86="",O86=""),"",ROUND((O86-N86)/30.4,1))</f>
        <v/>
      </c>
      <c r="Q86" s="24" t="n"/>
      <c r="R86" s="24" t="n"/>
      <c r="S86" s="24" t="n"/>
      <c r="T86" s="25" t="n"/>
    </row>
    <row r="87">
      <c r="A87" s="23" t="n"/>
      <c r="B87" s="24" t="n"/>
      <c r="C87" s="24" t="n"/>
      <c r="D87" s="25" t="n"/>
      <c r="E87" s="25" t="n"/>
      <c r="F87" s="24" t="n"/>
      <c r="G87" s="26" t="n"/>
      <c r="H87" s="27">
        <f>IF(B87="","",IFERROR(G87/SUMIFS($G$6:$G$105,$C$6:$C$105,C87),""))</f>
        <v/>
      </c>
      <c r="I87" s="26" t="n"/>
      <c r="J87" s="24" t="n"/>
      <c r="K87" s="26" t="n"/>
      <c r="L87" s="28">
        <f>IF(OR(G87="",K87="",K87=0),"",G87/K87)</f>
        <v/>
      </c>
      <c r="M87" s="29">
        <f>IF(B87="","",IF(L87="","",IF(L87&gt;40000,"Revisar: CWP &gt; 40 000 HH","OK")))</f>
        <v/>
      </c>
      <c r="N87" s="30" t="n"/>
      <c r="O87" s="30" t="n"/>
      <c r="P87" s="31">
        <f>IF(OR(N87="",O87=""),"",ROUND((O87-N87)/30.4,1))</f>
        <v/>
      </c>
      <c r="Q87" s="24" t="n"/>
      <c r="R87" s="24" t="n"/>
      <c r="S87" s="24" t="n"/>
      <c r="T87" s="25" t="n"/>
    </row>
    <row r="88">
      <c r="A88" s="23" t="n"/>
      <c r="B88" s="24" t="n"/>
      <c r="C88" s="24" t="n"/>
      <c r="D88" s="25" t="n"/>
      <c r="E88" s="25" t="n"/>
      <c r="F88" s="24" t="n"/>
      <c r="G88" s="26" t="n"/>
      <c r="H88" s="27">
        <f>IF(B88="","",IFERROR(G88/SUMIFS($G$6:$G$105,$C$6:$C$105,C88),""))</f>
        <v/>
      </c>
      <c r="I88" s="26" t="n"/>
      <c r="J88" s="24" t="n"/>
      <c r="K88" s="26" t="n"/>
      <c r="L88" s="28">
        <f>IF(OR(G88="",K88="",K88=0),"",G88/K88)</f>
        <v/>
      </c>
      <c r="M88" s="29">
        <f>IF(B88="","",IF(L88="","",IF(L88&gt;40000,"Revisar: CWP &gt; 40 000 HH","OK")))</f>
        <v/>
      </c>
      <c r="N88" s="30" t="n"/>
      <c r="O88" s="30" t="n"/>
      <c r="P88" s="31">
        <f>IF(OR(N88="",O88=""),"",ROUND((O88-N88)/30.4,1))</f>
        <v/>
      </c>
      <c r="Q88" s="24" t="n"/>
      <c r="R88" s="24" t="n"/>
      <c r="S88" s="24" t="n"/>
      <c r="T88" s="25" t="n"/>
    </row>
    <row r="89">
      <c r="A89" s="23" t="n"/>
      <c r="B89" s="24" t="n"/>
      <c r="C89" s="24" t="n"/>
      <c r="D89" s="25" t="n"/>
      <c r="E89" s="25" t="n"/>
      <c r="F89" s="24" t="n"/>
      <c r="G89" s="26" t="n"/>
      <c r="H89" s="27">
        <f>IF(B89="","",IFERROR(G89/SUMIFS($G$6:$G$105,$C$6:$C$105,C89),""))</f>
        <v/>
      </c>
      <c r="I89" s="26" t="n"/>
      <c r="J89" s="24" t="n"/>
      <c r="K89" s="26" t="n"/>
      <c r="L89" s="28">
        <f>IF(OR(G89="",K89="",K89=0),"",G89/K89)</f>
        <v/>
      </c>
      <c r="M89" s="29">
        <f>IF(B89="","",IF(L89="","",IF(L89&gt;40000,"Revisar: CWP &gt; 40 000 HH","OK")))</f>
        <v/>
      </c>
      <c r="N89" s="30" t="n"/>
      <c r="O89" s="30" t="n"/>
      <c r="P89" s="31">
        <f>IF(OR(N89="",O89=""),"",ROUND((O89-N89)/30.4,1))</f>
        <v/>
      </c>
      <c r="Q89" s="24" t="n"/>
      <c r="R89" s="24" t="n"/>
      <c r="S89" s="24" t="n"/>
      <c r="T89" s="25" t="n"/>
    </row>
    <row r="90">
      <c r="A90" s="23" t="n"/>
      <c r="B90" s="24" t="n"/>
      <c r="C90" s="24" t="n"/>
      <c r="D90" s="25" t="n"/>
      <c r="E90" s="25" t="n"/>
      <c r="F90" s="24" t="n"/>
      <c r="G90" s="26" t="n"/>
      <c r="H90" s="27">
        <f>IF(B90="","",IFERROR(G90/SUMIFS($G$6:$G$105,$C$6:$C$105,C90),""))</f>
        <v/>
      </c>
      <c r="I90" s="26" t="n"/>
      <c r="J90" s="24" t="n"/>
      <c r="K90" s="26" t="n"/>
      <c r="L90" s="28">
        <f>IF(OR(G90="",K90="",K90=0),"",G90/K90)</f>
        <v/>
      </c>
      <c r="M90" s="29">
        <f>IF(B90="","",IF(L90="","",IF(L90&gt;40000,"Revisar: CWP &gt; 40 000 HH","OK")))</f>
        <v/>
      </c>
      <c r="N90" s="30" t="n"/>
      <c r="O90" s="30" t="n"/>
      <c r="P90" s="31">
        <f>IF(OR(N90="",O90=""),"",ROUND((O90-N90)/30.4,1))</f>
        <v/>
      </c>
      <c r="Q90" s="24" t="n"/>
      <c r="R90" s="24" t="n"/>
      <c r="S90" s="24" t="n"/>
      <c r="T90" s="25" t="n"/>
    </row>
    <row r="91">
      <c r="A91" s="23" t="n"/>
      <c r="B91" s="24" t="n"/>
      <c r="C91" s="24" t="n"/>
      <c r="D91" s="25" t="n"/>
      <c r="E91" s="25" t="n"/>
      <c r="F91" s="24" t="n"/>
      <c r="G91" s="26" t="n"/>
      <c r="H91" s="27">
        <f>IF(B91="","",IFERROR(G91/SUMIFS($G$6:$G$105,$C$6:$C$105,C91),""))</f>
        <v/>
      </c>
      <c r="I91" s="26" t="n"/>
      <c r="J91" s="24" t="n"/>
      <c r="K91" s="26" t="n"/>
      <c r="L91" s="28">
        <f>IF(OR(G91="",K91="",K91=0),"",G91/K91)</f>
        <v/>
      </c>
      <c r="M91" s="29">
        <f>IF(B91="","",IF(L91="","",IF(L91&gt;40000,"Revisar: CWP &gt; 40 000 HH","OK")))</f>
        <v/>
      </c>
      <c r="N91" s="30" t="n"/>
      <c r="O91" s="30" t="n"/>
      <c r="P91" s="31">
        <f>IF(OR(N91="",O91=""),"",ROUND((O91-N91)/30.4,1))</f>
        <v/>
      </c>
      <c r="Q91" s="24" t="n"/>
      <c r="R91" s="24" t="n"/>
      <c r="S91" s="24" t="n"/>
      <c r="T91" s="25" t="n"/>
    </row>
    <row r="92">
      <c r="A92" s="23" t="n"/>
      <c r="B92" s="24" t="n"/>
      <c r="C92" s="24" t="n"/>
      <c r="D92" s="25" t="n"/>
      <c r="E92" s="25" t="n"/>
      <c r="F92" s="24" t="n"/>
      <c r="G92" s="26" t="n"/>
      <c r="H92" s="27">
        <f>IF(B92="","",IFERROR(G92/SUMIFS($G$6:$G$105,$C$6:$C$105,C92),""))</f>
        <v/>
      </c>
      <c r="I92" s="26" t="n"/>
      <c r="J92" s="24" t="n"/>
      <c r="K92" s="26" t="n"/>
      <c r="L92" s="28">
        <f>IF(OR(G92="",K92="",K92=0),"",G92/K92)</f>
        <v/>
      </c>
      <c r="M92" s="29">
        <f>IF(B92="","",IF(L92="","",IF(L92&gt;40000,"Revisar: CWP &gt; 40 000 HH","OK")))</f>
        <v/>
      </c>
      <c r="N92" s="30" t="n"/>
      <c r="O92" s="30" t="n"/>
      <c r="P92" s="31">
        <f>IF(OR(N92="",O92=""),"",ROUND((O92-N92)/30.4,1))</f>
        <v/>
      </c>
      <c r="Q92" s="24" t="n"/>
      <c r="R92" s="24" t="n"/>
      <c r="S92" s="24" t="n"/>
      <c r="T92" s="25" t="n"/>
    </row>
    <row r="93">
      <c r="A93" s="23" t="n"/>
      <c r="B93" s="24" t="n"/>
      <c r="C93" s="24" t="n"/>
      <c r="D93" s="25" t="n"/>
      <c r="E93" s="25" t="n"/>
      <c r="F93" s="24" t="n"/>
      <c r="G93" s="26" t="n"/>
      <c r="H93" s="27">
        <f>IF(B93="","",IFERROR(G93/SUMIFS($G$6:$G$105,$C$6:$C$105,C93),""))</f>
        <v/>
      </c>
      <c r="I93" s="26" t="n"/>
      <c r="J93" s="24" t="n"/>
      <c r="K93" s="26" t="n"/>
      <c r="L93" s="28">
        <f>IF(OR(G93="",K93="",K93=0),"",G93/K93)</f>
        <v/>
      </c>
      <c r="M93" s="29">
        <f>IF(B93="","",IF(L93="","",IF(L93&gt;40000,"Revisar: CWP &gt; 40 000 HH","OK")))</f>
        <v/>
      </c>
      <c r="N93" s="30" t="n"/>
      <c r="O93" s="30" t="n"/>
      <c r="P93" s="31">
        <f>IF(OR(N93="",O93=""),"",ROUND((O93-N93)/30.4,1))</f>
        <v/>
      </c>
      <c r="Q93" s="24" t="n"/>
      <c r="R93" s="24" t="n"/>
      <c r="S93" s="24" t="n"/>
      <c r="T93" s="25" t="n"/>
    </row>
    <row r="94">
      <c r="A94" s="23" t="n"/>
      <c r="B94" s="24" t="n"/>
      <c r="C94" s="24" t="n"/>
      <c r="D94" s="25" t="n"/>
      <c r="E94" s="25" t="n"/>
      <c r="F94" s="24" t="n"/>
      <c r="G94" s="26" t="n"/>
      <c r="H94" s="27">
        <f>IF(B94="","",IFERROR(G94/SUMIFS($G$6:$G$105,$C$6:$C$105,C94),""))</f>
        <v/>
      </c>
      <c r="I94" s="26" t="n"/>
      <c r="J94" s="24" t="n"/>
      <c r="K94" s="26" t="n"/>
      <c r="L94" s="28">
        <f>IF(OR(G94="",K94="",K94=0),"",G94/K94)</f>
        <v/>
      </c>
      <c r="M94" s="29">
        <f>IF(B94="","",IF(L94="","",IF(L94&gt;40000,"Revisar: CWP &gt; 40 000 HH","OK")))</f>
        <v/>
      </c>
      <c r="N94" s="30" t="n"/>
      <c r="O94" s="30" t="n"/>
      <c r="P94" s="31">
        <f>IF(OR(N94="",O94=""),"",ROUND((O94-N94)/30.4,1))</f>
        <v/>
      </c>
      <c r="Q94" s="24" t="n"/>
      <c r="R94" s="24" t="n"/>
      <c r="S94" s="24" t="n"/>
      <c r="T94" s="25" t="n"/>
    </row>
    <row r="95">
      <c r="A95" s="23" t="n"/>
      <c r="B95" s="24" t="n"/>
      <c r="C95" s="24" t="n"/>
      <c r="D95" s="25" t="n"/>
      <c r="E95" s="25" t="n"/>
      <c r="F95" s="24" t="n"/>
      <c r="G95" s="26" t="n"/>
      <c r="H95" s="27">
        <f>IF(B95="","",IFERROR(G95/SUMIFS($G$6:$G$105,$C$6:$C$105,C95),""))</f>
        <v/>
      </c>
      <c r="I95" s="26" t="n"/>
      <c r="J95" s="24" t="n"/>
      <c r="K95" s="26" t="n"/>
      <c r="L95" s="28">
        <f>IF(OR(G95="",K95="",K95=0),"",G95/K95)</f>
        <v/>
      </c>
      <c r="M95" s="29">
        <f>IF(B95="","",IF(L95="","",IF(L95&gt;40000,"Revisar: CWP &gt; 40 000 HH","OK")))</f>
        <v/>
      </c>
      <c r="N95" s="30" t="n"/>
      <c r="O95" s="30" t="n"/>
      <c r="P95" s="31">
        <f>IF(OR(N95="",O95=""),"",ROUND((O95-N95)/30.4,1))</f>
        <v/>
      </c>
      <c r="Q95" s="24" t="n"/>
      <c r="R95" s="24" t="n"/>
      <c r="S95" s="24" t="n"/>
      <c r="T95" s="25" t="n"/>
    </row>
    <row r="96">
      <c r="A96" s="23" t="n"/>
      <c r="B96" s="24" t="n"/>
      <c r="C96" s="24" t="n"/>
      <c r="D96" s="25" t="n"/>
      <c r="E96" s="25" t="n"/>
      <c r="F96" s="24" t="n"/>
      <c r="G96" s="26" t="n"/>
      <c r="H96" s="27">
        <f>IF(B96="","",IFERROR(G96/SUMIFS($G$6:$G$105,$C$6:$C$105,C96),""))</f>
        <v/>
      </c>
      <c r="I96" s="26" t="n"/>
      <c r="J96" s="24" t="n"/>
      <c r="K96" s="26" t="n"/>
      <c r="L96" s="28">
        <f>IF(OR(G96="",K96="",K96=0),"",G96/K96)</f>
        <v/>
      </c>
      <c r="M96" s="29">
        <f>IF(B96="","",IF(L96="","",IF(L96&gt;40000,"Revisar: CWP &gt; 40 000 HH","OK")))</f>
        <v/>
      </c>
      <c r="N96" s="30" t="n"/>
      <c r="O96" s="30" t="n"/>
      <c r="P96" s="31">
        <f>IF(OR(N96="",O96=""),"",ROUND((O96-N96)/30.4,1))</f>
        <v/>
      </c>
      <c r="Q96" s="24" t="n"/>
      <c r="R96" s="24" t="n"/>
      <c r="S96" s="24" t="n"/>
      <c r="T96" s="25" t="n"/>
    </row>
    <row r="97">
      <c r="A97" s="23" t="n"/>
      <c r="B97" s="24" t="n"/>
      <c r="C97" s="24" t="n"/>
      <c r="D97" s="25" t="n"/>
      <c r="E97" s="25" t="n"/>
      <c r="F97" s="24" t="n"/>
      <c r="G97" s="26" t="n"/>
      <c r="H97" s="27">
        <f>IF(B97="","",IFERROR(G97/SUMIFS($G$6:$G$105,$C$6:$C$105,C97),""))</f>
        <v/>
      </c>
      <c r="I97" s="26" t="n"/>
      <c r="J97" s="24" t="n"/>
      <c r="K97" s="26" t="n"/>
      <c r="L97" s="28">
        <f>IF(OR(G97="",K97="",K97=0),"",G97/K97)</f>
        <v/>
      </c>
      <c r="M97" s="29">
        <f>IF(B97="","",IF(L97="","",IF(L97&gt;40000,"Revisar: CWP &gt; 40 000 HH","OK")))</f>
        <v/>
      </c>
      <c r="N97" s="30" t="n"/>
      <c r="O97" s="30" t="n"/>
      <c r="P97" s="31">
        <f>IF(OR(N97="",O97=""),"",ROUND((O97-N97)/30.4,1))</f>
        <v/>
      </c>
      <c r="Q97" s="24" t="n"/>
      <c r="R97" s="24" t="n"/>
      <c r="S97" s="24" t="n"/>
      <c r="T97" s="25" t="n"/>
    </row>
    <row r="98">
      <c r="A98" s="23" t="n"/>
      <c r="B98" s="24" t="n"/>
      <c r="C98" s="24" t="n"/>
      <c r="D98" s="25" t="n"/>
      <c r="E98" s="25" t="n"/>
      <c r="F98" s="24" t="n"/>
      <c r="G98" s="26" t="n"/>
      <c r="H98" s="27">
        <f>IF(B98="","",IFERROR(G98/SUMIFS($G$6:$G$105,$C$6:$C$105,C98),""))</f>
        <v/>
      </c>
      <c r="I98" s="26" t="n"/>
      <c r="J98" s="24" t="n"/>
      <c r="K98" s="26" t="n"/>
      <c r="L98" s="28">
        <f>IF(OR(G98="",K98="",K98=0),"",G98/K98)</f>
        <v/>
      </c>
      <c r="M98" s="29">
        <f>IF(B98="","",IF(L98="","",IF(L98&gt;40000,"Revisar: CWP &gt; 40 000 HH","OK")))</f>
        <v/>
      </c>
      <c r="N98" s="30" t="n"/>
      <c r="O98" s="30" t="n"/>
      <c r="P98" s="31">
        <f>IF(OR(N98="",O98=""),"",ROUND((O98-N98)/30.4,1))</f>
        <v/>
      </c>
      <c r="Q98" s="24" t="n"/>
      <c r="R98" s="24" t="n"/>
      <c r="S98" s="24" t="n"/>
      <c r="T98" s="25" t="n"/>
    </row>
    <row r="99">
      <c r="A99" s="23" t="n"/>
      <c r="B99" s="24" t="n"/>
      <c r="C99" s="24" t="n"/>
      <c r="D99" s="25" t="n"/>
      <c r="E99" s="25" t="n"/>
      <c r="F99" s="24" t="n"/>
      <c r="G99" s="26" t="n"/>
      <c r="H99" s="27">
        <f>IF(B99="","",IFERROR(G99/SUMIFS($G$6:$G$105,$C$6:$C$105,C99),""))</f>
        <v/>
      </c>
      <c r="I99" s="26" t="n"/>
      <c r="J99" s="24" t="n"/>
      <c r="K99" s="26" t="n"/>
      <c r="L99" s="28">
        <f>IF(OR(G99="",K99="",K99=0),"",G99/K99)</f>
        <v/>
      </c>
      <c r="M99" s="29">
        <f>IF(B99="","",IF(L99="","",IF(L99&gt;40000,"Revisar: CWP &gt; 40 000 HH","OK")))</f>
        <v/>
      </c>
      <c r="N99" s="30" t="n"/>
      <c r="O99" s="30" t="n"/>
      <c r="P99" s="31">
        <f>IF(OR(N99="",O99=""),"",ROUND((O99-N99)/30.4,1))</f>
        <v/>
      </c>
      <c r="Q99" s="24" t="n"/>
      <c r="R99" s="24" t="n"/>
      <c r="S99" s="24" t="n"/>
      <c r="T99" s="25" t="n"/>
    </row>
    <row r="100">
      <c r="A100" s="23" t="n"/>
      <c r="B100" s="24" t="n"/>
      <c r="C100" s="24" t="n"/>
      <c r="D100" s="25" t="n"/>
      <c r="E100" s="25" t="n"/>
      <c r="F100" s="24" t="n"/>
      <c r="G100" s="26" t="n"/>
      <c r="H100" s="27">
        <f>IF(B100="","",IFERROR(G100/SUMIFS($G$6:$G$105,$C$6:$C$105,C100),""))</f>
        <v/>
      </c>
      <c r="I100" s="26" t="n"/>
      <c r="J100" s="24" t="n"/>
      <c r="K100" s="26" t="n"/>
      <c r="L100" s="28">
        <f>IF(OR(G100="",K100="",K100=0),"",G100/K100)</f>
        <v/>
      </c>
      <c r="M100" s="29">
        <f>IF(B100="","",IF(L100="","",IF(L100&gt;40000,"Revisar: CWP &gt; 40 000 HH","OK")))</f>
        <v/>
      </c>
      <c r="N100" s="30" t="n"/>
      <c r="O100" s="30" t="n"/>
      <c r="P100" s="31">
        <f>IF(OR(N100="",O100=""),"",ROUND((O100-N100)/30.4,1))</f>
        <v/>
      </c>
      <c r="Q100" s="24" t="n"/>
      <c r="R100" s="24" t="n"/>
      <c r="S100" s="24" t="n"/>
      <c r="T100" s="25" t="n"/>
    </row>
    <row r="101">
      <c r="A101" s="23" t="n"/>
      <c r="B101" s="24" t="n"/>
      <c r="C101" s="24" t="n"/>
      <c r="D101" s="25" t="n"/>
      <c r="E101" s="25" t="n"/>
      <c r="F101" s="24" t="n"/>
      <c r="G101" s="26" t="n"/>
      <c r="H101" s="27">
        <f>IF(B101="","",IFERROR(G101/SUMIFS($G$6:$G$105,$C$6:$C$105,C101),""))</f>
        <v/>
      </c>
      <c r="I101" s="26" t="n"/>
      <c r="J101" s="24" t="n"/>
      <c r="K101" s="26" t="n"/>
      <c r="L101" s="28">
        <f>IF(OR(G101="",K101="",K101=0),"",G101/K101)</f>
        <v/>
      </c>
      <c r="M101" s="29">
        <f>IF(B101="","",IF(L101="","",IF(L101&gt;40000,"Revisar: CWP &gt; 40 000 HH","OK")))</f>
        <v/>
      </c>
      <c r="N101" s="30" t="n"/>
      <c r="O101" s="30" t="n"/>
      <c r="P101" s="31">
        <f>IF(OR(N101="",O101=""),"",ROUND((O101-N101)/30.4,1))</f>
        <v/>
      </c>
      <c r="Q101" s="24" t="n"/>
      <c r="R101" s="24" t="n"/>
      <c r="S101" s="24" t="n"/>
      <c r="T101" s="25" t="n"/>
    </row>
    <row r="102">
      <c r="A102" s="23" t="n"/>
      <c r="B102" s="24" t="n"/>
      <c r="C102" s="24" t="n"/>
      <c r="D102" s="25" t="n"/>
      <c r="E102" s="25" t="n"/>
      <c r="F102" s="24" t="n"/>
      <c r="G102" s="26" t="n"/>
      <c r="H102" s="27">
        <f>IF(B102="","",IFERROR(G102/SUMIFS($G$6:$G$105,$C$6:$C$105,C102),""))</f>
        <v/>
      </c>
      <c r="I102" s="26" t="n"/>
      <c r="J102" s="24" t="n"/>
      <c r="K102" s="26" t="n"/>
      <c r="L102" s="28">
        <f>IF(OR(G102="",K102="",K102=0),"",G102/K102)</f>
        <v/>
      </c>
      <c r="M102" s="29">
        <f>IF(B102="","",IF(L102="","",IF(L102&gt;40000,"Revisar: CWP &gt; 40 000 HH","OK")))</f>
        <v/>
      </c>
      <c r="N102" s="30" t="n"/>
      <c r="O102" s="30" t="n"/>
      <c r="P102" s="31">
        <f>IF(OR(N102="",O102=""),"",ROUND((O102-N102)/30.4,1))</f>
        <v/>
      </c>
      <c r="Q102" s="24" t="n"/>
      <c r="R102" s="24" t="n"/>
      <c r="S102" s="24" t="n"/>
      <c r="T102" s="25" t="n"/>
    </row>
    <row r="103">
      <c r="A103" s="23" t="n"/>
      <c r="B103" s="24" t="n"/>
      <c r="C103" s="24" t="n"/>
      <c r="D103" s="25" t="n"/>
      <c r="E103" s="25" t="n"/>
      <c r="F103" s="24" t="n"/>
      <c r="G103" s="26" t="n"/>
      <c r="H103" s="27">
        <f>IF(B103="","",IFERROR(G103/SUMIFS($G$6:$G$105,$C$6:$C$105,C103),""))</f>
        <v/>
      </c>
      <c r="I103" s="26" t="n"/>
      <c r="J103" s="24" t="n"/>
      <c r="K103" s="26" t="n"/>
      <c r="L103" s="28">
        <f>IF(OR(G103="",K103="",K103=0),"",G103/K103)</f>
        <v/>
      </c>
      <c r="M103" s="29">
        <f>IF(B103="","",IF(L103="","",IF(L103&gt;40000,"Revisar: CWP &gt; 40 000 HH","OK")))</f>
        <v/>
      </c>
      <c r="N103" s="30" t="n"/>
      <c r="O103" s="30" t="n"/>
      <c r="P103" s="31">
        <f>IF(OR(N103="",O103=""),"",ROUND((O103-N103)/30.4,1))</f>
        <v/>
      </c>
      <c r="Q103" s="24" t="n"/>
      <c r="R103" s="24" t="n"/>
      <c r="S103" s="24" t="n"/>
      <c r="T103" s="25" t="n"/>
    </row>
    <row r="104">
      <c r="A104" s="23" t="n"/>
      <c r="B104" s="24" t="n"/>
      <c r="C104" s="24" t="n"/>
      <c r="D104" s="25" t="n"/>
      <c r="E104" s="25" t="n"/>
      <c r="F104" s="24" t="n"/>
      <c r="G104" s="26" t="n"/>
      <c r="H104" s="27">
        <f>IF(B104="","",IFERROR(G104/SUMIFS($G$6:$G$105,$C$6:$C$105,C104),""))</f>
        <v/>
      </c>
      <c r="I104" s="26" t="n"/>
      <c r="J104" s="24" t="n"/>
      <c r="K104" s="26" t="n"/>
      <c r="L104" s="28">
        <f>IF(OR(G104="",K104="",K104=0),"",G104/K104)</f>
        <v/>
      </c>
      <c r="M104" s="29">
        <f>IF(B104="","",IF(L104="","",IF(L104&gt;40000,"Revisar: CWP &gt; 40 000 HH","OK")))</f>
        <v/>
      </c>
      <c r="N104" s="30" t="n"/>
      <c r="O104" s="30" t="n"/>
      <c r="P104" s="31">
        <f>IF(OR(N104="",O104=""),"",ROUND((O104-N104)/30.4,1))</f>
        <v/>
      </c>
      <c r="Q104" s="24" t="n"/>
      <c r="R104" s="24" t="n"/>
      <c r="S104" s="24" t="n"/>
      <c r="T104" s="25" t="n"/>
    </row>
    <row r="105">
      <c r="A105" s="23" t="n"/>
      <c r="B105" s="24" t="n"/>
      <c r="C105" s="24" t="n"/>
      <c r="D105" s="25" t="n"/>
      <c r="E105" s="25" t="n"/>
      <c r="F105" s="24" t="n"/>
      <c r="G105" s="26" t="n"/>
      <c r="H105" s="27">
        <f>IF(B105="","",IFERROR(G105/SUMIFS($G$6:$G$105,$C$6:$C$105,C105),""))</f>
        <v/>
      </c>
      <c r="I105" s="26" t="n"/>
      <c r="J105" s="24" t="n"/>
      <c r="K105" s="26" t="n"/>
      <c r="L105" s="28">
        <f>IF(OR(G105="",K105="",K105=0),"",G105/K105)</f>
        <v/>
      </c>
      <c r="M105" s="29">
        <f>IF(B105="","",IF(L105="","",IF(L105&gt;40000,"Revisar: CWP &gt; 40 000 HH","OK")))</f>
        <v/>
      </c>
      <c r="N105" s="30" t="n"/>
      <c r="O105" s="30" t="n"/>
      <c r="P105" s="31">
        <f>IF(OR(N105="",O105=""),"",ROUND((O105-N105)/30.4,1))</f>
        <v/>
      </c>
      <c r="Q105" s="24" t="n"/>
      <c r="R105" s="24" t="n"/>
      <c r="S105" s="24" t="n"/>
      <c r="T105" s="25" t="n"/>
    </row>
  </sheetData>
  <autoFilter ref="A5:T105"/>
  <conditionalFormatting sqref="M6:M105">
    <cfRule type="expression" priority="1" dxfId="0" stopIfTrue="1">
      <formula>LEFT($M6,7)="Revisar"</formula>
    </cfRule>
    <cfRule type="expression" priority="2" dxfId="1" stopIfTrue="1">
      <formula>$M6="OK"</formula>
    </cfRule>
  </conditionalFormatting>
  <conditionalFormatting sqref="S6:S105">
    <cfRule type="expression" priority="3" dxfId="0" stopIfTrue="1">
      <formula>$S6="No"</formula>
    </cfRule>
  </conditionalFormatting>
  <dataValidations count="4">
    <dataValidation sqref="C6:C105" showDropDown="0" showInputMessage="0" showErrorMessage="1" allowBlank="1" errorTitle="Valor no válido" error="Seleccione un valor de la lista." prompt="Seleccione fase del proyecto" type="list">
      <formula1>=Fases</formula1>
    </dataValidation>
    <dataValidation sqref="Q6:Q105" showDropDown="0" showInputMessage="0" showErrorMessage="1" allowBlank="1" errorTitle="Valor no válido" error="Seleccione un valor de la lista." prompt="Seleccione responsable (rol)" type="list">
      <formula1>=Roles</formula1>
    </dataValidation>
    <dataValidation sqref="R6:R105" showDropDown="0" showInputMessage="0" showErrorMessage="1" allowBlank="1" errorTitle="Valor no válido" error="Seleccione un valor de la lista." prompt="Seleccione estado" type="list">
      <formula1>=EstadosPaquete</formula1>
    </dataValidation>
    <dataValidation sqref="S6:S105" showDropDown="0" showInputMessage="0" showErrorMessage="1" allowBlank="1" errorTitle="Valor no válido" error="Seleccione un valor de la lista." prompt="Seleccione cumple criterios" type="list">
      <formula1>=SiNo</formula1>
    </dataValidation>
  </dataValidations>
  <printOptions horizontalCentered="1"/>
  <pageMargins left="0.4" right="0.4" top="0.6" bottom="0.6" header="0.5" footer="0.5"/>
  <pageSetup orientation="landscape" paperSize="9" fitToHeight="0" fitToWidth="1"/>
  <headerFooter>
    <oddHeader>&amp;L&amp;8 Kit de implementación AWP&amp;R&amp;8 Definición de áreas de trabajo de construcción (CWA)</oddHeader>
    <oddFooter>&amp;L&amp;8 Proyecto Tipo (PT) – Complejo de instalaciones en tres fases&amp;R&amp;8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C14"/>
  <sheetViews>
    <sheetView tabSelected="0" workbookViewId="0">
      <selection activeCell="A1" sqref="A1"/>
    </sheetView>
  </sheetViews>
  <sheetFormatPr baseColWidth="8" defaultRowHeight="15"/>
  <cols>
    <col width="6" customWidth="1" min="1" max="1"/>
    <col width="18" customWidth="1" min="2" max="2"/>
    <col width="90" customWidth="1" min="3" max="3"/>
  </cols>
  <sheetData>
    <row r="1" ht="24" customHeight="1">
      <c r="A1" s="11" t="inlineStr">
        <is>
          <t>Criterios para definir una CWA</t>
        </is>
      </c>
    </row>
    <row r="2">
      <c r="A2" s="2" t="inlineStr">
        <is>
          <t>Revise cada CWA con esta lista antes del hito H1 (CWA definidas).</t>
        </is>
      </c>
    </row>
    <row r="4">
      <c r="A4" s="6" t="inlineStr">
        <is>
          <t>N.°</t>
        </is>
      </c>
      <c r="B4" s="6" t="inlineStr">
        <is>
          <t>Criterio</t>
        </is>
      </c>
      <c r="C4" s="6" t="inlineStr">
        <is>
          <t>Descripción</t>
        </is>
      </c>
    </row>
    <row r="5">
      <c r="A5" s="32" t="n">
        <v>1</v>
      </c>
      <c r="B5" s="32" t="inlineStr">
        <is>
          <t>Límites</t>
        </is>
      </c>
      <c r="C5" s="32" t="inlineStr">
        <is>
          <t>Tiene límites físicos o lógicos claros, dibujados en un plano de CWA y sin superposición con otras CWA.</t>
        </is>
      </c>
    </row>
    <row r="6">
      <c r="A6" s="32" t="n">
        <v>2</v>
      </c>
      <c r="B6" s="32" t="inlineStr">
        <is>
          <t>Fase</t>
        </is>
      </c>
      <c r="C6" s="32" t="inlineStr">
        <is>
          <t>Pertenece a una sola fase del proyecto.</t>
        </is>
      </c>
    </row>
    <row r="7">
      <c r="A7" s="32" t="n">
        <v>3</v>
      </c>
      <c r="B7" s="32" t="inlineStr">
        <is>
          <t>Secuencia</t>
        </is>
      </c>
      <c r="C7" s="32" t="inlineStr">
        <is>
          <t>Permite construir en una secuencia lógica que termina en sistemas o áreas entregables.</t>
        </is>
      </c>
    </row>
    <row r="8">
      <c r="A8" s="32" t="n">
        <v>4</v>
      </c>
      <c r="B8" s="32" t="inlineStr">
        <is>
          <t>Tamaño</t>
        </is>
      </c>
      <c r="C8" s="32" t="inlineStr">
        <is>
          <t>Su tamaño permite dividirla en CWP de una disciplina y menos de 40 000 HH.</t>
        </is>
      </c>
    </row>
    <row r="9">
      <c r="A9" s="32" t="n">
        <v>5</v>
      </c>
      <c r="B9" s="32" t="inlineStr">
        <is>
          <t>Accesos</t>
        </is>
      </c>
      <c r="C9" s="32" t="inlineStr">
        <is>
          <t>Considera accesos, zonas de acopio, grúas y rutas de izaje.</t>
        </is>
      </c>
    </row>
    <row r="10">
      <c r="A10" s="32" t="n">
        <v>6</v>
      </c>
      <c r="B10" s="32" t="inlineStr">
        <is>
          <t>Interfaces</t>
        </is>
      </c>
      <c r="C10" s="32" t="inlineStr">
        <is>
          <t>Identifica las interfaces con CWA vecinas y con otras fases (entregas de área, conexiones).</t>
        </is>
      </c>
    </row>
    <row r="11">
      <c r="A11" s="32" t="n">
        <v>7</v>
      </c>
      <c r="B11" s="32" t="inlineStr">
        <is>
          <t>Sistemas</t>
        </is>
      </c>
      <c r="C11" s="32" t="inlineStr">
        <is>
          <t>Identifica los sistemas de comisionamiento que atraviesan la CWA.</t>
        </is>
      </c>
    </row>
    <row r="12">
      <c r="A12" s="32" t="n">
        <v>8</v>
      </c>
      <c r="B12" s="32" t="inlineStr">
        <is>
          <t>Modularización</t>
        </is>
      </c>
      <c r="C12" s="32" t="inlineStr">
        <is>
          <t>Evalúa si parte del alcance se prefabrica o modulariza.</t>
        </is>
      </c>
    </row>
    <row r="13">
      <c r="A13" s="32" t="n">
        <v>9</v>
      </c>
      <c r="B13" s="32" t="inlineStr">
        <is>
          <t>Código</t>
        </is>
      </c>
      <c r="C13" s="32" t="inlineStr">
        <is>
          <t>Tiene código único según la codificación del kit y está cargada en el modelo 3D y el cronograma.</t>
        </is>
      </c>
    </row>
    <row r="14">
      <c r="A14" s="32" t="n">
        <v>10</v>
      </c>
      <c r="B14" s="32" t="inlineStr">
        <is>
          <t>Aprobación</t>
        </is>
      </c>
      <c r="C14" s="32" t="inlineStr">
        <is>
          <t>Fue revisada por construcción, ingeniería, procura y comisionamiento y aprobada por el AWP Champion.</t>
        </is>
      </c>
    </row>
  </sheetData>
  <printOptions horizontalCentered="1"/>
  <pageMargins left="0.4" right="0.4" top="0.6" bottom="0.6" header="0.5" footer="0.5"/>
  <pageSetup orientation="landscape" paperSize="9" fitToHeight="0" fitToWidth="1"/>
  <headerFooter>
    <oddHeader>&amp;L&amp;8 Kit de implementación AWP&amp;R&amp;8 Criterios de CWA</oddHeader>
    <oddFooter>&amp;L&amp;8 Proyecto Tipo (PT) – Complejo de instalaciones en tres fases&amp;R&amp;8 Página &amp;P de &amp;N</oddFooter>
    <evenHeader/>
    <evenFooter/>
    <firstHeader/>
    <firstFooter/>
  </headerFooter>
</worksheet>
</file>

<file path=xl/worksheets/sheet4.xml><?xml version="1.0" encoding="utf-8"?>
<worksheet xmlns="http://schemas.openxmlformats.org/spreadsheetml/2006/main">
  <sheetPr>
    <tabColor rgb="007F7F7F"/>
    <outlinePr summaryBelow="1" summaryRight="1"/>
    <pageSetUpPr/>
  </sheetPr>
  <dimension ref="A1:D18"/>
  <sheetViews>
    <sheetView tabSelected="0" workbookViewId="0">
      <pane ySplit="2" topLeftCell="A3" activePane="bottomLeft" state="frozen"/>
      <selection pane="bottomLeft" activeCell="A1" sqref="A1"/>
    </sheetView>
  </sheetViews>
  <sheetFormatPr baseColWidth="8" defaultRowHeight="15"/>
  <cols>
    <col width="14" customWidth="1" min="1" max="1"/>
    <col width="15" customWidth="1" min="2" max="2"/>
    <col width="39" customWidth="1" min="3" max="3"/>
    <col width="14" customWidth="1" min="4" max="4"/>
  </cols>
  <sheetData>
    <row r="1">
      <c r="A1" s="33" t="inlineStr">
        <is>
          <t>Valores de las listas desplegables. Puede ampliarlas agregando valores al final de cada columna y ajustando el rango con nombre (Fórmulas &gt; Administrador de nombres).</t>
        </is>
      </c>
    </row>
    <row r="2">
      <c r="A2" s="34" t="inlineStr">
        <is>
          <t>Fases</t>
        </is>
      </c>
      <c r="B2" s="34" t="inlineStr">
        <is>
          <t>EstadosPaquete</t>
        </is>
      </c>
      <c r="C2" s="34" t="inlineStr">
        <is>
          <t>Roles</t>
        </is>
      </c>
      <c r="D2" s="34" t="inlineStr">
        <is>
          <t>SiNo</t>
        </is>
      </c>
    </row>
    <row r="3">
      <c r="A3" s="35" t="inlineStr">
        <is>
          <t>Fase 1</t>
        </is>
      </c>
      <c r="B3" s="35" t="inlineStr">
        <is>
          <t>Planificado</t>
        </is>
      </c>
      <c r="C3" s="35" t="inlineStr">
        <is>
          <t>Gerente del proyecto del cliente</t>
        </is>
      </c>
      <c r="D3" s="35" t="inlineStr">
        <is>
          <t>Sí</t>
        </is>
      </c>
    </row>
    <row r="4">
      <c r="A4" s="35" t="inlineStr">
        <is>
          <t>Fase 2</t>
        </is>
      </c>
      <c r="B4" s="35" t="inlineStr">
        <is>
          <t>En desarrollo</t>
        </is>
      </c>
      <c r="C4" s="35" t="inlineStr">
        <is>
          <t>Gerente de Proyecto</t>
        </is>
      </c>
      <c r="D4" s="35" t="inlineStr">
        <is>
          <t>No</t>
        </is>
      </c>
    </row>
    <row r="5">
      <c r="A5" s="35" t="inlineStr">
        <is>
          <t>Fase 3</t>
        </is>
      </c>
      <c r="B5" s="35" t="inlineStr">
        <is>
          <t>En revisión</t>
        </is>
      </c>
      <c r="C5" s="35" t="inlineStr">
        <is>
          <t>AWP Champion</t>
        </is>
      </c>
    </row>
    <row r="6">
      <c r="B6" s="35" t="inlineStr">
        <is>
          <t>Aprobado</t>
        </is>
      </c>
      <c r="C6" s="35" t="inlineStr">
        <is>
          <t>Líder de WFP</t>
        </is>
      </c>
    </row>
    <row r="7">
      <c r="B7" s="35" t="inlineStr">
        <is>
          <t>Liberado</t>
        </is>
      </c>
      <c r="C7" s="35" t="inlineStr">
        <is>
          <t>Planificador de frente de trabajo</t>
        </is>
      </c>
    </row>
    <row r="8">
      <c r="B8" s="35" t="inlineStr">
        <is>
          <t>En ejecución</t>
        </is>
      </c>
      <c r="C8" s="35" t="inlineStr">
        <is>
          <t>Líder de Ingeniería</t>
        </is>
      </c>
    </row>
    <row r="9">
      <c r="B9" s="35" t="inlineStr">
        <is>
          <t>Cerrado</t>
        </is>
      </c>
      <c r="C9" s="35" t="inlineStr">
        <is>
          <t>Líder de Procura</t>
        </is>
      </c>
    </row>
    <row r="10">
      <c r="B10" s="35" t="inlineStr">
        <is>
          <t>Suspendido</t>
        </is>
      </c>
      <c r="C10" s="35" t="inlineStr">
        <is>
          <t>Gestor de materiales</t>
        </is>
      </c>
    </row>
    <row r="11">
      <c r="C11" s="35" t="inlineStr">
        <is>
          <t>Gerente de Construcción</t>
        </is>
      </c>
    </row>
    <row r="12">
      <c r="C12" s="35" t="inlineStr">
        <is>
          <t>Superintendente / capataz general</t>
        </is>
      </c>
    </row>
    <row r="13">
      <c r="C13" s="35" t="inlineStr">
        <is>
          <t>Controles del proyecto</t>
        </is>
      </c>
    </row>
    <row r="14">
      <c r="C14" s="35" t="inlineStr">
        <is>
          <t>Coordinador de gestión de información</t>
        </is>
      </c>
    </row>
    <row r="15">
      <c r="C15" s="35" t="inlineStr">
        <is>
          <t>Líder de HSE</t>
        </is>
      </c>
    </row>
    <row r="16">
      <c r="C16" s="35" t="inlineStr">
        <is>
          <t>Líder de calidad (QA/QC)</t>
        </is>
      </c>
    </row>
    <row r="17">
      <c r="C17" s="35" t="inlineStr">
        <is>
          <t>Líder de comisionamiento</t>
        </is>
      </c>
    </row>
    <row r="18">
      <c r="C18" s="35" t="inlineStr">
        <is>
          <t>Subcontratista de especialidad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Kit de implementación AWP</dc:creator>
  <dc:title xmlns:dc="http://purl.org/dc/elements/1.1/">Definición de CWA</dc:title>
  <dc:subject xmlns:dc="http://purl.org/dc/elements/1.1/">Proyecto Tipo (PT) – Complejo de instalaciones en tres fases</dc:subject>
  <dcterms:created xmlns:dcterms="http://purl.org/dc/terms/" xmlns:xsi="http://www.w3.org/2001/XMLSchema-instance" xsi:type="dcterms:W3CDTF">2026-09-25T03:31:52Z</dcterms:created>
  <dcterms:modified xmlns:dcterms="http://purl.org/dc/terms/" xmlns:xsi="http://www.w3.org/2001/XMLSchema-instance" xsi:type="dcterms:W3CDTF">2026-09-25T03:31:52Z</dcterms:modified>
</cp:coreProperties>
</file>