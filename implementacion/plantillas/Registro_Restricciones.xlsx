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gistro" sheetId="2" state="visible" r:id="rId2"/>
    <sheet xmlns:r="http://schemas.openxmlformats.org/officeDocument/2006/relationships" name="Resumen" sheetId="3" state="visible" r:id="rId3"/>
    <sheet xmlns:r="http://schemas.openxmlformats.org/officeDocument/2006/relationships" name="Listas" sheetId="4" state="visible" r:id="rId4"/>
  </sheets>
  <definedNames>
    <definedName name="Fases">Listas!$A$3:$A$5</definedName>
    <definedName name="TiposRestriccion">Listas!$B$3:$B$14</definedName>
    <definedName name="EstadosRestriccion">Listas!$C$3:$C$6</definedName>
    <definedName name="Roles">Listas!$D$3:$D$18</definedName>
    <definedName name="_xlnm.Print_Area" localSheetId="0">'Instrucciones'!$A$1:$C$31</definedName>
    <definedName name="_xlnm._FilterDatabase" localSheetId="1" hidden="1">'Registro'!$A$5:$P$305</definedName>
    <definedName name="_xlnm.Print_Titles" localSheetId="1">'Registro'!$5:$5</definedName>
    <definedName name="_xlnm.Print_Area" localSheetId="1">'Registro'!$A$1:$P$55</definedName>
    <definedName name="_xlnm.Print_Area" localSheetId="2">'Resumen'!$A$1:$J$26</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3">
    <font>
      <name val="Calibri"/>
      <family val="2"/>
      <color theme="1"/>
      <sz val="11"/>
      <scheme val="minor"/>
    </font>
    <font>
      <name val="Calibri"/>
      <b val="1"/>
      <color rgb="001F3864"/>
      <sz val="15"/>
    </font>
    <font>
      <name val="Calibri"/>
      <i val="1"/>
      <color rgb="00595959"/>
      <sz val="10"/>
    </font>
    <font>
      <name val="Calibri"/>
      <b val="1"/>
      <sz val="10"/>
    </font>
    <font>
      <name val="Calibri"/>
      <b val="1"/>
      <color rgb="00FFFFFF"/>
      <sz val="10"/>
    </font>
    <font>
      <name val="Calibri"/>
      <color rgb="00000000"/>
      <sz val="10"/>
    </font>
    <font>
      <name val="Calibri"/>
      <color rgb="00404040"/>
      <sz val="10"/>
    </font>
    <font>
      <name val="Calibri"/>
      <b val="1"/>
      <color rgb="001F3864"/>
      <sz val="12"/>
    </font>
    <font>
      <name val="Calibri"/>
      <sz val="10"/>
    </font>
    <font>
      <name val="Calibri"/>
      <b val="1"/>
      <color rgb="001F3864"/>
      <sz val="16"/>
    </font>
    <font>
      <name val="Calibri"/>
      <b val="1"/>
      <color rgb="001F3864"/>
      <sz val="11"/>
    </font>
    <font>
      <name val="Calibri"/>
      <b val="1"/>
      <color rgb="00FFFFFF"/>
    </font>
    <font>
      <name val="Calibri"/>
      <i val="1"/>
      <sz val="9"/>
    </font>
  </fonts>
  <fills count="7">
    <fill>
      <patternFill/>
    </fill>
    <fill>
      <patternFill patternType="gray125"/>
    </fill>
    <fill>
      <patternFill patternType="solid">
        <fgColor rgb="00DCE6F2"/>
        <bgColor rgb="00DCE6F2"/>
      </patternFill>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9" fillId="0" borderId="0" pivotButton="0" quotePrefix="0" xfId="0"/>
    <xf numFmtId="0" fontId="2" fillId="0" borderId="0" pivotButton="0" quotePrefix="0" xfId="0"/>
    <xf numFmtId="0" fontId="10" fillId="0" borderId="0" applyAlignment="1" pivotButton="0" quotePrefix="0" xfId="0">
      <alignment vertical="top"/>
    </xf>
    <xf numFmtId="0" fontId="8" fillId="0" borderId="0" applyAlignment="1" pivotButton="0" quotePrefix="0" xfId="0">
      <alignment vertical="top" wrapText="1"/>
    </xf>
    <xf numFmtId="0" fontId="7" fillId="0" borderId="0" pivotButton="0" quotePrefix="0" xfId="0"/>
    <xf numFmtId="0" fontId="11" fillId="3" borderId="1" pivotButton="0" quotePrefix="0" xfId="0"/>
    <xf numFmtId="0" fontId="3" fillId="0" borderId="1" applyAlignment="1" pivotButton="0" quotePrefix="0" xfId="0">
      <alignment vertical="top" wrapText="1"/>
    </xf>
    <xf numFmtId="0" fontId="8" fillId="0" borderId="1" applyAlignment="1" pivotButton="0" quotePrefix="0" xfId="0">
      <alignment vertical="top" wrapText="1"/>
    </xf>
    <xf numFmtId="0" fontId="3" fillId="6" borderId="1" applyAlignment="1" pivotButton="0" quotePrefix="0" xfId="0">
      <alignment vertical="top" wrapText="1"/>
    </xf>
    <xf numFmtId="0" fontId="8" fillId="6" borderId="1" applyAlignment="1" pivotButton="0" quotePrefix="0" xfId="0">
      <alignment vertical="top" wrapText="1"/>
    </xf>
    <xf numFmtId="0" fontId="1" fillId="0" borderId="0" pivotButton="0" quotePrefix="0" xfId="0"/>
    <xf numFmtId="0" fontId="3" fillId="0" borderId="0" applyAlignment="1" pivotButton="0" quotePrefix="0" xfId="0">
      <alignment horizontal="right"/>
    </xf>
    <xf numFmtId="165" fontId="3" fillId="2" borderId="1"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top"/>
    </xf>
    <xf numFmtId="0" fontId="5" fillId="5" borderId="1" applyAlignment="1" pivotButton="0" quotePrefix="0" xfId="0">
      <alignment vertical="top"/>
    </xf>
    <xf numFmtId="0" fontId="5" fillId="5" borderId="1" applyAlignment="1" pivotButton="0" quotePrefix="0" xfId="0">
      <alignment vertical="top" wrapText="1"/>
    </xf>
    <xf numFmtId="165" fontId="5" fillId="5" borderId="1" applyAlignment="1" pivotButton="0" quotePrefix="0" xfId="0">
      <alignment horizontal="center" vertical="top"/>
    </xf>
    <xf numFmtId="3" fontId="6" fillId="5" borderId="1" applyAlignment="1" pivotButton="0" quotePrefix="0" xfId="0">
      <alignment vertical="top"/>
    </xf>
    <xf numFmtId="0" fontId="6" fillId="5"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xf>
    <xf numFmtId="0" fontId="5" fillId="0" borderId="1" applyAlignment="1" pivotButton="0" quotePrefix="0" xfId="0">
      <alignment vertical="top" wrapText="1"/>
    </xf>
    <xf numFmtId="165" fontId="5" fillId="0" borderId="1" applyAlignment="1" pivotButton="0" quotePrefix="0" xfId="0">
      <alignment horizontal="center" vertical="top"/>
    </xf>
    <xf numFmtId="3" fontId="6" fillId="6" borderId="1" applyAlignment="1" pivotButton="0" quotePrefix="0" xfId="0">
      <alignment vertical="top"/>
    </xf>
    <xf numFmtId="0" fontId="6" fillId="6" borderId="1" applyAlignment="1" pivotButton="0" quotePrefix="0" xfId="0">
      <alignment vertical="top"/>
    </xf>
    <xf numFmtId="0" fontId="3" fillId="2" borderId="1" pivotButton="0" quotePrefix="0" xfId="0"/>
    <xf numFmtId="1" fontId="8" fillId="0" borderId="1" applyAlignment="1" pivotButton="0" quotePrefix="0" xfId="0">
      <alignment horizontal="center"/>
    </xf>
    <xf numFmtId="166" fontId="8" fillId="0" borderId="1" applyAlignment="1" pivotButton="0" quotePrefix="0" xfId="0">
      <alignment horizontal="center"/>
    </xf>
    <xf numFmtId="9" fontId="8" fillId="0" borderId="1" applyAlignment="1" pivotButton="0" quotePrefix="0" xfId="0">
      <alignment horizontal="center"/>
    </xf>
    <xf numFmtId="0" fontId="12" fillId="0" borderId="0" pivotButton="0" quotePrefix="0" xfId="0"/>
    <xf numFmtId="0" fontId="11" fillId="3" borderId="0" pivotButton="0" quotePrefix="0" xfId="0"/>
    <xf numFmtId="0" fontId="8" fillId="0" borderId="0" pivotButton="0" quotePrefix="0" xfId="0"/>
  </cellXfs>
  <cellStyles count="1">
    <cellStyle name="Normal" xfId="0" builtinId="0" hidden="0"/>
  </cellStyles>
  <dxfs count="3">
    <dxf>
      <font>
        <color rgb="009C0006"/>
      </font>
      <fill>
        <patternFill patternType="solid">
          <fgColor rgb="00F8CBAD"/>
          <bgColor rgb="00F8CBAD"/>
        </patternFill>
      </fill>
    </dxf>
    <dxf>
      <fill>
        <patternFill patternType="solid">
          <fgColor rgb="00FFE699"/>
          <bgColor rgb="00FFE699"/>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29"/>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Registro de restricciones</t>
        </is>
      </c>
    </row>
    <row r="2">
      <c r="A2" s="2" t="inlineStr">
        <is>
          <t>Kit de implementación AWP · Proyecto Tipo (PT) – Complejo de instalaciones en tres fases</t>
        </is>
      </c>
    </row>
    <row r="4" ht="56" customHeight="1">
      <c r="A4" s="3" t="inlineStr">
        <is>
          <t>Propósito</t>
        </is>
      </c>
      <c r="B4" s="4" t="inlineStr">
        <is>
          <t>Registrar en una sola lista todas las restricciones que impiden liberar un IWP o iniciar un CWP, con su responsable y fecha requerida, para levantarlas antes de que el trabajo llegue a campo. Es la herramienta central de la «regla de oro» de WFP: ningún IWP se libera con restricciones abiertas.</t>
        </is>
      </c>
    </row>
    <row r="5" ht="28" customHeight="1">
      <c r="A5" s="3" t="inlineStr">
        <is>
          <t>Cuándo se usa</t>
        </is>
      </c>
      <c r="B5" s="4" t="inlineStr">
        <is>
          <t>Cada semana, desde que el IWP entra a la ventana de planificación (8 a 12 semanas antes de su ejecución según la fase) hasta que se libera. Se revisa en la reunión semanal de restricciones.</t>
        </is>
      </c>
    </row>
    <row r="6" ht="42" customHeight="1">
      <c r="A6" s="3" t="inlineStr">
        <is>
          <t>Quién la llena</t>
        </is>
      </c>
      <c r="B6" s="4" t="inlineStr">
        <is>
          <t>Los planificadores de frente de trabajo registran las restricciones; cada responsable actualiza el estado y la fecha de liberación; el Líder de WFP consolida y revisa la calidad del registro.</t>
        </is>
      </c>
    </row>
    <row r="7" ht="182" customHeight="1">
      <c r="A7" s="3" t="inlineStr">
        <is>
          <t>Cómo llenarla</t>
        </is>
      </c>
      <c r="B7" s="4" t="inlineStr">
        <is>
          <t>1. Actualice la fecha de corte (celda B3) con la fecha del reporte. Para que se actualice sola, escriba =HOY().
2. Borre las filas de ejemplo (amarillas) antes de usar la plantilla en un proyecto real.
3. Registre una fila por restricción. Use los códigos de CWP e IWP de la plantilla Seguimiento_Paquetes.
4. Elija fase, tipo, responsable y estado de las listas desplegables.
5. Fije la fecha requerida según los plazos de la fase (ver Programa_Liberacion_IWP).
6. Cuando la restricción se resuelva, cambie el estado a «Liberada» y anote la fecha de liberación y la evidencia en observaciones.
7. No escriba en las columnas calculadas (encabezado azul medio y celdas grises).
8. Use los filtros del encabezado para preparar la reunión semanal (por ejemplo, Situación = Vencida o Por vencer).
9. Revise la hoja «Resumen» para el reporte semanal por fase.</t>
        </is>
      </c>
    </row>
    <row r="8" ht="42" customHeight="1">
      <c r="A8" s="3" t="inlineStr">
        <is>
          <t>Colores</t>
        </is>
      </c>
      <c r="B8"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9" ht="42" customHeight="1">
      <c r="A9" s="3" t="inlineStr">
        <is>
          <t>Impresión</t>
        </is>
      </c>
      <c r="B9"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0" ht="28" customHeight="1">
      <c r="A10" s="3" t="inlineStr">
        <is>
          <t>Formato condicional</t>
        </is>
      </c>
      <c r="B10" s="4" t="inlineStr">
        <is>
          <t>Fila en rojo: restricción vencida (no liberada y con fecha requerida anterior a la fecha de corte). Fila en ámbar: vence en 7 días o menos. Situación en verde: liberada.</t>
        </is>
      </c>
    </row>
    <row r="12">
      <c r="A12" s="5" t="inlineStr">
        <is>
          <t>Columnas de la hoja «Registro»</t>
        </is>
      </c>
    </row>
    <row r="13">
      <c r="A13" s="6" t="inlineStr">
        <is>
          <t>Columna</t>
        </is>
      </c>
      <c r="B13" s="6" t="inlineStr">
        <is>
          <t>Significado</t>
        </is>
      </c>
      <c r="C13" s="6" t="inlineStr">
        <is>
          <t>Tipo de dato</t>
        </is>
      </c>
    </row>
    <row r="14" ht="15" customHeight="1">
      <c r="A14" s="7" t="inlineStr">
        <is>
          <t>Ejemplo</t>
        </is>
      </c>
      <c r="B14" s="8" t="inlineStr">
        <is>
          <t>Contiene «EJEMPLO» en las filas de ejemplo. Déjela vacía en las filas reales.</t>
        </is>
      </c>
      <c r="C14" s="8" t="inlineStr">
        <is>
          <t>Manual</t>
        </is>
      </c>
    </row>
    <row r="15" ht="28" customHeight="1">
      <c r="A15" s="7" t="inlineStr">
        <is>
          <t>ID</t>
        </is>
      </c>
      <c r="B15" s="8" t="inlineStr">
        <is>
          <t>Identificador único: R-0001, R-0002… No se reutiliza aunque la restricción se cancele.</t>
        </is>
      </c>
      <c r="C15" s="8" t="inlineStr">
        <is>
          <t>Manual</t>
        </is>
      </c>
    </row>
    <row r="16" ht="15" customHeight="1">
      <c r="A16" s="7" t="inlineStr">
        <is>
          <t>Fase del proyecto</t>
        </is>
      </c>
      <c r="B16" s="8" t="inlineStr">
        <is>
          <t>Fase del proyecto a la que pertenece el IWP o CWP afectado.</t>
        </is>
      </c>
      <c r="C16" s="8" t="inlineStr">
        <is>
          <t>Lista</t>
        </is>
      </c>
    </row>
    <row r="17" ht="15" customHeight="1">
      <c r="A17" s="7" t="inlineStr">
        <is>
          <t>CWP relacionado</t>
        </is>
      </c>
      <c r="B17" s="8" t="inlineStr">
        <is>
          <t>Código del CWP (formato CWP-&lt;fase&gt;.&lt;nn&gt;-&lt;disciplina&gt;-&lt;nn&gt;).</t>
        </is>
      </c>
      <c r="C17" s="8" t="inlineStr">
        <is>
          <t>Manual</t>
        </is>
      </c>
    </row>
    <row r="18" ht="28" customHeight="1">
      <c r="A18" s="7" t="inlineStr">
        <is>
          <t>IWP relacionado</t>
        </is>
      </c>
      <c r="B18" s="8" t="inlineStr">
        <is>
          <t>Código del IWP afectado (formato IWP-&lt;fase&gt;.&lt;nn&gt;-&lt;disciplina&gt;-&lt;nn&gt;-&lt;nnn&gt;). Vacío si la restricción afecta a todo el CWP.</t>
        </is>
      </c>
      <c r="C18" s="8" t="inlineStr">
        <is>
          <t>Manual</t>
        </is>
      </c>
    </row>
    <row r="19" ht="15" customHeight="1">
      <c r="A19" s="7" t="inlineStr">
        <is>
          <t>Tipo de restricción</t>
        </is>
      </c>
      <c r="B19" s="8" t="inlineStr">
        <is>
          <t>Categoría de la restricción (lista común del kit).</t>
        </is>
      </c>
      <c r="C19" s="8" t="inlineStr">
        <is>
          <t>Lista</t>
        </is>
      </c>
    </row>
    <row r="20" ht="15" customHeight="1">
      <c r="A20" s="7" t="inlineStr">
        <is>
          <t>Descripción</t>
        </is>
      </c>
      <c r="B20" s="8" t="inlineStr">
        <is>
          <t>Qué falta exactamente para poder ejecutar el trabajo. Debe ser verificable.</t>
        </is>
      </c>
      <c r="C20" s="8" t="inlineStr">
        <is>
          <t>Manual</t>
        </is>
      </c>
    </row>
    <row r="21" ht="15" customHeight="1">
      <c r="A21" s="7" t="inlineStr">
        <is>
          <t>Responsable (rol)</t>
        </is>
      </c>
      <c r="B21" s="8" t="inlineStr">
        <is>
          <t>Rol responsable de levantar la restricción.</t>
        </is>
      </c>
      <c r="C21" s="8" t="inlineStr">
        <is>
          <t>Lista</t>
        </is>
      </c>
    </row>
    <row r="22" ht="15" customHeight="1">
      <c r="A22" s="7" t="inlineStr">
        <is>
          <t>Nombre del responsable</t>
        </is>
      </c>
      <c r="B22" s="8" t="inlineStr">
        <is>
          <t>Persona concreta que levantará la restricción.</t>
        </is>
      </c>
      <c r="C22" s="8" t="inlineStr">
        <is>
          <t>Manual</t>
        </is>
      </c>
    </row>
    <row r="23" ht="15" customHeight="1">
      <c r="A23" s="7" t="inlineStr">
        <is>
          <t>Fecha identificada</t>
        </is>
      </c>
      <c r="B23" s="8" t="inlineStr">
        <is>
          <t>Fecha en que el planificador registró la restricción.</t>
        </is>
      </c>
      <c r="C23" s="8" t="inlineStr">
        <is>
          <t>Manual</t>
        </is>
      </c>
    </row>
    <row r="24" ht="15" customHeight="1">
      <c r="A24" s="7" t="inlineStr">
        <is>
          <t>Fecha requerida</t>
        </is>
      </c>
      <c r="B24" s="8" t="inlineStr">
        <is>
          <t>Fecha límite para liberar la restricción sin afectar la liberación del IWP.</t>
        </is>
      </c>
      <c r="C24" s="8" t="inlineStr">
        <is>
          <t>Manual</t>
        </is>
      </c>
    </row>
    <row r="25" ht="15" customHeight="1">
      <c r="A25" s="7" t="inlineStr">
        <is>
          <t>Fecha de liberación</t>
        </is>
      </c>
      <c r="B25" s="8" t="inlineStr">
        <is>
          <t>Fecha real en que se verificó la liberación. Solo si el estado es «Liberada».</t>
        </is>
      </c>
      <c r="C25" s="8" t="inlineStr">
        <is>
          <t>Manual</t>
        </is>
      </c>
    </row>
    <row r="26" ht="28" customHeight="1">
      <c r="A26" s="7" t="inlineStr">
        <is>
          <t>Estado</t>
        </is>
      </c>
      <c r="B26" s="8" t="inlineStr">
        <is>
          <t>Abierta: registrada sin gestión. En gestión: con responsable trabajando en ella. Liberada: resuelta y verificada. Cancelada: ya no aplica.</t>
        </is>
      </c>
      <c r="C26" s="8" t="inlineStr">
        <is>
          <t>Lista</t>
        </is>
      </c>
    </row>
    <row r="27" ht="42" customHeight="1">
      <c r="A27" s="9" t="inlineStr">
        <is>
          <t>Días de atraso</t>
        </is>
      </c>
      <c r="B27" s="10" t="inlineStr">
        <is>
          <t>Calculado. Abiertas/en gestión: días desde la fecha requerida hasta la fecha de corte. Liberadas: días entre la fecha requerida y la de liberación. 0 si no hay atraso.</t>
        </is>
      </c>
      <c r="C27" s="10" t="inlineStr">
        <is>
          <t>Calculado</t>
        </is>
      </c>
    </row>
    <row r="28" ht="28" customHeight="1">
      <c r="A28" s="9" t="inlineStr">
        <is>
          <t>Situación</t>
        </is>
      </c>
      <c r="B28" s="10" t="inlineStr">
        <is>
          <t>Calculado: Vencida, Por vencer (≤ 7 días), En plazo, Liberada a tiempo, Liberada con atraso o Cancelada.</t>
        </is>
      </c>
      <c r="C28" s="10" t="inlineStr">
        <is>
          <t>Calculado</t>
        </is>
      </c>
    </row>
    <row r="29" ht="15" customHeight="1">
      <c r="A29" s="7" t="inlineStr">
        <is>
          <t>Observaciones</t>
        </is>
      </c>
      <c r="B29" s="8" t="inlineStr">
        <is>
          <t>Comentarios, escalamientos, evidencia de liberación.</t>
        </is>
      </c>
      <c r="C29" s="8" t="inlineStr">
        <is>
          <t>Manual</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Registro de restricciones</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P305"/>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11" customWidth="1" min="3" max="3"/>
    <col width="17" customWidth="1" min="4" max="4"/>
    <col width="21" customWidth="1" min="5" max="5"/>
    <col width="18" customWidth="1" min="6" max="6"/>
    <col width="40" customWidth="1" min="7" max="7"/>
    <col width="22" customWidth="1" min="8" max="8"/>
    <col width="16" customWidth="1" min="9" max="9"/>
    <col width="12" customWidth="1" min="10" max="10"/>
    <col width="12" customWidth="1" min="11" max="11"/>
    <col width="12" customWidth="1" min="12" max="12"/>
    <col width="12" customWidth="1" min="13" max="13"/>
    <col width="10" customWidth="1" min="14" max="14"/>
    <col width="17" customWidth="1" min="15" max="15"/>
    <col width="34" customWidth="1" min="16" max="16"/>
  </cols>
  <sheetData>
    <row r="1" ht="24" customHeight="1">
      <c r="A1" s="11" t="inlineStr">
        <is>
          <t>Registro de restricciones</t>
        </is>
      </c>
    </row>
    <row r="2">
      <c r="A2" s="2" t="inlineStr">
        <is>
          <t>Proyecto Tipo (PT) – Complejo de instalaciones en tres fases. Las filas en amarillo marcadas «EJEMPLO» son de ejemplo: bórrelas o reemplácelas.</t>
        </is>
      </c>
    </row>
    <row r="3">
      <c r="A3" s="12" t="inlineStr">
        <is>
          <t>Fecha de corte:</t>
        </is>
      </c>
      <c r="B3" s="13" t="n">
        <v>46919</v>
      </c>
    </row>
    <row r="5" ht="42" customHeight="1">
      <c r="A5" s="14" t="inlineStr">
        <is>
          <t>Ejemplo</t>
        </is>
      </c>
      <c r="B5" s="14" t="inlineStr">
        <is>
          <t>ID</t>
        </is>
      </c>
      <c r="C5" s="14" t="inlineStr">
        <is>
          <t>Fase del proyecto</t>
        </is>
      </c>
      <c r="D5" s="14" t="inlineStr">
        <is>
          <t>CWP relacionado</t>
        </is>
      </c>
      <c r="E5" s="14" t="inlineStr">
        <is>
          <t>IWP relacionado</t>
        </is>
      </c>
      <c r="F5" s="14" t="inlineStr">
        <is>
          <t>Tipo de restricción</t>
        </is>
      </c>
      <c r="G5" s="14" t="inlineStr">
        <is>
          <t>Descripción</t>
        </is>
      </c>
      <c r="H5" s="14" t="inlineStr">
        <is>
          <t>Responsable (rol)</t>
        </is>
      </c>
      <c r="I5" s="14" t="inlineStr">
        <is>
          <t>Nombre del responsable</t>
        </is>
      </c>
      <c r="J5" s="14" t="inlineStr">
        <is>
          <t>Fecha identificada</t>
        </is>
      </c>
      <c r="K5" s="14" t="inlineStr">
        <is>
          <t>Fecha requerida</t>
        </is>
      </c>
      <c r="L5" s="14" t="inlineStr">
        <is>
          <t>Fecha de liberación</t>
        </is>
      </c>
      <c r="M5" s="14" t="inlineStr">
        <is>
          <t>Estado</t>
        </is>
      </c>
      <c r="N5" s="15" t="inlineStr">
        <is>
          <t>Días de atraso</t>
        </is>
      </c>
      <c r="O5" s="15" t="inlineStr">
        <is>
          <t>Situación</t>
        </is>
      </c>
      <c r="P5" s="14" t="inlineStr">
        <is>
          <t>Observaciones</t>
        </is>
      </c>
    </row>
    <row r="6">
      <c r="A6" s="16" t="inlineStr">
        <is>
          <t>EJEMPLO</t>
        </is>
      </c>
      <c r="B6" s="17" t="inlineStr">
        <is>
          <t>R-0001</t>
        </is>
      </c>
      <c r="C6" s="17" t="inlineStr">
        <is>
          <t>Fase 1</t>
        </is>
      </c>
      <c r="D6" s="17" t="inlineStr">
        <is>
          <t>CWP-1.01-CIV-01</t>
        </is>
      </c>
      <c r="E6" s="17" t="inlineStr">
        <is>
          <t>IWP-1.01-CIV-01-001</t>
        </is>
      </c>
      <c r="F6" s="17" t="inlineStr">
        <is>
          <t>Permisos</t>
        </is>
      </c>
      <c r="G6" s="18" t="inlineStr">
        <is>
          <t>Permiso de excavación de la plataforma norte</t>
        </is>
      </c>
      <c r="H6" s="17" t="inlineStr">
        <is>
          <t>Líder de HSE</t>
        </is>
      </c>
      <c r="I6" s="17" t="inlineStr">
        <is>
          <t>(nombre)</t>
        </is>
      </c>
      <c r="J6" s="19" t="n">
        <v>46517</v>
      </c>
      <c r="K6" s="19" t="n">
        <v>46538</v>
      </c>
      <c r="L6" s="19" t="n">
        <v>46545</v>
      </c>
      <c r="M6" s="17" t="inlineStr">
        <is>
          <t>Liberada</t>
        </is>
      </c>
      <c r="N6" s="20">
        <f>IF(OR(B6="",K6=""),"",IF(M6="Cancelada",0,IF(M6="Liberada",IF(L6="",0,MAX(0,L6-K6)),MAX(0,$B$3-K6))))</f>
        <v/>
      </c>
      <c r="O6" s="21">
        <f>IF(B6="","",IF(M6="Cancelada","Cancelada",IF(M6="Liberada",IF(N6&gt;0,"Liberada con atraso","Liberada a tiempo"),IF(K6="","Sin fecha requerida",IF($B$3&gt;K6,"Vencida",IF(K6-$B$3&lt;=7,"Por vencer","En plazo"))))))</f>
        <v/>
      </c>
      <c r="P6" s="18" t="inlineStr">
        <is>
          <t>Se identificó tarde; ver lección LA-03.</t>
        </is>
      </c>
    </row>
    <row r="7">
      <c r="A7" s="16" t="inlineStr">
        <is>
          <t>EJEMPLO</t>
        </is>
      </c>
      <c r="B7" s="17" t="inlineStr">
        <is>
          <t>R-0002</t>
        </is>
      </c>
      <c r="C7" s="17" t="inlineStr">
        <is>
          <t>Fase 1</t>
        </is>
      </c>
      <c r="D7" s="17" t="inlineStr">
        <is>
          <t>CWP-1.02-TUB-01</t>
        </is>
      </c>
      <c r="E7" s="17" t="inlineStr">
        <is>
          <t>IWP-1.02-TUB-01-001</t>
        </is>
      </c>
      <c r="F7" s="17" t="inlineStr">
        <is>
          <t>Materiales</t>
        </is>
      </c>
      <c r="G7" s="18" t="inlineStr">
        <is>
          <t>Tubería HDPE DN200 del tramo T1 no recibida</t>
        </is>
      </c>
      <c r="H7" s="17" t="inlineStr">
        <is>
          <t>Líder de Procura</t>
        </is>
      </c>
      <c r="I7" s="17" t="inlineStr">
        <is>
          <t>(nombre)</t>
        </is>
      </c>
      <c r="J7" s="19" t="n">
        <v>46573</v>
      </c>
      <c r="K7" s="19" t="n">
        <v>46587</v>
      </c>
      <c r="L7" s="19" t="n">
        <v>46584</v>
      </c>
      <c r="M7" s="17" t="inlineStr">
        <is>
          <t>Liberada</t>
        </is>
      </c>
      <c r="N7" s="20">
        <f>IF(OR(B7="",K7=""),"",IF(M7="Cancelada",0,IF(M7="Liberada",IF(L7="",0,MAX(0,L7-K7)),MAX(0,$B$3-K7))))</f>
        <v/>
      </c>
      <c r="O7" s="21">
        <f>IF(B7="","",IF(M7="Cancelada","Cancelada",IF(M7="Liberada",IF(N7&gt;0,"Liberada con atraso","Liberada a tiempo"),IF(K7="","Sin fecha requerida",IF($B$3&gt;K7,"Vencida",IF(K7-$B$3&lt;=7,"Por vencer","En plazo"))))))</f>
        <v/>
      </c>
      <c r="P7" s="18" t="inlineStr"/>
    </row>
    <row r="8">
      <c r="A8" s="16" t="inlineStr">
        <is>
          <t>EJEMPLO</t>
        </is>
      </c>
      <c r="B8" s="17" t="inlineStr">
        <is>
          <t>R-0003</t>
        </is>
      </c>
      <c r="C8" s="17" t="inlineStr">
        <is>
          <t>Fase 1</t>
        </is>
      </c>
      <c r="D8" s="17" t="inlineStr">
        <is>
          <t>CWP-1.02-ELE-01</t>
        </is>
      </c>
      <c r="E8" s="17" t="inlineStr">
        <is>
          <t>IWP-1.02-ELE-01-001</t>
        </is>
      </c>
      <c r="F8" s="17" t="inlineStr">
        <is>
          <t>Trabajos predecesores</t>
        </is>
      </c>
      <c r="G8" s="18" t="inlineStr">
        <is>
          <t>Excavación de zanja para bancos BD-01 a BD-04 no terminada</t>
        </is>
      </c>
      <c r="H8" s="17" t="inlineStr">
        <is>
          <t>Superintendente / capataz general</t>
        </is>
      </c>
      <c r="I8" s="17" t="inlineStr">
        <is>
          <t>(nombre)</t>
        </is>
      </c>
      <c r="J8" s="19" t="n">
        <v>46587</v>
      </c>
      <c r="K8" s="19" t="n">
        <v>46608</v>
      </c>
      <c r="L8" s="19" t="n">
        <v>46605</v>
      </c>
      <c r="M8" s="17" t="inlineStr">
        <is>
          <t>Liberada</t>
        </is>
      </c>
      <c r="N8" s="20">
        <f>IF(OR(B8="",K8=""),"",IF(M8="Cancelada",0,IF(M8="Liberada",IF(L8="",0,MAX(0,L8-K8)),MAX(0,$B$3-K8))))</f>
        <v/>
      </c>
      <c r="O8" s="21">
        <f>IF(B8="","",IF(M8="Cancelada","Cancelada",IF(M8="Liberada",IF(N8&gt;0,"Liberada con atraso","Liberada a tiempo"),IF(K8="","Sin fecha requerida",IF($B$3&gt;K8,"Vencida",IF(K8-$B$3&lt;=7,"Por vencer","En plazo"))))))</f>
        <v/>
      </c>
      <c r="P8" s="18" t="inlineStr"/>
    </row>
    <row r="9">
      <c r="A9" s="16" t="inlineStr">
        <is>
          <t>EJEMPLO</t>
        </is>
      </c>
      <c r="B9" s="17" t="inlineStr">
        <is>
          <t>R-0004</t>
        </is>
      </c>
      <c r="C9" s="17" t="inlineStr">
        <is>
          <t>Fase 2</t>
        </is>
      </c>
      <c r="D9" s="17" t="inlineStr">
        <is>
          <t>CWP-2.01-CIV-01</t>
        </is>
      </c>
      <c r="E9" s="17" t="inlineStr">
        <is>
          <t>IWP-2.01-CIV-01-001</t>
        </is>
      </c>
      <c r="F9" s="17" t="inlineStr">
        <is>
          <t>Ingeniería</t>
        </is>
      </c>
      <c r="G9" s="18" t="inlineStr">
        <is>
          <t>RFI-045: detalle de pernos de anclaje de columnas A1–A4</t>
        </is>
      </c>
      <c r="H9" s="17" t="inlineStr">
        <is>
          <t>Líder de Ingeniería</t>
        </is>
      </c>
      <c r="I9" s="17" t="inlineStr">
        <is>
          <t>(nombre)</t>
        </is>
      </c>
      <c r="J9" s="19" t="n">
        <v>46727</v>
      </c>
      <c r="K9" s="19" t="n">
        <v>46769</v>
      </c>
      <c r="L9" s="19" t="n">
        <v>46776</v>
      </c>
      <c r="M9" s="17" t="inlineStr">
        <is>
          <t>Liberada</t>
        </is>
      </c>
      <c r="N9" s="20">
        <f>IF(OR(B9="",K9=""),"",IF(M9="Cancelada",0,IF(M9="Liberada",IF(L9="",0,MAX(0,L9-K9)),MAX(0,$B$3-K9))))</f>
        <v/>
      </c>
      <c r="O9" s="21">
        <f>IF(B9="","",IF(M9="Cancelada","Cancelada",IF(M9="Liberada",IF(N9&gt;0,"Liberada con atraso","Liberada a tiempo"),IF(K9="","Sin fecha requerida",IF($B$3&gt;K9,"Vencida",IF(K9-$B$3&lt;=7,"Por vencer","En plazo"))))))</f>
        <v/>
      </c>
      <c r="P9" s="18" t="inlineStr"/>
    </row>
    <row r="10">
      <c r="A10" s="16" t="inlineStr">
        <is>
          <t>EJEMPLO</t>
        </is>
      </c>
      <c r="B10" s="17" t="inlineStr">
        <is>
          <t>R-0005</t>
        </is>
      </c>
      <c r="C10" s="17" t="inlineStr">
        <is>
          <t>Fase 2</t>
        </is>
      </c>
      <c r="D10" s="17" t="inlineStr">
        <is>
          <t>CWP-2.01-EST-01</t>
        </is>
      </c>
      <c r="E10" s="17" t="inlineStr">
        <is>
          <t>IWP-2.01-EST-01-001</t>
        </is>
      </c>
      <c r="F10" s="17" t="inlineStr">
        <is>
          <t>Equipos de construcción</t>
        </is>
      </c>
      <c r="G10" s="18" t="inlineStr">
        <is>
          <t>Grúa de 100 t no disponible para montaje de columnas</t>
        </is>
      </c>
      <c r="H10" s="17" t="inlineStr">
        <is>
          <t>Gerente de Construcción</t>
        </is>
      </c>
      <c r="I10" s="17" t="inlineStr">
        <is>
          <t>(nombre)</t>
        </is>
      </c>
      <c r="J10" s="19" t="n">
        <v>46803</v>
      </c>
      <c r="K10" s="19" t="n">
        <v>46854</v>
      </c>
      <c r="L10" s="19" t="n"/>
      <c r="M10" s="17" t="inlineStr">
        <is>
          <t>En gestión</t>
        </is>
      </c>
      <c r="N10" s="20">
        <f>IF(OR(B10="",K10=""),"",IF(M10="Cancelada",0,IF(M10="Liberada",IF(L10="",0,MAX(0,L10-K10)),MAX(0,$B$3-K10))))</f>
        <v/>
      </c>
      <c r="O10" s="21">
        <f>IF(B10="","",IF(M10="Cancelada","Cancelada",IF(M10="Liberada",IF(N10&gt;0,"Liberada con atraso","Liberada a tiempo"),IF(K10="","Sin fecha requerida",IF($B$3&gt;K10,"Vencida",IF(K10-$B$3&lt;=7,"Por vencer","En plazo"))))))</f>
        <v/>
      </c>
      <c r="P10" s="18" t="inlineStr">
        <is>
          <t>Escalada al Gerente de Proyecto.</t>
        </is>
      </c>
    </row>
    <row r="11">
      <c r="A11" s="16" t="inlineStr">
        <is>
          <t>EJEMPLO</t>
        </is>
      </c>
      <c r="B11" s="17" t="inlineStr">
        <is>
          <t>R-0006</t>
        </is>
      </c>
      <c r="C11" s="17" t="inlineStr">
        <is>
          <t>Fase 2</t>
        </is>
      </c>
      <c r="D11" s="17" t="inlineStr">
        <is>
          <t>CWP-2.01-TUB-01</t>
        </is>
      </c>
      <c r="E11" s="17" t="inlineStr">
        <is>
          <t>IWP-2.01-TUB-01-001</t>
        </is>
      </c>
      <c r="F11" s="17" t="inlineStr">
        <is>
          <t>Documentación del proveedor</t>
        </is>
      </c>
      <c r="G11" s="18" t="inlineStr">
        <is>
          <t>Planos certificados de válvulas con tag pendientes</t>
        </is>
      </c>
      <c r="H11" s="17" t="inlineStr">
        <is>
          <t>Líder de Procura</t>
        </is>
      </c>
      <c r="I11" s="17" t="inlineStr">
        <is>
          <t>(nombre)</t>
        </is>
      </c>
      <c r="J11" s="19" t="n">
        <v>46875</v>
      </c>
      <c r="K11" s="19" t="n">
        <v>46914</v>
      </c>
      <c r="L11" s="19" t="n"/>
      <c r="M11" s="17" t="inlineStr">
        <is>
          <t>Abierta</t>
        </is>
      </c>
      <c r="N11" s="20">
        <f>IF(OR(B11="",K11=""),"",IF(M11="Cancelada",0,IF(M11="Liberada",IF(L11="",0,MAX(0,L11-K11)),MAX(0,$B$3-K11))))</f>
        <v/>
      </c>
      <c r="O11" s="21">
        <f>IF(B11="","",IF(M11="Cancelada","Cancelada",IF(M11="Liberada",IF(N11&gt;0,"Liberada con atraso","Liberada a tiempo"),IF(K11="","Sin fecha requerida",IF($B$3&gt;K11,"Vencida",IF(K11-$B$3&lt;=7,"Por vencer","En plazo"))))))</f>
        <v/>
      </c>
      <c r="P11" s="18" t="inlineStr"/>
    </row>
    <row r="12">
      <c r="A12" s="16" t="inlineStr">
        <is>
          <t>EJEMPLO</t>
        </is>
      </c>
      <c r="B12" s="17" t="inlineStr">
        <is>
          <t>R-0007</t>
        </is>
      </c>
      <c r="C12" s="17" t="inlineStr">
        <is>
          <t>Fase 2</t>
        </is>
      </c>
      <c r="D12" s="17" t="inlineStr">
        <is>
          <t>CWP-2.03-ELE-01</t>
        </is>
      </c>
      <c r="E12" s="17" t="inlineStr">
        <is>
          <t>IWP-2.03-ELE-01-001</t>
        </is>
      </c>
      <c r="F12" s="17" t="inlineStr">
        <is>
          <t>Andamios</t>
        </is>
      </c>
      <c r="G12" s="18" t="inlineStr">
        <is>
          <t>Andamio para montaje de bandejas en sala eléctrica</t>
        </is>
      </c>
      <c r="H12" s="17" t="inlineStr">
        <is>
          <t>Superintendente / capataz general</t>
        </is>
      </c>
      <c r="I12" s="17" t="inlineStr">
        <is>
          <t>(nombre)</t>
        </is>
      </c>
      <c r="J12" s="19" t="n">
        <v>46905</v>
      </c>
      <c r="K12" s="19" t="n">
        <v>46924</v>
      </c>
      <c r="L12" s="19" t="n"/>
      <c r="M12" s="17" t="inlineStr">
        <is>
          <t>En gestión</t>
        </is>
      </c>
      <c r="N12" s="20">
        <f>IF(OR(B12="",K12=""),"",IF(M12="Cancelada",0,IF(M12="Liberada",IF(L12="",0,MAX(0,L12-K12)),MAX(0,$B$3-K12))))</f>
        <v/>
      </c>
      <c r="O12" s="21">
        <f>IF(B12="","",IF(M12="Cancelada","Cancelada",IF(M12="Liberada",IF(N12&gt;0,"Liberada con atraso","Liberada a tiempo"),IF(K12="","Sin fecha requerida",IF($B$3&gt;K12,"Vencida",IF(K12-$B$3&lt;=7,"Por vencer","En plazo"))))))</f>
        <v/>
      </c>
      <c r="P12" s="18" t="inlineStr"/>
    </row>
    <row r="13">
      <c r="A13" s="16" t="inlineStr">
        <is>
          <t>EJEMPLO</t>
        </is>
      </c>
      <c r="B13" s="17" t="inlineStr">
        <is>
          <t>R-0008</t>
        </is>
      </c>
      <c r="C13" s="17" t="inlineStr">
        <is>
          <t>Fase 2</t>
        </is>
      </c>
      <c r="D13" s="17" t="inlineStr">
        <is>
          <t>CWP-2.01-EST-01</t>
        </is>
      </c>
      <c r="E13" s="17" t="inlineStr">
        <is>
          <t>IWP-2.01-EST-01-001</t>
        </is>
      </c>
      <c r="F13" s="17" t="inlineStr">
        <is>
          <t>HSE</t>
        </is>
      </c>
      <c r="G13" s="18" t="inlineStr">
        <is>
          <t>Plan de izaje crítico no aprobado</t>
        </is>
      </c>
      <c r="H13" s="17" t="inlineStr">
        <is>
          <t>Líder de HSE</t>
        </is>
      </c>
      <c r="I13" s="17" t="inlineStr">
        <is>
          <t>(nombre)</t>
        </is>
      </c>
      <c r="J13" s="19" t="n">
        <v>46813</v>
      </c>
      <c r="K13" s="19" t="n">
        <v>46854</v>
      </c>
      <c r="L13" s="19" t="n"/>
      <c r="M13" s="17" t="inlineStr">
        <is>
          <t>Abierta</t>
        </is>
      </c>
      <c r="N13" s="20">
        <f>IF(OR(B13="",K13=""),"",IF(M13="Cancelada",0,IF(M13="Liberada",IF(L13="",0,MAX(0,L13-K13)),MAX(0,$B$3-K13))))</f>
        <v/>
      </c>
      <c r="O13" s="21">
        <f>IF(B13="","",IF(M13="Cancelada","Cancelada",IF(M13="Liberada",IF(N13&gt;0,"Liberada con atraso","Liberada a tiempo"),IF(K13="","Sin fecha requerida",IF($B$3&gt;K13,"Vencida",IF(K13-$B$3&lt;=7,"Por vencer","En plazo"))))))</f>
        <v/>
      </c>
      <c r="P13" s="18" t="inlineStr"/>
    </row>
    <row r="14">
      <c r="A14" s="16" t="inlineStr">
        <is>
          <t>EJEMPLO</t>
        </is>
      </c>
      <c r="B14" s="17" t="inlineStr">
        <is>
          <t>R-0009</t>
        </is>
      </c>
      <c r="C14" s="17" t="inlineStr">
        <is>
          <t>Fase 3</t>
        </is>
      </c>
      <c r="D14" s="17" t="inlineStr">
        <is>
          <t>CWP-3.02-TUB-01</t>
        </is>
      </c>
      <c r="E14" s="17" t="inlineStr">
        <is>
          <t>IWP-3.02-TUB-01-001</t>
        </is>
      </c>
      <c r="F14" s="17" t="inlineStr">
        <is>
          <t>Interfaz entre fases</t>
        </is>
      </c>
      <c r="G14" s="18" t="inlineStr">
        <is>
          <t>Parada de la línea de agua de la galería 2.04 para empalme</t>
        </is>
      </c>
      <c r="H14" s="17" t="inlineStr">
        <is>
          <t>AWP Champion</t>
        </is>
      </c>
      <c r="I14" s="17" t="inlineStr">
        <is>
          <t>(nombre)</t>
        </is>
      </c>
      <c r="J14" s="19" t="n">
        <v>46909</v>
      </c>
      <c r="K14" s="19" t="n">
        <v>47287</v>
      </c>
      <c r="L14" s="19" t="n"/>
      <c r="M14" s="17" t="inlineStr">
        <is>
          <t>Abierta</t>
        </is>
      </c>
      <c r="N14" s="20">
        <f>IF(OR(B14="",K14=""),"",IF(M14="Cancelada",0,IF(M14="Liberada",IF(L14="",0,MAX(0,L14-K14)),MAX(0,$B$3-K14))))</f>
        <v/>
      </c>
      <c r="O14" s="21">
        <f>IF(B14="","",IF(M14="Cancelada","Cancelada",IF(M14="Liberada",IF(N14&gt;0,"Liberada con atraso","Liberada a tiempo"),IF(K14="","Sin fecha requerida",IF($B$3&gt;K14,"Vencida",IF(K14-$B$3&lt;=7,"Por vencer","En plazo"))))))</f>
        <v/>
      </c>
      <c r="P14" s="18" t="inlineStr">
        <is>
          <t>Coordinar con comisionamiento de la Fase 2.</t>
        </is>
      </c>
    </row>
    <row r="15">
      <c r="A15" s="16" t="inlineStr">
        <is>
          <t>EJEMPLO</t>
        </is>
      </c>
      <c r="B15" s="17" t="inlineStr">
        <is>
          <t>R-0010</t>
        </is>
      </c>
      <c r="C15" s="17" t="inlineStr">
        <is>
          <t>Fase 3</t>
        </is>
      </c>
      <c r="D15" s="17" t="inlineStr">
        <is>
          <t>CWP-3.01-ARQ-01</t>
        </is>
      </c>
      <c r="E15" s="17" t="inlineStr">
        <is>
          <t>IWP-3.01-ARQ-01-001</t>
        </is>
      </c>
      <c r="F15" s="17" t="inlineStr">
        <is>
          <t>Ingeniería</t>
        </is>
      </c>
      <c r="G15" s="18" t="inlineStr">
        <is>
          <t>EWP-3.01-ARQ-01 pendiente de emisión IFC</t>
        </is>
      </c>
      <c r="H15" s="17" t="inlineStr">
        <is>
          <t>Líder de Ingeniería</t>
        </is>
      </c>
      <c r="I15" s="17" t="inlineStr">
        <is>
          <t>(nombre)</t>
        </is>
      </c>
      <c r="J15" s="19" t="n">
        <v>46916</v>
      </c>
      <c r="K15" s="19" t="n">
        <v>47132</v>
      </c>
      <c r="L15" s="19" t="n"/>
      <c r="M15" s="17" t="inlineStr">
        <is>
          <t>Abierta</t>
        </is>
      </c>
      <c r="N15" s="20">
        <f>IF(OR(B15="",K15=""),"",IF(M15="Cancelada",0,IF(M15="Liberada",IF(L15="",0,MAX(0,L15-K15)),MAX(0,$B$3-K15))))</f>
        <v/>
      </c>
      <c r="O15" s="21">
        <f>IF(B15="","",IF(M15="Cancelada","Cancelada",IF(M15="Liberada",IF(N15&gt;0,"Liberada con atraso","Liberada a tiempo"),IF(K15="","Sin fecha requerida",IF($B$3&gt;K15,"Vencida",IF(K15-$B$3&lt;=7,"Por vencer","En plazo"))))))</f>
        <v/>
      </c>
      <c r="P15" s="18" t="inlineStr"/>
    </row>
    <row r="16">
      <c r="A16" s="22" t="n"/>
      <c r="B16" s="23" t="n"/>
      <c r="C16" s="23" t="n"/>
      <c r="D16" s="23" t="n"/>
      <c r="E16" s="23" t="n"/>
      <c r="F16" s="23" t="n"/>
      <c r="G16" s="24" t="n"/>
      <c r="H16" s="23" t="n"/>
      <c r="I16" s="23" t="n"/>
      <c r="J16" s="25" t="n"/>
      <c r="K16" s="25" t="n"/>
      <c r="L16" s="25" t="n"/>
      <c r="M16" s="23" t="n"/>
      <c r="N16" s="26">
        <f>IF(OR(B16="",K16=""),"",IF(M16="Cancelada",0,IF(M16="Liberada",IF(L16="",0,MAX(0,L16-K16)),MAX(0,$B$3-K16))))</f>
        <v/>
      </c>
      <c r="O16" s="27">
        <f>IF(B16="","",IF(M16="Cancelada","Cancelada",IF(M16="Liberada",IF(N16&gt;0,"Liberada con atraso","Liberada a tiempo"),IF(K16="","Sin fecha requerida",IF($B$3&gt;K16,"Vencida",IF(K16-$B$3&lt;=7,"Por vencer","En plazo"))))))</f>
        <v/>
      </c>
      <c r="P16" s="24" t="n"/>
    </row>
    <row r="17">
      <c r="A17" s="22" t="n"/>
      <c r="B17" s="23" t="n"/>
      <c r="C17" s="23" t="n"/>
      <c r="D17" s="23" t="n"/>
      <c r="E17" s="23" t="n"/>
      <c r="F17" s="23" t="n"/>
      <c r="G17" s="24" t="n"/>
      <c r="H17" s="23" t="n"/>
      <c r="I17" s="23" t="n"/>
      <c r="J17" s="25" t="n"/>
      <c r="K17" s="25" t="n"/>
      <c r="L17" s="25" t="n"/>
      <c r="M17" s="23" t="n"/>
      <c r="N17" s="26">
        <f>IF(OR(B17="",K17=""),"",IF(M17="Cancelada",0,IF(M17="Liberada",IF(L17="",0,MAX(0,L17-K17)),MAX(0,$B$3-K17))))</f>
        <v/>
      </c>
      <c r="O17" s="27">
        <f>IF(B17="","",IF(M17="Cancelada","Cancelada",IF(M17="Liberada",IF(N17&gt;0,"Liberada con atraso","Liberada a tiempo"),IF(K17="","Sin fecha requerida",IF($B$3&gt;K17,"Vencida",IF(K17-$B$3&lt;=7,"Por vencer","En plazo"))))))</f>
        <v/>
      </c>
      <c r="P17" s="24" t="n"/>
    </row>
    <row r="18">
      <c r="A18" s="22" t="n"/>
      <c r="B18" s="23" t="n"/>
      <c r="C18" s="23" t="n"/>
      <c r="D18" s="23" t="n"/>
      <c r="E18" s="23" t="n"/>
      <c r="F18" s="23" t="n"/>
      <c r="G18" s="24" t="n"/>
      <c r="H18" s="23" t="n"/>
      <c r="I18" s="23" t="n"/>
      <c r="J18" s="25" t="n"/>
      <c r="K18" s="25" t="n"/>
      <c r="L18" s="25" t="n"/>
      <c r="M18" s="23" t="n"/>
      <c r="N18" s="26">
        <f>IF(OR(B18="",K18=""),"",IF(M18="Cancelada",0,IF(M18="Liberada",IF(L18="",0,MAX(0,L18-K18)),MAX(0,$B$3-K18))))</f>
        <v/>
      </c>
      <c r="O18" s="27">
        <f>IF(B18="","",IF(M18="Cancelada","Cancelada",IF(M18="Liberada",IF(N18&gt;0,"Liberada con atraso","Liberada a tiempo"),IF(K18="","Sin fecha requerida",IF($B$3&gt;K18,"Vencida",IF(K18-$B$3&lt;=7,"Por vencer","En plazo"))))))</f>
        <v/>
      </c>
      <c r="P18" s="24" t="n"/>
    </row>
    <row r="19">
      <c r="A19" s="22" t="n"/>
      <c r="B19" s="23" t="n"/>
      <c r="C19" s="23" t="n"/>
      <c r="D19" s="23" t="n"/>
      <c r="E19" s="23" t="n"/>
      <c r="F19" s="23" t="n"/>
      <c r="G19" s="24" t="n"/>
      <c r="H19" s="23" t="n"/>
      <c r="I19" s="23" t="n"/>
      <c r="J19" s="25" t="n"/>
      <c r="K19" s="25" t="n"/>
      <c r="L19" s="25" t="n"/>
      <c r="M19" s="23" t="n"/>
      <c r="N19" s="26">
        <f>IF(OR(B19="",K19=""),"",IF(M19="Cancelada",0,IF(M19="Liberada",IF(L19="",0,MAX(0,L19-K19)),MAX(0,$B$3-K19))))</f>
        <v/>
      </c>
      <c r="O19" s="27">
        <f>IF(B19="","",IF(M19="Cancelada","Cancelada",IF(M19="Liberada",IF(N19&gt;0,"Liberada con atraso","Liberada a tiempo"),IF(K19="","Sin fecha requerida",IF($B$3&gt;K19,"Vencida",IF(K19-$B$3&lt;=7,"Por vencer","En plazo"))))))</f>
        <v/>
      </c>
      <c r="P19" s="24" t="n"/>
    </row>
    <row r="20">
      <c r="A20" s="22" t="n"/>
      <c r="B20" s="23" t="n"/>
      <c r="C20" s="23" t="n"/>
      <c r="D20" s="23" t="n"/>
      <c r="E20" s="23" t="n"/>
      <c r="F20" s="23" t="n"/>
      <c r="G20" s="24" t="n"/>
      <c r="H20" s="23" t="n"/>
      <c r="I20" s="23" t="n"/>
      <c r="J20" s="25" t="n"/>
      <c r="K20" s="25" t="n"/>
      <c r="L20" s="25" t="n"/>
      <c r="M20" s="23" t="n"/>
      <c r="N20" s="26">
        <f>IF(OR(B20="",K20=""),"",IF(M20="Cancelada",0,IF(M20="Liberada",IF(L20="",0,MAX(0,L20-K20)),MAX(0,$B$3-K20))))</f>
        <v/>
      </c>
      <c r="O20" s="27">
        <f>IF(B20="","",IF(M20="Cancelada","Cancelada",IF(M20="Liberada",IF(N20&gt;0,"Liberada con atraso","Liberada a tiempo"),IF(K20="","Sin fecha requerida",IF($B$3&gt;K20,"Vencida",IF(K20-$B$3&lt;=7,"Por vencer","En plazo"))))))</f>
        <v/>
      </c>
      <c r="P20" s="24" t="n"/>
    </row>
    <row r="21">
      <c r="A21" s="22" t="n"/>
      <c r="B21" s="23" t="n"/>
      <c r="C21" s="23" t="n"/>
      <c r="D21" s="23" t="n"/>
      <c r="E21" s="23" t="n"/>
      <c r="F21" s="23" t="n"/>
      <c r="G21" s="24" t="n"/>
      <c r="H21" s="23" t="n"/>
      <c r="I21" s="23" t="n"/>
      <c r="J21" s="25" t="n"/>
      <c r="K21" s="25" t="n"/>
      <c r="L21" s="25" t="n"/>
      <c r="M21" s="23" t="n"/>
      <c r="N21" s="26">
        <f>IF(OR(B21="",K21=""),"",IF(M21="Cancelada",0,IF(M21="Liberada",IF(L21="",0,MAX(0,L21-K21)),MAX(0,$B$3-K21))))</f>
        <v/>
      </c>
      <c r="O21" s="27">
        <f>IF(B21="","",IF(M21="Cancelada","Cancelada",IF(M21="Liberada",IF(N21&gt;0,"Liberada con atraso","Liberada a tiempo"),IF(K21="","Sin fecha requerida",IF($B$3&gt;K21,"Vencida",IF(K21-$B$3&lt;=7,"Por vencer","En plazo"))))))</f>
        <v/>
      </c>
      <c r="P21" s="24" t="n"/>
    </row>
    <row r="22">
      <c r="A22" s="22" t="n"/>
      <c r="B22" s="23" t="n"/>
      <c r="C22" s="23" t="n"/>
      <c r="D22" s="23" t="n"/>
      <c r="E22" s="23" t="n"/>
      <c r="F22" s="23" t="n"/>
      <c r="G22" s="24" t="n"/>
      <c r="H22" s="23" t="n"/>
      <c r="I22" s="23" t="n"/>
      <c r="J22" s="25" t="n"/>
      <c r="K22" s="25" t="n"/>
      <c r="L22" s="25" t="n"/>
      <c r="M22" s="23" t="n"/>
      <c r="N22" s="26">
        <f>IF(OR(B22="",K22=""),"",IF(M22="Cancelada",0,IF(M22="Liberada",IF(L22="",0,MAX(0,L22-K22)),MAX(0,$B$3-K22))))</f>
        <v/>
      </c>
      <c r="O22" s="27">
        <f>IF(B22="","",IF(M22="Cancelada","Cancelada",IF(M22="Liberada",IF(N22&gt;0,"Liberada con atraso","Liberada a tiempo"),IF(K22="","Sin fecha requerida",IF($B$3&gt;K22,"Vencida",IF(K22-$B$3&lt;=7,"Por vencer","En plazo"))))))</f>
        <v/>
      </c>
      <c r="P22" s="24" t="n"/>
    </row>
    <row r="23">
      <c r="A23" s="22" t="n"/>
      <c r="B23" s="23" t="n"/>
      <c r="C23" s="23" t="n"/>
      <c r="D23" s="23" t="n"/>
      <c r="E23" s="23" t="n"/>
      <c r="F23" s="23" t="n"/>
      <c r="G23" s="24" t="n"/>
      <c r="H23" s="23" t="n"/>
      <c r="I23" s="23" t="n"/>
      <c r="J23" s="25" t="n"/>
      <c r="K23" s="25" t="n"/>
      <c r="L23" s="25" t="n"/>
      <c r="M23" s="23" t="n"/>
      <c r="N23" s="26">
        <f>IF(OR(B23="",K23=""),"",IF(M23="Cancelada",0,IF(M23="Liberada",IF(L23="",0,MAX(0,L23-K23)),MAX(0,$B$3-K23))))</f>
        <v/>
      </c>
      <c r="O23" s="27">
        <f>IF(B23="","",IF(M23="Cancelada","Cancelada",IF(M23="Liberada",IF(N23&gt;0,"Liberada con atraso","Liberada a tiempo"),IF(K23="","Sin fecha requerida",IF($B$3&gt;K23,"Vencida",IF(K23-$B$3&lt;=7,"Por vencer","En plazo"))))))</f>
        <v/>
      </c>
      <c r="P23" s="24" t="n"/>
    </row>
    <row r="24">
      <c r="A24" s="22" t="n"/>
      <c r="B24" s="23" t="n"/>
      <c r="C24" s="23" t="n"/>
      <c r="D24" s="23" t="n"/>
      <c r="E24" s="23" t="n"/>
      <c r="F24" s="23" t="n"/>
      <c r="G24" s="24" t="n"/>
      <c r="H24" s="23" t="n"/>
      <c r="I24" s="23" t="n"/>
      <c r="J24" s="25" t="n"/>
      <c r="K24" s="25" t="n"/>
      <c r="L24" s="25" t="n"/>
      <c r="M24" s="23" t="n"/>
      <c r="N24" s="26">
        <f>IF(OR(B24="",K24=""),"",IF(M24="Cancelada",0,IF(M24="Liberada",IF(L24="",0,MAX(0,L24-K24)),MAX(0,$B$3-K24))))</f>
        <v/>
      </c>
      <c r="O24" s="27">
        <f>IF(B24="","",IF(M24="Cancelada","Cancelada",IF(M24="Liberada",IF(N24&gt;0,"Liberada con atraso","Liberada a tiempo"),IF(K24="","Sin fecha requerida",IF($B$3&gt;K24,"Vencida",IF(K24-$B$3&lt;=7,"Por vencer","En plazo"))))))</f>
        <v/>
      </c>
      <c r="P24" s="24" t="n"/>
    </row>
    <row r="25">
      <c r="A25" s="22" t="n"/>
      <c r="B25" s="23" t="n"/>
      <c r="C25" s="23" t="n"/>
      <c r="D25" s="23" t="n"/>
      <c r="E25" s="23" t="n"/>
      <c r="F25" s="23" t="n"/>
      <c r="G25" s="24" t="n"/>
      <c r="H25" s="23" t="n"/>
      <c r="I25" s="23" t="n"/>
      <c r="J25" s="25" t="n"/>
      <c r="K25" s="25" t="n"/>
      <c r="L25" s="25" t="n"/>
      <c r="M25" s="23" t="n"/>
      <c r="N25" s="26">
        <f>IF(OR(B25="",K25=""),"",IF(M25="Cancelada",0,IF(M25="Liberada",IF(L25="",0,MAX(0,L25-K25)),MAX(0,$B$3-K25))))</f>
        <v/>
      </c>
      <c r="O25" s="27">
        <f>IF(B25="","",IF(M25="Cancelada","Cancelada",IF(M25="Liberada",IF(N25&gt;0,"Liberada con atraso","Liberada a tiempo"),IF(K25="","Sin fecha requerida",IF($B$3&gt;K25,"Vencida",IF(K25-$B$3&lt;=7,"Por vencer","En plazo"))))))</f>
        <v/>
      </c>
      <c r="P25" s="24" t="n"/>
    </row>
    <row r="26">
      <c r="A26" s="22" t="n"/>
      <c r="B26" s="23" t="n"/>
      <c r="C26" s="23" t="n"/>
      <c r="D26" s="23" t="n"/>
      <c r="E26" s="23" t="n"/>
      <c r="F26" s="23" t="n"/>
      <c r="G26" s="24" t="n"/>
      <c r="H26" s="23" t="n"/>
      <c r="I26" s="23" t="n"/>
      <c r="J26" s="25" t="n"/>
      <c r="K26" s="25" t="n"/>
      <c r="L26" s="25" t="n"/>
      <c r="M26" s="23" t="n"/>
      <c r="N26" s="26">
        <f>IF(OR(B26="",K26=""),"",IF(M26="Cancelada",0,IF(M26="Liberada",IF(L26="",0,MAX(0,L26-K26)),MAX(0,$B$3-K26))))</f>
        <v/>
      </c>
      <c r="O26" s="27">
        <f>IF(B26="","",IF(M26="Cancelada","Cancelada",IF(M26="Liberada",IF(N26&gt;0,"Liberada con atraso","Liberada a tiempo"),IF(K26="","Sin fecha requerida",IF($B$3&gt;K26,"Vencida",IF(K26-$B$3&lt;=7,"Por vencer","En plazo"))))))</f>
        <v/>
      </c>
      <c r="P26" s="24" t="n"/>
    </row>
    <row r="27">
      <c r="A27" s="22" t="n"/>
      <c r="B27" s="23" t="n"/>
      <c r="C27" s="23" t="n"/>
      <c r="D27" s="23" t="n"/>
      <c r="E27" s="23" t="n"/>
      <c r="F27" s="23" t="n"/>
      <c r="G27" s="24" t="n"/>
      <c r="H27" s="23" t="n"/>
      <c r="I27" s="23" t="n"/>
      <c r="J27" s="25" t="n"/>
      <c r="K27" s="25" t="n"/>
      <c r="L27" s="25" t="n"/>
      <c r="M27" s="23" t="n"/>
      <c r="N27" s="26">
        <f>IF(OR(B27="",K27=""),"",IF(M27="Cancelada",0,IF(M27="Liberada",IF(L27="",0,MAX(0,L27-K27)),MAX(0,$B$3-K27))))</f>
        <v/>
      </c>
      <c r="O27" s="27">
        <f>IF(B27="","",IF(M27="Cancelada","Cancelada",IF(M27="Liberada",IF(N27&gt;0,"Liberada con atraso","Liberada a tiempo"),IF(K27="","Sin fecha requerida",IF($B$3&gt;K27,"Vencida",IF(K27-$B$3&lt;=7,"Por vencer","En plazo"))))))</f>
        <v/>
      </c>
      <c r="P27" s="24" t="n"/>
    </row>
    <row r="28">
      <c r="A28" s="22" t="n"/>
      <c r="B28" s="23" t="n"/>
      <c r="C28" s="23" t="n"/>
      <c r="D28" s="23" t="n"/>
      <c r="E28" s="23" t="n"/>
      <c r="F28" s="23" t="n"/>
      <c r="G28" s="24" t="n"/>
      <c r="H28" s="23" t="n"/>
      <c r="I28" s="23" t="n"/>
      <c r="J28" s="25" t="n"/>
      <c r="K28" s="25" t="n"/>
      <c r="L28" s="25" t="n"/>
      <c r="M28" s="23" t="n"/>
      <c r="N28" s="26">
        <f>IF(OR(B28="",K28=""),"",IF(M28="Cancelada",0,IF(M28="Liberada",IF(L28="",0,MAX(0,L28-K28)),MAX(0,$B$3-K28))))</f>
        <v/>
      </c>
      <c r="O28" s="27">
        <f>IF(B28="","",IF(M28="Cancelada","Cancelada",IF(M28="Liberada",IF(N28&gt;0,"Liberada con atraso","Liberada a tiempo"),IF(K28="","Sin fecha requerida",IF($B$3&gt;K28,"Vencida",IF(K28-$B$3&lt;=7,"Por vencer","En plazo"))))))</f>
        <v/>
      </c>
      <c r="P28" s="24" t="n"/>
    </row>
    <row r="29">
      <c r="A29" s="22" t="n"/>
      <c r="B29" s="23" t="n"/>
      <c r="C29" s="23" t="n"/>
      <c r="D29" s="23" t="n"/>
      <c r="E29" s="23" t="n"/>
      <c r="F29" s="23" t="n"/>
      <c r="G29" s="24" t="n"/>
      <c r="H29" s="23" t="n"/>
      <c r="I29" s="23" t="n"/>
      <c r="J29" s="25" t="n"/>
      <c r="K29" s="25" t="n"/>
      <c r="L29" s="25" t="n"/>
      <c r="M29" s="23" t="n"/>
      <c r="N29" s="26">
        <f>IF(OR(B29="",K29=""),"",IF(M29="Cancelada",0,IF(M29="Liberada",IF(L29="",0,MAX(0,L29-K29)),MAX(0,$B$3-K29))))</f>
        <v/>
      </c>
      <c r="O29" s="27">
        <f>IF(B29="","",IF(M29="Cancelada","Cancelada",IF(M29="Liberada",IF(N29&gt;0,"Liberada con atraso","Liberada a tiempo"),IF(K29="","Sin fecha requerida",IF($B$3&gt;K29,"Vencida",IF(K29-$B$3&lt;=7,"Por vencer","En plazo"))))))</f>
        <v/>
      </c>
      <c r="P29" s="24" t="n"/>
    </row>
    <row r="30">
      <c r="A30" s="22" t="n"/>
      <c r="B30" s="23" t="n"/>
      <c r="C30" s="23" t="n"/>
      <c r="D30" s="23" t="n"/>
      <c r="E30" s="23" t="n"/>
      <c r="F30" s="23" t="n"/>
      <c r="G30" s="24" t="n"/>
      <c r="H30" s="23" t="n"/>
      <c r="I30" s="23" t="n"/>
      <c r="J30" s="25" t="n"/>
      <c r="K30" s="25" t="n"/>
      <c r="L30" s="25" t="n"/>
      <c r="M30" s="23" t="n"/>
      <c r="N30" s="26">
        <f>IF(OR(B30="",K30=""),"",IF(M30="Cancelada",0,IF(M30="Liberada",IF(L30="",0,MAX(0,L30-K30)),MAX(0,$B$3-K30))))</f>
        <v/>
      </c>
      <c r="O30" s="27">
        <f>IF(B30="","",IF(M30="Cancelada","Cancelada",IF(M30="Liberada",IF(N30&gt;0,"Liberada con atraso","Liberada a tiempo"),IF(K30="","Sin fecha requerida",IF($B$3&gt;K30,"Vencida",IF(K30-$B$3&lt;=7,"Por vencer","En plazo"))))))</f>
        <v/>
      </c>
      <c r="P30" s="24" t="n"/>
    </row>
    <row r="31">
      <c r="A31" s="22" t="n"/>
      <c r="B31" s="23" t="n"/>
      <c r="C31" s="23" t="n"/>
      <c r="D31" s="23" t="n"/>
      <c r="E31" s="23" t="n"/>
      <c r="F31" s="23" t="n"/>
      <c r="G31" s="24" t="n"/>
      <c r="H31" s="23" t="n"/>
      <c r="I31" s="23" t="n"/>
      <c r="J31" s="25" t="n"/>
      <c r="K31" s="25" t="n"/>
      <c r="L31" s="25" t="n"/>
      <c r="M31" s="23" t="n"/>
      <c r="N31" s="26">
        <f>IF(OR(B31="",K31=""),"",IF(M31="Cancelada",0,IF(M31="Liberada",IF(L31="",0,MAX(0,L31-K31)),MAX(0,$B$3-K31))))</f>
        <v/>
      </c>
      <c r="O31" s="27">
        <f>IF(B31="","",IF(M31="Cancelada","Cancelada",IF(M31="Liberada",IF(N31&gt;0,"Liberada con atraso","Liberada a tiempo"),IF(K31="","Sin fecha requerida",IF($B$3&gt;K31,"Vencida",IF(K31-$B$3&lt;=7,"Por vencer","En plazo"))))))</f>
        <v/>
      </c>
      <c r="P31" s="24" t="n"/>
    </row>
    <row r="32">
      <c r="A32" s="22" t="n"/>
      <c r="B32" s="23" t="n"/>
      <c r="C32" s="23" t="n"/>
      <c r="D32" s="23" t="n"/>
      <c r="E32" s="23" t="n"/>
      <c r="F32" s="23" t="n"/>
      <c r="G32" s="24" t="n"/>
      <c r="H32" s="23" t="n"/>
      <c r="I32" s="23" t="n"/>
      <c r="J32" s="25" t="n"/>
      <c r="K32" s="25" t="n"/>
      <c r="L32" s="25" t="n"/>
      <c r="M32" s="23" t="n"/>
      <c r="N32" s="26">
        <f>IF(OR(B32="",K32=""),"",IF(M32="Cancelada",0,IF(M32="Liberada",IF(L32="",0,MAX(0,L32-K32)),MAX(0,$B$3-K32))))</f>
        <v/>
      </c>
      <c r="O32" s="27">
        <f>IF(B32="","",IF(M32="Cancelada","Cancelada",IF(M32="Liberada",IF(N32&gt;0,"Liberada con atraso","Liberada a tiempo"),IF(K32="","Sin fecha requerida",IF($B$3&gt;K32,"Vencida",IF(K32-$B$3&lt;=7,"Por vencer","En plazo"))))))</f>
        <v/>
      </c>
      <c r="P32" s="24" t="n"/>
    </row>
    <row r="33">
      <c r="A33" s="22" t="n"/>
      <c r="B33" s="23" t="n"/>
      <c r="C33" s="23" t="n"/>
      <c r="D33" s="23" t="n"/>
      <c r="E33" s="23" t="n"/>
      <c r="F33" s="23" t="n"/>
      <c r="G33" s="24" t="n"/>
      <c r="H33" s="23" t="n"/>
      <c r="I33" s="23" t="n"/>
      <c r="J33" s="25" t="n"/>
      <c r="K33" s="25" t="n"/>
      <c r="L33" s="25" t="n"/>
      <c r="M33" s="23" t="n"/>
      <c r="N33" s="26">
        <f>IF(OR(B33="",K33=""),"",IF(M33="Cancelada",0,IF(M33="Liberada",IF(L33="",0,MAX(0,L33-K33)),MAX(0,$B$3-K33))))</f>
        <v/>
      </c>
      <c r="O33" s="27">
        <f>IF(B33="","",IF(M33="Cancelada","Cancelada",IF(M33="Liberada",IF(N33&gt;0,"Liberada con atraso","Liberada a tiempo"),IF(K33="","Sin fecha requerida",IF($B$3&gt;K33,"Vencida",IF(K33-$B$3&lt;=7,"Por vencer","En plazo"))))))</f>
        <v/>
      </c>
      <c r="P33" s="24" t="n"/>
    </row>
    <row r="34">
      <c r="A34" s="22" t="n"/>
      <c r="B34" s="23" t="n"/>
      <c r="C34" s="23" t="n"/>
      <c r="D34" s="23" t="n"/>
      <c r="E34" s="23" t="n"/>
      <c r="F34" s="23" t="n"/>
      <c r="G34" s="24" t="n"/>
      <c r="H34" s="23" t="n"/>
      <c r="I34" s="23" t="n"/>
      <c r="J34" s="25" t="n"/>
      <c r="K34" s="25" t="n"/>
      <c r="L34" s="25" t="n"/>
      <c r="M34" s="23" t="n"/>
      <c r="N34" s="26">
        <f>IF(OR(B34="",K34=""),"",IF(M34="Cancelada",0,IF(M34="Liberada",IF(L34="",0,MAX(0,L34-K34)),MAX(0,$B$3-K34))))</f>
        <v/>
      </c>
      <c r="O34" s="27">
        <f>IF(B34="","",IF(M34="Cancelada","Cancelada",IF(M34="Liberada",IF(N34&gt;0,"Liberada con atraso","Liberada a tiempo"),IF(K34="","Sin fecha requerida",IF($B$3&gt;K34,"Vencida",IF(K34-$B$3&lt;=7,"Por vencer","En plazo"))))))</f>
        <v/>
      </c>
      <c r="P34" s="24" t="n"/>
    </row>
    <row r="35">
      <c r="A35" s="22" t="n"/>
      <c r="B35" s="23" t="n"/>
      <c r="C35" s="23" t="n"/>
      <c r="D35" s="23" t="n"/>
      <c r="E35" s="23" t="n"/>
      <c r="F35" s="23" t="n"/>
      <c r="G35" s="24" t="n"/>
      <c r="H35" s="23" t="n"/>
      <c r="I35" s="23" t="n"/>
      <c r="J35" s="25" t="n"/>
      <c r="K35" s="25" t="n"/>
      <c r="L35" s="25" t="n"/>
      <c r="M35" s="23" t="n"/>
      <c r="N35" s="26">
        <f>IF(OR(B35="",K35=""),"",IF(M35="Cancelada",0,IF(M35="Liberada",IF(L35="",0,MAX(0,L35-K35)),MAX(0,$B$3-K35))))</f>
        <v/>
      </c>
      <c r="O35" s="27">
        <f>IF(B35="","",IF(M35="Cancelada","Cancelada",IF(M35="Liberada",IF(N35&gt;0,"Liberada con atraso","Liberada a tiempo"),IF(K35="","Sin fecha requerida",IF($B$3&gt;K35,"Vencida",IF(K35-$B$3&lt;=7,"Por vencer","En plazo"))))))</f>
        <v/>
      </c>
      <c r="P35" s="24" t="n"/>
    </row>
    <row r="36">
      <c r="A36" s="22" t="n"/>
      <c r="B36" s="23" t="n"/>
      <c r="C36" s="23" t="n"/>
      <c r="D36" s="23" t="n"/>
      <c r="E36" s="23" t="n"/>
      <c r="F36" s="23" t="n"/>
      <c r="G36" s="24" t="n"/>
      <c r="H36" s="23" t="n"/>
      <c r="I36" s="23" t="n"/>
      <c r="J36" s="25" t="n"/>
      <c r="K36" s="25" t="n"/>
      <c r="L36" s="25" t="n"/>
      <c r="M36" s="23" t="n"/>
      <c r="N36" s="26">
        <f>IF(OR(B36="",K36=""),"",IF(M36="Cancelada",0,IF(M36="Liberada",IF(L36="",0,MAX(0,L36-K36)),MAX(0,$B$3-K36))))</f>
        <v/>
      </c>
      <c r="O36" s="27">
        <f>IF(B36="","",IF(M36="Cancelada","Cancelada",IF(M36="Liberada",IF(N36&gt;0,"Liberada con atraso","Liberada a tiempo"),IF(K36="","Sin fecha requerida",IF($B$3&gt;K36,"Vencida",IF(K36-$B$3&lt;=7,"Por vencer","En plazo"))))))</f>
        <v/>
      </c>
      <c r="P36" s="24" t="n"/>
    </row>
    <row r="37">
      <c r="A37" s="22" t="n"/>
      <c r="B37" s="23" t="n"/>
      <c r="C37" s="23" t="n"/>
      <c r="D37" s="23" t="n"/>
      <c r="E37" s="23" t="n"/>
      <c r="F37" s="23" t="n"/>
      <c r="G37" s="24" t="n"/>
      <c r="H37" s="23" t="n"/>
      <c r="I37" s="23" t="n"/>
      <c r="J37" s="25" t="n"/>
      <c r="K37" s="25" t="n"/>
      <c r="L37" s="25" t="n"/>
      <c r="M37" s="23" t="n"/>
      <c r="N37" s="26">
        <f>IF(OR(B37="",K37=""),"",IF(M37="Cancelada",0,IF(M37="Liberada",IF(L37="",0,MAX(0,L37-K37)),MAX(0,$B$3-K37))))</f>
        <v/>
      </c>
      <c r="O37" s="27">
        <f>IF(B37="","",IF(M37="Cancelada","Cancelada",IF(M37="Liberada",IF(N37&gt;0,"Liberada con atraso","Liberada a tiempo"),IF(K37="","Sin fecha requerida",IF($B$3&gt;K37,"Vencida",IF(K37-$B$3&lt;=7,"Por vencer","En plazo"))))))</f>
        <v/>
      </c>
      <c r="P37" s="24" t="n"/>
    </row>
    <row r="38">
      <c r="A38" s="22" t="n"/>
      <c r="B38" s="23" t="n"/>
      <c r="C38" s="23" t="n"/>
      <c r="D38" s="23" t="n"/>
      <c r="E38" s="23" t="n"/>
      <c r="F38" s="23" t="n"/>
      <c r="G38" s="24" t="n"/>
      <c r="H38" s="23" t="n"/>
      <c r="I38" s="23" t="n"/>
      <c r="J38" s="25" t="n"/>
      <c r="K38" s="25" t="n"/>
      <c r="L38" s="25" t="n"/>
      <c r="M38" s="23" t="n"/>
      <c r="N38" s="26">
        <f>IF(OR(B38="",K38=""),"",IF(M38="Cancelada",0,IF(M38="Liberada",IF(L38="",0,MAX(0,L38-K38)),MAX(0,$B$3-K38))))</f>
        <v/>
      </c>
      <c r="O38" s="27">
        <f>IF(B38="","",IF(M38="Cancelada","Cancelada",IF(M38="Liberada",IF(N38&gt;0,"Liberada con atraso","Liberada a tiempo"),IF(K38="","Sin fecha requerida",IF($B$3&gt;K38,"Vencida",IF(K38-$B$3&lt;=7,"Por vencer","En plazo"))))))</f>
        <v/>
      </c>
      <c r="P38" s="24" t="n"/>
    </row>
    <row r="39">
      <c r="A39" s="22" t="n"/>
      <c r="B39" s="23" t="n"/>
      <c r="C39" s="23" t="n"/>
      <c r="D39" s="23" t="n"/>
      <c r="E39" s="23" t="n"/>
      <c r="F39" s="23" t="n"/>
      <c r="G39" s="24" t="n"/>
      <c r="H39" s="23" t="n"/>
      <c r="I39" s="23" t="n"/>
      <c r="J39" s="25" t="n"/>
      <c r="K39" s="25" t="n"/>
      <c r="L39" s="25" t="n"/>
      <c r="M39" s="23" t="n"/>
      <c r="N39" s="26">
        <f>IF(OR(B39="",K39=""),"",IF(M39="Cancelada",0,IF(M39="Liberada",IF(L39="",0,MAX(0,L39-K39)),MAX(0,$B$3-K39))))</f>
        <v/>
      </c>
      <c r="O39" s="27">
        <f>IF(B39="","",IF(M39="Cancelada","Cancelada",IF(M39="Liberada",IF(N39&gt;0,"Liberada con atraso","Liberada a tiempo"),IF(K39="","Sin fecha requerida",IF($B$3&gt;K39,"Vencida",IF(K39-$B$3&lt;=7,"Por vencer","En plazo"))))))</f>
        <v/>
      </c>
      <c r="P39" s="24" t="n"/>
    </row>
    <row r="40">
      <c r="A40" s="22" t="n"/>
      <c r="B40" s="23" t="n"/>
      <c r="C40" s="23" t="n"/>
      <c r="D40" s="23" t="n"/>
      <c r="E40" s="23" t="n"/>
      <c r="F40" s="23" t="n"/>
      <c r="G40" s="24" t="n"/>
      <c r="H40" s="23" t="n"/>
      <c r="I40" s="23" t="n"/>
      <c r="J40" s="25" t="n"/>
      <c r="K40" s="25" t="n"/>
      <c r="L40" s="25" t="n"/>
      <c r="M40" s="23" t="n"/>
      <c r="N40" s="26">
        <f>IF(OR(B40="",K40=""),"",IF(M40="Cancelada",0,IF(M40="Liberada",IF(L40="",0,MAX(0,L40-K40)),MAX(0,$B$3-K40))))</f>
        <v/>
      </c>
      <c r="O40" s="27">
        <f>IF(B40="","",IF(M40="Cancelada","Cancelada",IF(M40="Liberada",IF(N40&gt;0,"Liberada con atraso","Liberada a tiempo"),IF(K40="","Sin fecha requerida",IF($B$3&gt;K40,"Vencida",IF(K40-$B$3&lt;=7,"Por vencer","En plazo"))))))</f>
        <v/>
      </c>
      <c r="P40" s="24" t="n"/>
    </row>
    <row r="41">
      <c r="A41" s="22" t="n"/>
      <c r="B41" s="23" t="n"/>
      <c r="C41" s="23" t="n"/>
      <c r="D41" s="23" t="n"/>
      <c r="E41" s="23" t="n"/>
      <c r="F41" s="23" t="n"/>
      <c r="G41" s="24" t="n"/>
      <c r="H41" s="23" t="n"/>
      <c r="I41" s="23" t="n"/>
      <c r="J41" s="25" t="n"/>
      <c r="K41" s="25" t="n"/>
      <c r="L41" s="25" t="n"/>
      <c r="M41" s="23" t="n"/>
      <c r="N41" s="26">
        <f>IF(OR(B41="",K41=""),"",IF(M41="Cancelada",0,IF(M41="Liberada",IF(L41="",0,MAX(0,L41-K41)),MAX(0,$B$3-K41))))</f>
        <v/>
      </c>
      <c r="O41" s="27">
        <f>IF(B41="","",IF(M41="Cancelada","Cancelada",IF(M41="Liberada",IF(N41&gt;0,"Liberada con atraso","Liberada a tiempo"),IF(K41="","Sin fecha requerida",IF($B$3&gt;K41,"Vencida",IF(K41-$B$3&lt;=7,"Por vencer","En plazo"))))))</f>
        <v/>
      </c>
      <c r="P41" s="24" t="n"/>
    </row>
    <row r="42">
      <c r="A42" s="22" t="n"/>
      <c r="B42" s="23" t="n"/>
      <c r="C42" s="23" t="n"/>
      <c r="D42" s="23" t="n"/>
      <c r="E42" s="23" t="n"/>
      <c r="F42" s="23" t="n"/>
      <c r="G42" s="24" t="n"/>
      <c r="H42" s="23" t="n"/>
      <c r="I42" s="23" t="n"/>
      <c r="J42" s="25" t="n"/>
      <c r="K42" s="25" t="n"/>
      <c r="L42" s="25" t="n"/>
      <c r="M42" s="23" t="n"/>
      <c r="N42" s="26">
        <f>IF(OR(B42="",K42=""),"",IF(M42="Cancelada",0,IF(M42="Liberada",IF(L42="",0,MAX(0,L42-K42)),MAX(0,$B$3-K42))))</f>
        <v/>
      </c>
      <c r="O42" s="27">
        <f>IF(B42="","",IF(M42="Cancelada","Cancelada",IF(M42="Liberada",IF(N42&gt;0,"Liberada con atraso","Liberada a tiempo"),IF(K42="","Sin fecha requerida",IF($B$3&gt;K42,"Vencida",IF(K42-$B$3&lt;=7,"Por vencer","En plazo"))))))</f>
        <v/>
      </c>
      <c r="P42" s="24" t="n"/>
    </row>
    <row r="43">
      <c r="A43" s="22" t="n"/>
      <c r="B43" s="23" t="n"/>
      <c r="C43" s="23" t="n"/>
      <c r="D43" s="23" t="n"/>
      <c r="E43" s="23" t="n"/>
      <c r="F43" s="23" t="n"/>
      <c r="G43" s="24" t="n"/>
      <c r="H43" s="23" t="n"/>
      <c r="I43" s="23" t="n"/>
      <c r="J43" s="25" t="n"/>
      <c r="K43" s="25" t="n"/>
      <c r="L43" s="25" t="n"/>
      <c r="M43" s="23" t="n"/>
      <c r="N43" s="26">
        <f>IF(OR(B43="",K43=""),"",IF(M43="Cancelada",0,IF(M43="Liberada",IF(L43="",0,MAX(0,L43-K43)),MAX(0,$B$3-K43))))</f>
        <v/>
      </c>
      <c r="O43" s="27">
        <f>IF(B43="","",IF(M43="Cancelada","Cancelada",IF(M43="Liberada",IF(N43&gt;0,"Liberada con atraso","Liberada a tiempo"),IF(K43="","Sin fecha requerida",IF($B$3&gt;K43,"Vencida",IF(K43-$B$3&lt;=7,"Por vencer","En plazo"))))))</f>
        <v/>
      </c>
      <c r="P43" s="24" t="n"/>
    </row>
    <row r="44">
      <c r="A44" s="22" t="n"/>
      <c r="B44" s="23" t="n"/>
      <c r="C44" s="23" t="n"/>
      <c r="D44" s="23" t="n"/>
      <c r="E44" s="23" t="n"/>
      <c r="F44" s="23" t="n"/>
      <c r="G44" s="24" t="n"/>
      <c r="H44" s="23" t="n"/>
      <c r="I44" s="23" t="n"/>
      <c r="J44" s="25" t="n"/>
      <c r="K44" s="25" t="n"/>
      <c r="L44" s="25" t="n"/>
      <c r="M44" s="23" t="n"/>
      <c r="N44" s="26">
        <f>IF(OR(B44="",K44=""),"",IF(M44="Cancelada",0,IF(M44="Liberada",IF(L44="",0,MAX(0,L44-K44)),MAX(0,$B$3-K44))))</f>
        <v/>
      </c>
      <c r="O44" s="27">
        <f>IF(B44="","",IF(M44="Cancelada","Cancelada",IF(M44="Liberada",IF(N44&gt;0,"Liberada con atraso","Liberada a tiempo"),IF(K44="","Sin fecha requerida",IF($B$3&gt;K44,"Vencida",IF(K44-$B$3&lt;=7,"Por vencer","En plazo"))))))</f>
        <v/>
      </c>
      <c r="P44" s="24" t="n"/>
    </row>
    <row r="45">
      <c r="A45" s="22" t="n"/>
      <c r="B45" s="23" t="n"/>
      <c r="C45" s="23" t="n"/>
      <c r="D45" s="23" t="n"/>
      <c r="E45" s="23" t="n"/>
      <c r="F45" s="23" t="n"/>
      <c r="G45" s="24" t="n"/>
      <c r="H45" s="23" t="n"/>
      <c r="I45" s="23" t="n"/>
      <c r="J45" s="25" t="n"/>
      <c r="K45" s="25" t="n"/>
      <c r="L45" s="25" t="n"/>
      <c r="M45" s="23" t="n"/>
      <c r="N45" s="26">
        <f>IF(OR(B45="",K45=""),"",IF(M45="Cancelada",0,IF(M45="Liberada",IF(L45="",0,MAX(0,L45-K45)),MAX(0,$B$3-K45))))</f>
        <v/>
      </c>
      <c r="O45" s="27">
        <f>IF(B45="","",IF(M45="Cancelada","Cancelada",IF(M45="Liberada",IF(N45&gt;0,"Liberada con atraso","Liberada a tiempo"),IF(K45="","Sin fecha requerida",IF($B$3&gt;K45,"Vencida",IF(K45-$B$3&lt;=7,"Por vencer","En plazo"))))))</f>
        <v/>
      </c>
      <c r="P45" s="24" t="n"/>
    </row>
    <row r="46">
      <c r="A46" s="22" t="n"/>
      <c r="B46" s="23" t="n"/>
      <c r="C46" s="23" t="n"/>
      <c r="D46" s="23" t="n"/>
      <c r="E46" s="23" t="n"/>
      <c r="F46" s="23" t="n"/>
      <c r="G46" s="24" t="n"/>
      <c r="H46" s="23" t="n"/>
      <c r="I46" s="23" t="n"/>
      <c r="J46" s="25" t="n"/>
      <c r="K46" s="25" t="n"/>
      <c r="L46" s="25" t="n"/>
      <c r="M46" s="23" t="n"/>
      <c r="N46" s="26">
        <f>IF(OR(B46="",K46=""),"",IF(M46="Cancelada",0,IF(M46="Liberada",IF(L46="",0,MAX(0,L46-K46)),MAX(0,$B$3-K46))))</f>
        <v/>
      </c>
      <c r="O46" s="27">
        <f>IF(B46="","",IF(M46="Cancelada","Cancelada",IF(M46="Liberada",IF(N46&gt;0,"Liberada con atraso","Liberada a tiempo"),IF(K46="","Sin fecha requerida",IF($B$3&gt;K46,"Vencida",IF(K46-$B$3&lt;=7,"Por vencer","En plazo"))))))</f>
        <v/>
      </c>
      <c r="P46" s="24" t="n"/>
    </row>
    <row r="47">
      <c r="A47" s="22" t="n"/>
      <c r="B47" s="23" t="n"/>
      <c r="C47" s="23" t="n"/>
      <c r="D47" s="23" t="n"/>
      <c r="E47" s="23" t="n"/>
      <c r="F47" s="23" t="n"/>
      <c r="G47" s="24" t="n"/>
      <c r="H47" s="23" t="n"/>
      <c r="I47" s="23" t="n"/>
      <c r="J47" s="25" t="n"/>
      <c r="K47" s="25" t="n"/>
      <c r="L47" s="25" t="n"/>
      <c r="M47" s="23" t="n"/>
      <c r="N47" s="26">
        <f>IF(OR(B47="",K47=""),"",IF(M47="Cancelada",0,IF(M47="Liberada",IF(L47="",0,MAX(0,L47-K47)),MAX(0,$B$3-K47))))</f>
        <v/>
      </c>
      <c r="O47" s="27">
        <f>IF(B47="","",IF(M47="Cancelada","Cancelada",IF(M47="Liberada",IF(N47&gt;0,"Liberada con atraso","Liberada a tiempo"),IF(K47="","Sin fecha requerida",IF($B$3&gt;K47,"Vencida",IF(K47-$B$3&lt;=7,"Por vencer","En plazo"))))))</f>
        <v/>
      </c>
      <c r="P47" s="24" t="n"/>
    </row>
    <row r="48">
      <c r="A48" s="22" t="n"/>
      <c r="B48" s="23" t="n"/>
      <c r="C48" s="23" t="n"/>
      <c r="D48" s="23" t="n"/>
      <c r="E48" s="23" t="n"/>
      <c r="F48" s="23" t="n"/>
      <c r="G48" s="24" t="n"/>
      <c r="H48" s="23" t="n"/>
      <c r="I48" s="23" t="n"/>
      <c r="J48" s="25" t="n"/>
      <c r="K48" s="25" t="n"/>
      <c r="L48" s="25" t="n"/>
      <c r="M48" s="23" t="n"/>
      <c r="N48" s="26">
        <f>IF(OR(B48="",K48=""),"",IF(M48="Cancelada",0,IF(M48="Liberada",IF(L48="",0,MAX(0,L48-K48)),MAX(0,$B$3-K48))))</f>
        <v/>
      </c>
      <c r="O48" s="27">
        <f>IF(B48="","",IF(M48="Cancelada","Cancelada",IF(M48="Liberada",IF(N48&gt;0,"Liberada con atraso","Liberada a tiempo"),IF(K48="","Sin fecha requerida",IF($B$3&gt;K48,"Vencida",IF(K48-$B$3&lt;=7,"Por vencer","En plazo"))))))</f>
        <v/>
      </c>
      <c r="P48" s="24" t="n"/>
    </row>
    <row r="49">
      <c r="A49" s="22" t="n"/>
      <c r="B49" s="23" t="n"/>
      <c r="C49" s="23" t="n"/>
      <c r="D49" s="23" t="n"/>
      <c r="E49" s="23" t="n"/>
      <c r="F49" s="23" t="n"/>
      <c r="G49" s="24" t="n"/>
      <c r="H49" s="23" t="n"/>
      <c r="I49" s="23" t="n"/>
      <c r="J49" s="25" t="n"/>
      <c r="K49" s="25" t="n"/>
      <c r="L49" s="25" t="n"/>
      <c r="M49" s="23" t="n"/>
      <c r="N49" s="26">
        <f>IF(OR(B49="",K49=""),"",IF(M49="Cancelada",0,IF(M49="Liberada",IF(L49="",0,MAX(0,L49-K49)),MAX(0,$B$3-K49))))</f>
        <v/>
      </c>
      <c r="O49" s="27">
        <f>IF(B49="","",IF(M49="Cancelada","Cancelada",IF(M49="Liberada",IF(N49&gt;0,"Liberada con atraso","Liberada a tiempo"),IF(K49="","Sin fecha requerida",IF($B$3&gt;K49,"Vencida",IF(K49-$B$3&lt;=7,"Por vencer","En plazo"))))))</f>
        <v/>
      </c>
      <c r="P49" s="24" t="n"/>
    </row>
    <row r="50">
      <c r="A50" s="22" t="n"/>
      <c r="B50" s="23" t="n"/>
      <c r="C50" s="23" t="n"/>
      <c r="D50" s="23" t="n"/>
      <c r="E50" s="23" t="n"/>
      <c r="F50" s="23" t="n"/>
      <c r="G50" s="24" t="n"/>
      <c r="H50" s="23" t="n"/>
      <c r="I50" s="23" t="n"/>
      <c r="J50" s="25" t="n"/>
      <c r="K50" s="25" t="n"/>
      <c r="L50" s="25" t="n"/>
      <c r="M50" s="23" t="n"/>
      <c r="N50" s="26">
        <f>IF(OR(B50="",K50=""),"",IF(M50="Cancelada",0,IF(M50="Liberada",IF(L50="",0,MAX(0,L50-K50)),MAX(0,$B$3-K50))))</f>
        <v/>
      </c>
      <c r="O50" s="27">
        <f>IF(B50="","",IF(M50="Cancelada","Cancelada",IF(M50="Liberada",IF(N50&gt;0,"Liberada con atraso","Liberada a tiempo"),IF(K50="","Sin fecha requerida",IF($B$3&gt;K50,"Vencida",IF(K50-$B$3&lt;=7,"Por vencer","En plazo"))))))</f>
        <v/>
      </c>
      <c r="P50" s="24" t="n"/>
    </row>
    <row r="51">
      <c r="A51" s="22" t="n"/>
      <c r="B51" s="23" t="n"/>
      <c r="C51" s="23" t="n"/>
      <c r="D51" s="23" t="n"/>
      <c r="E51" s="23" t="n"/>
      <c r="F51" s="23" t="n"/>
      <c r="G51" s="24" t="n"/>
      <c r="H51" s="23" t="n"/>
      <c r="I51" s="23" t="n"/>
      <c r="J51" s="25" t="n"/>
      <c r="K51" s="25" t="n"/>
      <c r="L51" s="25" t="n"/>
      <c r="M51" s="23" t="n"/>
      <c r="N51" s="26">
        <f>IF(OR(B51="",K51=""),"",IF(M51="Cancelada",0,IF(M51="Liberada",IF(L51="",0,MAX(0,L51-K51)),MAX(0,$B$3-K51))))</f>
        <v/>
      </c>
      <c r="O51" s="27">
        <f>IF(B51="","",IF(M51="Cancelada","Cancelada",IF(M51="Liberada",IF(N51&gt;0,"Liberada con atraso","Liberada a tiempo"),IF(K51="","Sin fecha requerida",IF($B$3&gt;K51,"Vencida",IF(K51-$B$3&lt;=7,"Por vencer","En plazo"))))))</f>
        <v/>
      </c>
      <c r="P51" s="24" t="n"/>
    </row>
    <row r="52">
      <c r="A52" s="22" t="n"/>
      <c r="B52" s="23" t="n"/>
      <c r="C52" s="23" t="n"/>
      <c r="D52" s="23" t="n"/>
      <c r="E52" s="23" t="n"/>
      <c r="F52" s="23" t="n"/>
      <c r="G52" s="24" t="n"/>
      <c r="H52" s="23" t="n"/>
      <c r="I52" s="23" t="n"/>
      <c r="J52" s="25" t="n"/>
      <c r="K52" s="25" t="n"/>
      <c r="L52" s="25" t="n"/>
      <c r="M52" s="23" t="n"/>
      <c r="N52" s="26">
        <f>IF(OR(B52="",K52=""),"",IF(M52="Cancelada",0,IF(M52="Liberada",IF(L52="",0,MAX(0,L52-K52)),MAX(0,$B$3-K52))))</f>
        <v/>
      </c>
      <c r="O52" s="27">
        <f>IF(B52="","",IF(M52="Cancelada","Cancelada",IF(M52="Liberada",IF(N52&gt;0,"Liberada con atraso","Liberada a tiempo"),IF(K52="","Sin fecha requerida",IF($B$3&gt;K52,"Vencida",IF(K52-$B$3&lt;=7,"Por vencer","En plazo"))))))</f>
        <v/>
      </c>
      <c r="P52" s="24" t="n"/>
    </row>
    <row r="53">
      <c r="A53" s="22" t="n"/>
      <c r="B53" s="23" t="n"/>
      <c r="C53" s="23" t="n"/>
      <c r="D53" s="23" t="n"/>
      <c r="E53" s="23" t="n"/>
      <c r="F53" s="23" t="n"/>
      <c r="G53" s="24" t="n"/>
      <c r="H53" s="23" t="n"/>
      <c r="I53" s="23" t="n"/>
      <c r="J53" s="25" t="n"/>
      <c r="K53" s="25" t="n"/>
      <c r="L53" s="25" t="n"/>
      <c r="M53" s="23" t="n"/>
      <c r="N53" s="26">
        <f>IF(OR(B53="",K53=""),"",IF(M53="Cancelada",0,IF(M53="Liberada",IF(L53="",0,MAX(0,L53-K53)),MAX(0,$B$3-K53))))</f>
        <v/>
      </c>
      <c r="O53" s="27">
        <f>IF(B53="","",IF(M53="Cancelada","Cancelada",IF(M53="Liberada",IF(N53&gt;0,"Liberada con atraso","Liberada a tiempo"),IF(K53="","Sin fecha requerida",IF($B$3&gt;K53,"Vencida",IF(K53-$B$3&lt;=7,"Por vencer","En plazo"))))))</f>
        <v/>
      </c>
      <c r="P53" s="24" t="n"/>
    </row>
    <row r="54">
      <c r="A54" s="22" t="n"/>
      <c r="B54" s="23" t="n"/>
      <c r="C54" s="23" t="n"/>
      <c r="D54" s="23" t="n"/>
      <c r="E54" s="23" t="n"/>
      <c r="F54" s="23" t="n"/>
      <c r="G54" s="24" t="n"/>
      <c r="H54" s="23" t="n"/>
      <c r="I54" s="23" t="n"/>
      <c r="J54" s="25" t="n"/>
      <c r="K54" s="25" t="n"/>
      <c r="L54" s="25" t="n"/>
      <c r="M54" s="23" t="n"/>
      <c r="N54" s="26">
        <f>IF(OR(B54="",K54=""),"",IF(M54="Cancelada",0,IF(M54="Liberada",IF(L54="",0,MAX(0,L54-K54)),MAX(0,$B$3-K54))))</f>
        <v/>
      </c>
      <c r="O54" s="27">
        <f>IF(B54="","",IF(M54="Cancelada","Cancelada",IF(M54="Liberada",IF(N54&gt;0,"Liberada con atraso","Liberada a tiempo"),IF(K54="","Sin fecha requerida",IF($B$3&gt;K54,"Vencida",IF(K54-$B$3&lt;=7,"Por vencer","En plazo"))))))</f>
        <v/>
      </c>
      <c r="P54" s="24" t="n"/>
    </row>
    <row r="55">
      <c r="A55" s="22" t="n"/>
      <c r="B55" s="23" t="n"/>
      <c r="C55" s="23" t="n"/>
      <c r="D55" s="23" t="n"/>
      <c r="E55" s="23" t="n"/>
      <c r="F55" s="23" t="n"/>
      <c r="G55" s="24" t="n"/>
      <c r="H55" s="23" t="n"/>
      <c r="I55" s="23" t="n"/>
      <c r="J55" s="25" t="n"/>
      <c r="K55" s="25" t="n"/>
      <c r="L55" s="25" t="n"/>
      <c r="M55" s="23" t="n"/>
      <c r="N55" s="26">
        <f>IF(OR(B55="",K55=""),"",IF(M55="Cancelada",0,IF(M55="Liberada",IF(L55="",0,MAX(0,L55-K55)),MAX(0,$B$3-K55))))</f>
        <v/>
      </c>
      <c r="O55" s="27">
        <f>IF(B55="","",IF(M55="Cancelada","Cancelada",IF(M55="Liberada",IF(N55&gt;0,"Liberada con atraso","Liberada a tiempo"),IF(K55="","Sin fecha requerida",IF($B$3&gt;K55,"Vencida",IF(K55-$B$3&lt;=7,"Por vencer","En plazo"))))))</f>
        <v/>
      </c>
      <c r="P55" s="24" t="n"/>
    </row>
    <row r="56">
      <c r="A56" s="22" t="n"/>
      <c r="B56" s="23" t="n"/>
      <c r="C56" s="23" t="n"/>
      <c r="D56" s="23" t="n"/>
      <c r="E56" s="23" t="n"/>
      <c r="F56" s="23" t="n"/>
      <c r="G56" s="24" t="n"/>
      <c r="H56" s="23" t="n"/>
      <c r="I56" s="23" t="n"/>
      <c r="J56" s="25" t="n"/>
      <c r="K56" s="25" t="n"/>
      <c r="L56" s="25" t="n"/>
      <c r="M56" s="23" t="n"/>
      <c r="N56" s="26">
        <f>IF(OR(B56="",K56=""),"",IF(M56="Cancelada",0,IF(M56="Liberada",IF(L56="",0,MAX(0,L56-K56)),MAX(0,$B$3-K56))))</f>
        <v/>
      </c>
      <c r="O56" s="27">
        <f>IF(B56="","",IF(M56="Cancelada","Cancelada",IF(M56="Liberada",IF(N56&gt;0,"Liberada con atraso","Liberada a tiempo"),IF(K56="","Sin fecha requerida",IF($B$3&gt;K56,"Vencida",IF(K56-$B$3&lt;=7,"Por vencer","En plazo"))))))</f>
        <v/>
      </c>
      <c r="P56" s="24" t="n"/>
    </row>
    <row r="57">
      <c r="A57" s="22" t="n"/>
      <c r="B57" s="23" t="n"/>
      <c r="C57" s="23" t="n"/>
      <c r="D57" s="23" t="n"/>
      <c r="E57" s="23" t="n"/>
      <c r="F57" s="23" t="n"/>
      <c r="G57" s="24" t="n"/>
      <c r="H57" s="23" t="n"/>
      <c r="I57" s="23" t="n"/>
      <c r="J57" s="25" t="n"/>
      <c r="K57" s="25" t="n"/>
      <c r="L57" s="25" t="n"/>
      <c r="M57" s="23" t="n"/>
      <c r="N57" s="26">
        <f>IF(OR(B57="",K57=""),"",IF(M57="Cancelada",0,IF(M57="Liberada",IF(L57="",0,MAX(0,L57-K57)),MAX(0,$B$3-K57))))</f>
        <v/>
      </c>
      <c r="O57" s="27">
        <f>IF(B57="","",IF(M57="Cancelada","Cancelada",IF(M57="Liberada",IF(N57&gt;0,"Liberada con atraso","Liberada a tiempo"),IF(K57="","Sin fecha requerida",IF($B$3&gt;K57,"Vencida",IF(K57-$B$3&lt;=7,"Por vencer","En plazo"))))))</f>
        <v/>
      </c>
      <c r="P57" s="24" t="n"/>
    </row>
    <row r="58">
      <c r="A58" s="22" t="n"/>
      <c r="B58" s="23" t="n"/>
      <c r="C58" s="23" t="n"/>
      <c r="D58" s="23" t="n"/>
      <c r="E58" s="23" t="n"/>
      <c r="F58" s="23" t="n"/>
      <c r="G58" s="24" t="n"/>
      <c r="H58" s="23" t="n"/>
      <c r="I58" s="23" t="n"/>
      <c r="J58" s="25" t="n"/>
      <c r="K58" s="25" t="n"/>
      <c r="L58" s="25" t="n"/>
      <c r="M58" s="23" t="n"/>
      <c r="N58" s="26">
        <f>IF(OR(B58="",K58=""),"",IF(M58="Cancelada",0,IF(M58="Liberada",IF(L58="",0,MAX(0,L58-K58)),MAX(0,$B$3-K58))))</f>
        <v/>
      </c>
      <c r="O58" s="27">
        <f>IF(B58="","",IF(M58="Cancelada","Cancelada",IF(M58="Liberada",IF(N58&gt;0,"Liberada con atraso","Liberada a tiempo"),IF(K58="","Sin fecha requerida",IF($B$3&gt;K58,"Vencida",IF(K58-$B$3&lt;=7,"Por vencer","En plazo"))))))</f>
        <v/>
      </c>
      <c r="P58" s="24" t="n"/>
    </row>
    <row r="59">
      <c r="A59" s="22" t="n"/>
      <c r="B59" s="23" t="n"/>
      <c r="C59" s="23" t="n"/>
      <c r="D59" s="23" t="n"/>
      <c r="E59" s="23" t="n"/>
      <c r="F59" s="23" t="n"/>
      <c r="G59" s="24" t="n"/>
      <c r="H59" s="23" t="n"/>
      <c r="I59" s="23" t="n"/>
      <c r="J59" s="25" t="n"/>
      <c r="K59" s="25" t="n"/>
      <c r="L59" s="25" t="n"/>
      <c r="M59" s="23" t="n"/>
      <c r="N59" s="26">
        <f>IF(OR(B59="",K59=""),"",IF(M59="Cancelada",0,IF(M59="Liberada",IF(L59="",0,MAX(0,L59-K59)),MAX(0,$B$3-K59))))</f>
        <v/>
      </c>
      <c r="O59" s="27">
        <f>IF(B59="","",IF(M59="Cancelada","Cancelada",IF(M59="Liberada",IF(N59&gt;0,"Liberada con atraso","Liberada a tiempo"),IF(K59="","Sin fecha requerida",IF($B$3&gt;K59,"Vencida",IF(K59-$B$3&lt;=7,"Por vencer","En plazo"))))))</f>
        <v/>
      </c>
      <c r="P59" s="24" t="n"/>
    </row>
    <row r="60">
      <c r="A60" s="22" t="n"/>
      <c r="B60" s="23" t="n"/>
      <c r="C60" s="23" t="n"/>
      <c r="D60" s="23" t="n"/>
      <c r="E60" s="23" t="n"/>
      <c r="F60" s="23" t="n"/>
      <c r="G60" s="24" t="n"/>
      <c r="H60" s="23" t="n"/>
      <c r="I60" s="23" t="n"/>
      <c r="J60" s="25" t="n"/>
      <c r="K60" s="25" t="n"/>
      <c r="L60" s="25" t="n"/>
      <c r="M60" s="23" t="n"/>
      <c r="N60" s="26">
        <f>IF(OR(B60="",K60=""),"",IF(M60="Cancelada",0,IF(M60="Liberada",IF(L60="",0,MAX(0,L60-K60)),MAX(0,$B$3-K60))))</f>
        <v/>
      </c>
      <c r="O60" s="27">
        <f>IF(B60="","",IF(M60="Cancelada","Cancelada",IF(M60="Liberada",IF(N60&gt;0,"Liberada con atraso","Liberada a tiempo"),IF(K60="","Sin fecha requerida",IF($B$3&gt;K60,"Vencida",IF(K60-$B$3&lt;=7,"Por vencer","En plazo"))))))</f>
        <v/>
      </c>
      <c r="P60" s="24" t="n"/>
    </row>
    <row r="61">
      <c r="A61" s="22" t="n"/>
      <c r="B61" s="23" t="n"/>
      <c r="C61" s="23" t="n"/>
      <c r="D61" s="23" t="n"/>
      <c r="E61" s="23" t="n"/>
      <c r="F61" s="23" t="n"/>
      <c r="G61" s="24" t="n"/>
      <c r="H61" s="23" t="n"/>
      <c r="I61" s="23" t="n"/>
      <c r="J61" s="25" t="n"/>
      <c r="K61" s="25" t="n"/>
      <c r="L61" s="25" t="n"/>
      <c r="M61" s="23" t="n"/>
      <c r="N61" s="26">
        <f>IF(OR(B61="",K61=""),"",IF(M61="Cancelada",0,IF(M61="Liberada",IF(L61="",0,MAX(0,L61-K61)),MAX(0,$B$3-K61))))</f>
        <v/>
      </c>
      <c r="O61" s="27">
        <f>IF(B61="","",IF(M61="Cancelada","Cancelada",IF(M61="Liberada",IF(N61&gt;0,"Liberada con atraso","Liberada a tiempo"),IF(K61="","Sin fecha requerida",IF($B$3&gt;K61,"Vencida",IF(K61-$B$3&lt;=7,"Por vencer","En plazo"))))))</f>
        <v/>
      </c>
      <c r="P61" s="24" t="n"/>
    </row>
    <row r="62">
      <c r="A62" s="22" t="n"/>
      <c r="B62" s="23" t="n"/>
      <c r="C62" s="23" t="n"/>
      <c r="D62" s="23" t="n"/>
      <c r="E62" s="23" t="n"/>
      <c r="F62" s="23" t="n"/>
      <c r="G62" s="24" t="n"/>
      <c r="H62" s="23" t="n"/>
      <c r="I62" s="23" t="n"/>
      <c r="J62" s="25" t="n"/>
      <c r="K62" s="25" t="n"/>
      <c r="L62" s="25" t="n"/>
      <c r="M62" s="23" t="n"/>
      <c r="N62" s="26">
        <f>IF(OR(B62="",K62=""),"",IF(M62="Cancelada",0,IF(M62="Liberada",IF(L62="",0,MAX(0,L62-K62)),MAX(0,$B$3-K62))))</f>
        <v/>
      </c>
      <c r="O62" s="27">
        <f>IF(B62="","",IF(M62="Cancelada","Cancelada",IF(M62="Liberada",IF(N62&gt;0,"Liberada con atraso","Liberada a tiempo"),IF(K62="","Sin fecha requerida",IF($B$3&gt;K62,"Vencida",IF(K62-$B$3&lt;=7,"Por vencer","En plazo"))))))</f>
        <v/>
      </c>
      <c r="P62" s="24" t="n"/>
    </row>
    <row r="63">
      <c r="A63" s="22" t="n"/>
      <c r="B63" s="23" t="n"/>
      <c r="C63" s="23" t="n"/>
      <c r="D63" s="23" t="n"/>
      <c r="E63" s="23" t="n"/>
      <c r="F63" s="23" t="n"/>
      <c r="G63" s="24" t="n"/>
      <c r="H63" s="23" t="n"/>
      <c r="I63" s="23" t="n"/>
      <c r="J63" s="25" t="n"/>
      <c r="K63" s="25" t="n"/>
      <c r="L63" s="25" t="n"/>
      <c r="M63" s="23" t="n"/>
      <c r="N63" s="26">
        <f>IF(OR(B63="",K63=""),"",IF(M63="Cancelada",0,IF(M63="Liberada",IF(L63="",0,MAX(0,L63-K63)),MAX(0,$B$3-K63))))</f>
        <v/>
      </c>
      <c r="O63" s="27">
        <f>IF(B63="","",IF(M63="Cancelada","Cancelada",IF(M63="Liberada",IF(N63&gt;0,"Liberada con atraso","Liberada a tiempo"),IF(K63="","Sin fecha requerida",IF($B$3&gt;K63,"Vencida",IF(K63-$B$3&lt;=7,"Por vencer","En plazo"))))))</f>
        <v/>
      </c>
      <c r="P63" s="24" t="n"/>
    </row>
    <row r="64">
      <c r="A64" s="22" t="n"/>
      <c r="B64" s="23" t="n"/>
      <c r="C64" s="23" t="n"/>
      <c r="D64" s="23" t="n"/>
      <c r="E64" s="23" t="n"/>
      <c r="F64" s="23" t="n"/>
      <c r="G64" s="24" t="n"/>
      <c r="H64" s="23" t="n"/>
      <c r="I64" s="23" t="n"/>
      <c r="J64" s="25" t="n"/>
      <c r="K64" s="25" t="n"/>
      <c r="L64" s="25" t="n"/>
      <c r="M64" s="23" t="n"/>
      <c r="N64" s="26">
        <f>IF(OR(B64="",K64=""),"",IF(M64="Cancelada",0,IF(M64="Liberada",IF(L64="",0,MAX(0,L64-K64)),MAX(0,$B$3-K64))))</f>
        <v/>
      </c>
      <c r="O64" s="27">
        <f>IF(B64="","",IF(M64="Cancelada","Cancelada",IF(M64="Liberada",IF(N64&gt;0,"Liberada con atraso","Liberada a tiempo"),IF(K64="","Sin fecha requerida",IF($B$3&gt;K64,"Vencida",IF(K64-$B$3&lt;=7,"Por vencer","En plazo"))))))</f>
        <v/>
      </c>
      <c r="P64" s="24" t="n"/>
    </row>
    <row r="65">
      <c r="A65" s="22" t="n"/>
      <c r="B65" s="23" t="n"/>
      <c r="C65" s="23" t="n"/>
      <c r="D65" s="23" t="n"/>
      <c r="E65" s="23" t="n"/>
      <c r="F65" s="23" t="n"/>
      <c r="G65" s="24" t="n"/>
      <c r="H65" s="23" t="n"/>
      <c r="I65" s="23" t="n"/>
      <c r="J65" s="25" t="n"/>
      <c r="K65" s="25" t="n"/>
      <c r="L65" s="25" t="n"/>
      <c r="M65" s="23" t="n"/>
      <c r="N65" s="26">
        <f>IF(OR(B65="",K65=""),"",IF(M65="Cancelada",0,IF(M65="Liberada",IF(L65="",0,MAX(0,L65-K65)),MAX(0,$B$3-K65))))</f>
        <v/>
      </c>
      <c r="O65" s="27">
        <f>IF(B65="","",IF(M65="Cancelada","Cancelada",IF(M65="Liberada",IF(N65&gt;0,"Liberada con atraso","Liberada a tiempo"),IF(K65="","Sin fecha requerida",IF($B$3&gt;K65,"Vencida",IF(K65-$B$3&lt;=7,"Por vencer","En plazo"))))))</f>
        <v/>
      </c>
      <c r="P65" s="24" t="n"/>
    </row>
    <row r="66">
      <c r="A66" s="22" t="n"/>
      <c r="B66" s="23" t="n"/>
      <c r="C66" s="23" t="n"/>
      <c r="D66" s="23" t="n"/>
      <c r="E66" s="23" t="n"/>
      <c r="F66" s="23" t="n"/>
      <c r="G66" s="24" t="n"/>
      <c r="H66" s="23" t="n"/>
      <c r="I66" s="23" t="n"/>
      <c r="J66" s="25" t="n"/>
      <c r="K66" s="25" t="n"/>
      <c r="L66" s="25" t="n"/>
      <c r="M66" s="23" t="n"/>
      <c r="N66" s="26">
        <f>IF(OR(B66="",K66=""),"",IF(M66="Cancelada",0,IF(M66="Liberada",IF(L66="",0,MAX(0,L66-K66)),MAX(0,$B$3-K66))))</f>
        <v/>
      </c>
      <c r="O66" s="27">
        <f>IF(B66="","",IF(M66="Cancelada","Cancelada",IF(M66="Liberada",IF(N66&gt;0,"Liberada con atraso","Liberada a tiempo"),IF(K66="","Sin fecha requerida",IF($B$3&gt;K66,"Vencida",IF(K66-$B$3&lt;=7,"Por vencer","En plazo"))))))</f>
        <v/>
      </c>
      <c r="P66" s="24" t="n"/>
    </row>
    <row r="67">
      <c r="A67" s="22" t="n"/>
      <c r="B67" s="23" t="n"/>
      <c r="C67" s="23" t="n"/>
      <c r="D67" s="23" t="n"/>
      <c r="E67" s="23" t="n"/>
      <c r="F67" s="23" t="n"/>
      <c r="G67" s="24" t="n"/>
      <c r="H67" s="23" t="n"/>
      <c r="I67" s="23" t="n"/>
      <c r="J67" s="25" t="n"/>
      <c r="K67" s="25" t="n"/>
      <c r="L67" s="25" t="n"/>
      <c r="M67" s="23" t="n"/>
      <c r="N67" s="26">
        <f>IF(OR(B67="",K67=""),"",IF(M67="Cancelada",0,IF(M67="Liberada",IF(L67="",0,MAX(0,L67-K67)),MAX(0,$B$3-K67))))</f>
        <v/>
      </c>
      <c r="O67" s="27">
        <f>IF(B67="","",IF(M67="Cancelada","Cancelada",IF(M67="Liberada",IF(N67&gt;0,"Liberada con atraso","Liberada a tiempo"),IF(K67="","Sin fecha requerida",IF($B$3&gt;K67,"Vencida",IF(K67-$B$3&lt;=7,"Por vencer","En plazo"))))))</f>
        <v/>
      </c>
      <c r="P67" s="24" t="n"/>
    </row>
    <row r="68">
      <c r="A68" s="22" t="n"/>
      <c r="B68" s="23" t="n"/>
      <c r="C68" s="23" t="n"/>
      <c r="D68" s="23" t="n"/>
      <c r="E68" s="23" t="n"/>
      <c r="F68" s="23" t="n"/>
      <c r="G68" s="24" t="n"/>
      <c r="H68" s="23" t="n"/>
      <c r="I68" s="23" t="n"/>
      <c r="J68" s="25" t="n"/>
      <c r="K68" s="25" t="n"/>
      <c r="L68" s="25" t="n"/>
      <c r="M68" s="23" t="n"/>
      <c r="N68" s="26">
        <f>IF(OR(B68="",K68=""),"",IF(M68="Cancelada",0,IF(M68="Liberada",IF(L68="",0,MAX(0,L68-K68)),MAX(0,$B$3-K68))))</f>
        <v/>
      </c>
      <c r="O68" s="27">
        <f>IF(B68="","",IF(M68="Cancelada","Cancelada",IF(M68="Liberada",IF(N68&gt;0,"Liberada con atraso","Liberada a tiempo"),IF(K68="","Sin fecha requerida",IF($B$3&gt;K68,"Vencida",IF(K68-$B$3&lt;=7,"Por vencer","En plazo"))))))</f>
        <v/>
      </c>
      <c r="P68" s="24" t="n"/>
    </row>
    <row r="69">
      <c r="A69" s="22" t="n"/>
      <c r="B69" s="23" t="n"/>
      <c r="C69" s="23" t="n"/>
      <c r="D69" s="23" t="n"/>
      <c r="E69" s="23" t="n"/>
      <c r="F69" s="23" t="n"/>
      <c r="G69" s="24" t="n"/>
      <c r="H69" s="23" t="n"/>
      <c r="I69" s="23" t="n"/>
      <c r="J69" s="25" t="n"/>
      <c r="K69" s="25" t="n"/>
      <c r="L69" s="25" t="n"/>
      <c r="M69" s="23" t="n"/>
      <c r="N69" s="26">
        <f>IF(OR(B69="",K69=""),"",IF(M69="Cancelada",0,IF(M69="Liberada",IF(L69="",0,MAX(0,L69-K69)),MAX(0,$B$3-K69))))</f>
        <v/>
      </c>
      <c r="O69" s="27">
        <f>IF(B69="","",IF(M69="Cancelada","Cancelada",IF(M69="Liberada",IF(N69&gt;0,"Liberada con atraso","Liberada a tiempo"),IF(K69="","Sin fecha requerida",IF($B$3&gt;K69,"Vencida",IF(K69-$B$3&lt;=7,"Por vencer","En plazo"))))))</f>
        <v/>
      </c>
      <c r="P69" s="24" t="n"/>
    </row>
    <row r="70">
      <c r="A70" s="22" t="n"/>
      <c r="B70" s="23" t="n"/>
      <c r="C70" s="23" t="n"/>
      <c r="D70" s="23" t="n"/>
      <c r="E70" s="23" t="n"/>
      <c r="F70" s="23" t="n"/>
      <c r="G70" s="24" t="n"/>
      <c r="H70" s="23" t="n"/>
      <c r="I70" s="23" t="n"/>
      <c r="J70" s="25" t="n"/>
      <c r="K70" s="25" t="n"/>
      <c r="L70" s="25" t="n"/>
      <c r="M70" s="23" t="n"/>
      <c r="N70" s="26">
        <f>IF(OR(B70="",K70=""),"",IF(M70="Cancelada",0,IF(M70="Liberada",IF(L70="",0,MAX(0,L70-K70)),MAX(0,$B$3-K70))))</f>
        <v/>
      </c>
      <c r="O70" s="27">
        <f>IF(B70="","",IF(M70="Cancelada","Cancelada",IF(M70="Liberada",IF(N70&gt;0,"Liberada con atraso","Liberada a tiempo"),IF(K70="","Sin fecha requerida",IF($B$3&gt;K70,"Vencida",IF(K70-$B$3&lt;=7,"Por vencer","En plazo"))))))</f>
        <v/>
      </c>
      <c r="P70" s="24" t="n"/>
    </row>
    <row r="71">
      <c r="A71" s="22" t="n"/>
      <c r="B71" s="23" t="n"/>
      <c r="C71" s="23" t="n"/>
      <c r="D71" s="23" t="n"/>
      <c r="E71" s="23" t="n"/>
      <c r="F71" s="23" t="n"/>
      <c r="G71" s="24" t="n"/>
      <c r="H71" s="23" t="n"/>
      <c r="I71" s="23" t="n"/>
      <c r="J71" s="25" t="n"/>
      <c r="K71" s="25" t="n"/>
      <c r="L71" s="25" t="n"/>
      <c r="M71" s="23" t="n"/>
      <c r="N71" s="26">
        <f>IF(OR(B71="",K71=""),"",IF(M71="Cancelada",0,IF(M71="Liberada",IF(L71="",0,MAX(0,L71-K71)),MAX(0,$B$3-K71))))</f>
        <v/>
      </c>
      <c r="O71" s="27">
        <f>IF(B71="","",IF(M71="Cancelada","Cancelada",IF(M71="Liberada",IF(N71&gt;0,"Liberada con atraso","Liberada a tiempo"),IF(K71="","Sin fecha requerida",IF($B$3&gt;K71,"Vencida",IF(K71-$B$3&lt;=7,"Por vencer","En plazo"))))))</f>
        <v/>
      </c>
      <c r="P71" s="24" t="n"/>
    </row>
    <row r="72">
      <c r="A72" s="22" t="n"/>
      <c r="B72" s="23" t="n"/>
      <c r="C72" s="23" t="n"/>
      <c r="D72" s="23" t="n"/>
      <c r="E72" s="23" t="n"/>
      <c r="F72" s="23" t="n"/>
      <c r="G72" s="24" t="n"/>
      <c r="H72" s="23" t="n"/>
      <c r="I72" s="23" t="n"/>
      <c r="J72" s="25" t="n"/>
      <c r="K72" s="25" t="n"/>
      <c r="L72" s="25" t="n"/>
      <c r="M72" s="23" t="n"/>
      <c r="N72" s="26">
        <f>IF(OR(B72="",K72=""),"",IF(M72="Cancelada",0,IF(M72="Liberada",IF(L72="",0,MAX(0,L72-K72)),MAX(0,$B$3-K72))))</f>
        <v/>
      </c>
      <c r="O72" s="27">
        <f>IF(B72="","",IF(M72="Cancelada","Cancelada",IF(M72="Liberada",IF(N72&gt;0,"Liberada con atraso","Liberada a tiempo"),IF(K72="","Sin fecha requerida",IF($B$3&gt;K72,"Vencida",IF(K72-$B$3&lt;=7,"Por vencer","En plazo"))))))</f>
        <v/>
      </c>
      <c r="P72" s="24" t="n"/>
    </row>
    <row r="73">
      <c r="A73" s="22" t="n"/>
      <c r="B73" s="23" t="n"/>
      <c r="C73" s="23" t="n"/>
      <c r="D73" s="23" t="n"/>
      <c r="E73" s="23" t="n"/>
      <c r="F73" s="23" t="n"/>
      <c r="G73" s="24" t="n"/>
      <c r="H73" s="23" t="n"/>
      <c r="I73" s="23" t="n"/>
      <c r="J73" s="25" t="n"/>
      <c r="K73" s="25" t="n"/>
      <c r="L73" s="25" t="n"/>
      <c r="M73" s="23" t="n"/>
      <c r="N73" s="26">
        <f>IF(OR(B73="",K73=""),"",IF(M73="Cancelada",0,IF(M73="Liberada",IF(L73="",0,MAX(0,L73-K73)),MAX(0,$B$3-K73))))</f>
        <v/>
      </c>
      <c r="O73" s="27">
        <f>IF(B73="","",IF(M73="Cancelada","Cancelada",IF(M73="Liberada",IF(N73&gt;0,"Liberada con atraso","Liberada a tiempo"),IF(K73="","Sin fecha requerida",IF($B$3&gt;K73,"Vencida",IF(K73-$B$3&lt;=7,"Por vencer","En plazo"))))))</f>
        <v/>
      </c>
      <c r="P73" s="24" t="n"/>
    </row>
    <row r="74">
      <c r="A74" s="22" t="n"/>
      <c r="B74" s="23" t="n"/>
      <c r="C74" s="23" t="n"/>
      <c r="D74" s="23" t="n"/>
      <c r="E74" s="23" t="n"/>
      <c r="F74" s="23" t="n"/>
      <c r="G74" s="24" t="n"/>
      <c r="H74" s="23" t="n"/>
      <c r="I74" s="23" t="n"/>
      <c r="J74" s="25" t="n"/>
      <c r="K74" s="25" t="n"/>
      <c r="L74" s="25" t="n"/>
      <c r="M74" s="23" t="n"/>
      <c r="N74" s="26">
        <f>IF(OR(B74="",K74=""),"",IF(M74="Cancelada",0,IF(M74="Liberada",IF(L74="",0,MAX(0,L74-K74)),MAX(0,$B$3-K74))))</f>
        <v/>
      </c>
      <c r="O74" s="27">
        <f>IF(B74="","",IF(M74="Cancelada","Cancelada",IF(M74="Liberada",IF(N74&gt;0,"Liberada con atraso","Liberada a tiempo"),IF(K74="","Sin fecha requerida",IF($B$3&gt;K74,"Vencida",IF(K74-$B$3&lt;=7,"Por vencer","En plazo"))))))</f>
        <v/>
      </c>
      <c r="P74" s="24" t="n"/>
    </row>
    <row r="75">
      <c r="A75" s="22" t="n"/>
      <c r="B75" s="23" t="n"/>
      <c r="C75" s="23" t="n"/>
      <c r="D75" s="23" t="n"/>
      <c r="E75" s="23" t="n"/>
      <c r="F75" s="23" t="n"/>
      <c r="G75" s="24" t="n"/>
      <c r="H75" s="23" t="n"/>
      <c r="I75" s="23" t="n"/>
      <c r="J75" s="25" t="n"/>
      <c r="K75" s="25" t="n"/>
      <c r="L75" s="25" t="n"/>
      <c r="M75" s="23" t="n"/>
      <c r="N75" s="26">
        <f>IF(OR(B75="",K75=""),"",IF(M75="Cancelada",0,IF(M75="Liberada",IF(L75="",0,MAX(0,L75-K75)),MAX(0,$B$3-K75))))</f>
        <v/>
      </c>
      <c r="O75" s="27">
        <f>IF(B75="","",IF(M75="Cancelada","Cancelada",IF(M75="Liberada",IF(N75&gt;0,"Liberada con atraso","Liberada a tiempo"),IF(K75="","Sin fecha requerida",IF($B$3&gt;K75,"Vencida",IF(K75-$B$3&lt;=7,"Por vencer","En plazo"))))))</f>
        <v/>
      </c>
      <c r="P75" s="24" t="n"/>
    </row>
    <row r="76">
      <c r="A76" s="22" t="n"/>
      <c r="B76" s="23" t="n"/>
      <c r="C76" s="23" t="n"/>
      <c r="D76" s="23" t="n"/>
      <c r="E76" s="23" t="n"/>
      <c r="F76" s="23" t="n"/>
      <c r="G76" s="24" t="n"/>
      <c r="H76" s="23" t="n"/>
      <c r="I76" s="23" t="n"/>
      <c r="J76" s="25" t="n"/>
      <c r="K76" s="25" t="n"/>
      <c r="L76" s="25" t="n"/>
      <c r="M76" s="23" t="n"/>
      <c r="N76" s="26">
        <f>IF(OR(B76="",K76=""),"",IF(M76="Cancelada",0,IF(M76="Liberada",IF(L76="",0,MAX(0,L76-K76)),MAX(0,$B$3-K76))))</f>
        <v/>
      </c>
      <c r="O76" s="27">
        <f>IF(B76="","",IF(M76="Cancelada","Cancelada",IF(M76="Liberada",IF(N76&gt;0,"Liberada con atraso","Liberada a tiempo"),IF(K76="","Sin fecha requerida",IF($B$3&gt;K76,"Vencida",IF(K76-$B$3&lt;=7,"Por vencer","En plazo"))))))</f>
        <v/>
      </c>
      <c r="P76" s="24" t="n"/>
    </row>
    <row r="77">
      <c r="A77" s="22" t="n"/>
      <c r="B77" s="23" t="n"/>
      <c r="C77" s="23" t="n"/>
      <c r="D77" s="23" t="n"/>
      <c r="E77" s="23" t="n"/>
      <c r="F77" s="23" t="n"/>
      <c r="G77" s="24" t="n"/>
      <c r="H77" s="23" t="n"/>
      <c r="I77" s="23" t="n"/>
      <c r="J77" s="25" t="n"/>
      <c r="K77" s="25" t="n"/>
      <c r="L77" s="25" t="n"/>
      <c r="M77" s="23" t="n"/>
      <c r="N77" s="26">
        <f>IF(OR(B77="",K77=""),"",IF(M77="Cancelada",0,IF(M77="Liberada",IF(L77="",0,MAX(0,L77-K77)),MAX(0,$B$3-K77))))</f>
        <v/>
      </c>
      <c r="O77" s="27">
        <f>IF(B77="","",IF(M77="Cancelada","Cancelada",IF(M77="Liberada",IF(N77&gt;0,"Liberada con atraso","Liberada a tiempo"),IF(K77="","Sin fecha requerida",IF($B$3&gt;K77,"Vencida",IF(K77-$B$3&lt;=7,"Por vencer","En plazo"))))))</f>
        <v/>
      </c>
      <c r="P77" s="24" t="n"/>
    </row>
    <row r="78">
      <c r="A78" s="22" t="n"/>
      <c r="B78" s="23" t="n"/>
      <c r="C78" s="23" t="n"/>
      <c r="D78" s="23" t="n"/>
      <c r="E78" s="23" t="n"/>
      <c r="F78" s="23" t="n"/>
      <c r="G78" s="24" t="n"/>
      <c r="H78" s="23" t="n"/>
      <c r="I78" s="23" t="n"/>
      <c r="J78" s="25" t="n"/>
      <c r="K78" s="25" t="n"/>
      <c r="L78" s="25" t="n"/>
      <c r="M78" s="23" t="n"/>
      <c r="N78" s="26">
        <f>IF(OR(B78="",K78=""),"",IF(M78="Cancelada",0,IF(M78="Liberada",IF(L78="",0,MAX(0,L78-K78)),MAX(0,$B$3-K78))))</f>
        <v/>
      </c>
      <c r="O78" s="27">
        <f>IF(B78="","",IF(M78="Cancelada","Cancelada",IF(M78="Liberada",IF(N78&gt;0,"Liberada con atraso","Liberada a tiempo"),IF(K78="","Sin fecha requerida",IF($B$3&gt;K78,"Vencida",IF(K78-$B$3&lt;=7,"Por vencer","En plazo"))))))</f>
        <v/>
      </c>
      <c r="P78" s="24" t="n"/>
    </row>
    <row r="79">
      <c r="A79" s="22" t="n"/>
      <c r="B79" s="23" t="n"/>
      <c r="C79" s="23" t="n"/>
      <c r="D79" s="23" t="n"/>
      <c r="E79" s="23" t="n"/>
      <c r="F79" s="23" t="n"/>
      <c r="G79" s="24" t="n"/>
      <c r="H79" s="23" t="n"/>
      <c r="I79" s="23" t="n"/>
      <c r="J79" s="25" t="n"/>
      <c r="K79" s="25" t="n"/>
      <c r="L79" s="25" t="n"/>
      <c r="M79" s="23" t="n"/>
      <c r="N79" s="26">
        <f>IF(OR(B79="",K79=""),"",IF(M79="Cancelada",0,IF(M79="Liberada",IF(L79="",0,MAX(0,L79-K79)),MAX(0,$B$3-K79))))</f>
        <v/>
      </c>
      <c r="O79" s="27">
        <f>IF(B79="","",IF(M79="Cancelada","Cancelada",IF(M79="Liberada",IF(N79&gt;0,"Liberada con atraso","Liberada a tiempo"),IF(K79="","Sin fecha requerida",IF($B$3&gt;K79,"Vencida",IF(K79-$B$3&lt;=7,"Por vencer","En plazo"))))))</f>
        <v/>
      </c>
      <c r="P79" s="24" t="n"/>
    </row>
    <row r="80">
      <c r="A80" s="22" t="n"/>
      <c r="B80" s="23" t="n"/>
      <c r="C80" s="23" t="n"/>
      <c r="D80" s="23" t="n"/>
      <c r="E80" s="23" t="n"/>
      <c r="F80" s="23" t="n"/>
      <c r="G80" s="24" t="n"/>
      <c r="H80" s="23" t="n"/>
      <c r="I80" s="23" t="n"/>
      <c r="J80" s="25" t="n"/>
      <c r="K80" s="25" t="n"/>
      <c r="L80" s="25" t="n"/>
      <c r="M80" s="23" t="n"/>
      <c r="N80" s="26">
        <f>IF(OR(B80="",K80=""),"",IF(M80="Cancelada",0,IF(M80="Liberada",IF(L80="",0,MAX(0,L80-K80)),MAX(0,$B$3-K80))))</f>
        <v/>
      </c>
      <c r="O80" s="27">
        <f>IF(B80="","",IF(M80="Cancelada","Cancelada",IF(M80="Liberada",IF(N80&gt;0,"Liberada con atraso","Liberada a tiempo"),IF(K80="","Sin fecha requerida",IF($B$3&gt;K80,"Vencida",IF(K80-$B$3&lt;=7,"Por vencer","En plazo"))))))</f>
        <v/>
      </c>
      <c r="P80" s="24" t="n"/>
    </row>
    <row r="81">
      <c r="A81" s="22" t="n"/>
      <c r="B81" s="23" t="n"/>
      <c r="C81" s="23" t="n"/>
      <c r="D81" s="23" t="n"/>
      <c r="E81" s="23" t="n"/>
      <c r="F81" s="23" t="n"/>
      <c r="G81" s="24" t="n"/>
      <c r="H81" s="23" t="n"/>
      <c r="I81" s="23" t="n"/>
      <c r="J81" s="25" t="n"/>
      <c r="K81" s="25" t="n"/>
      <c r="L81" s="25" t="n"/>
      <c r="M81" s="23" t="n"/>
      <c r="N81" s="26">
        <f>IF(OR(B81="",K81=""),"",IF(M81="Cancelada",0,IF(M81="Liberada",IF(L81="",0,MAX(0,L81-K81)),MAX(0,$B$3-K81))))</f>
        <v/>
      </c>
      <c r="O81" s="27">
        <f>IF(B81="","",IF(M81="Cancelada","Cancelada",IF(M81="Liberada",IF(N81&gt;0,"Liberada con atraso","Liberada a tiempo"),IF(K81="","Sin fecha requerida",IF($B$3&gt;K81,"Vencida",IF(K81-$B$3&lt;=7,"Por vencer","En plazo"))))))</f>
        <v/>
      </c>
      <c r="P81" s="24" t="n"/>
    </row>
    <row r="82">
      <c r="A82" s="22" t="n"/>
      <c r="B82" s="23" t="n"/>
      <c r="C82" s="23" t="n"/>
      <c r="D82" s="23" t="n"/>
      <c r="E82" s="23" t="n"/>
      <c r="F82" s="23" t="n"/>
      <c r="G82" s="24" t="n"/>
      <c r="H82" s="23" t="n"/>
      <c r="I82" s="23" t="n"/>
      <c r="J82" s="25" t="n"/>
      <c r="K82" s="25" t="n"/>
      <c r="L82" s="25" t="n"/>
      <c r="M82" s="23" t="n"/>
      <c r="N82" s="26">
        <f>IF(OR(B82="",K82=""),"",IF(M82="Cancelada",0,IF(M82="Liberada",IF(L82="",0,MAX(0,L82-K82)),MAX(0,$B$3-K82))))</f>
        <v/>
      </c>
      <c r="O82" s="27">
        <f>IF(B82="","",IF(M82="Cancelada","Cancelada",IF(M82="Liberada",IF(N82&gt;0,"Liberada con atraso","Liberada a tiempo"),IF(K82="","Sin fecha requerida",IF($B$3&gt;K82,"Vencida",IF(K82-$B$3&lt;=7,"Por vencer","En plazo"))))))</f>
        <v/>
      </c>
      <c r="P82" s="24" t="n"/>
    </row>
    <row r="83">
      <c r="A83" s="22" t="n"/>
      <c r="B83" s="23" t="n"/>
      <c r="C83" s="23" t="n"/>
      <c r="D83" s="23" t="n"/>
      <c r="E83" s="23" t="n"/>
      <c r="F83" s="23" t="n"/>
      <c r="G83" s="24" t="n"/>
      <c r="H83" s="23" t="n"/>
      <c r="I83" s="23" t="n"/>
      <c r="J83" s="25" t="n"/>
      <c r="K83" s="25" t="n"/>
      <c r="L83" s="25" t="n"/>
      <c r="M83" s="23" t="n"/>
      <c r="N83" s="26">
        <f>IF(OR(B83="",K83=""),"",IF(M83="Cancelada",0,IF(M83="Liberada",IF(L83="",0,MAX(0,L83-K83)),MAX(0,$B$3-K83))))</f>
        <v/>
      </c>
      <c r="O83" s="27">
        <f>IF(B83="","",IF(M83="Cancelada","Cancelada",IF(M83="Liberada",IF(N83&gt;0,"Liberada con atraso","Liberada a tiempo"),IF(K83="","Sin fecha requerida",IF($B$3&gt;K83,"Vencida",IF(K83-$B$3&lt;=7,"Por vencer","En plazo"))))))</f>
        <v/>
      </c>
      <c r="P83" s="24" t="n"/>
    </row>
    <row r="84">
      <c r="A84" s="22" t="n"/>
      <c r="B84" s="23" t="n"/>
      <c r="C84" s="23" t="n"/>
      <c r="D84" s="23" t="n"/>
      <c r="E84" s="23" t="n"/>
      <c r="F84" s="23" t="n"/>
      <c r="G84" s="24" t="n"/>
      <c r="H84" s="23" t="n"/>
      <c r="I84" s="23" t="n"/>
      <c r="J84" s="25" t="n"/>
      <c r="K84" s="25" t="n"/>
      <c r="L84" s="25" t="n"/>
      <c r="M84" s="23" t="n"/>
      <c r="N84" s="26">
        <f>IF(OR(B84="",K84=""),"",IF(M84="Cancelada",0,IF(M84="Liberada",IF(L84="",0,MAX(0,L84-K84)),MAX(0,$B$3-K84))))</f>
        <v/>
      </c>
      <c r="O84" s="27">
        <f>IF(B84="","",IF(M84="Cancelada","Cancelada",IF(M84="Liberada",IF(N84&gt;0,"Liberada con atraso","Liberada a tiempo"),IF(K84="","Sin fecha requerida",IF($B$3&gt;K84,"Vencida",IF(K84-$B$3&lt;=7,"Por vencer","En plazo"))))))</f>
        <v/>
      </c>
      <c r="P84" s="24" t="n"/>
    </row>
    <row r="85">
      <c r="A85" s="22" t="n"/>
      <c r="B85" s="23" t="n"/>
      <c r="C85" s="23" t="n"/>
      <c r="D85" s="23" t="n"/>
      <c r="E85" s="23" t="n"/>
      <c r="F85" s="23" t="n"/>
      <c r="G85" s="24" t="n"/>
      <c r="H85" s="23" t="n"/>
      <c r="I85" s="23" t="n"/>
      <c r="J85" s="25" t="n"/>
      <c r="K85" s="25" t="n"/>
      <c r="L85" s="25" t="n"/>
      <c r="M85" s="23" t="n"/>
      <c r="N85" s="26">
        <f>IF(OR(B85="",K85=""),"",IF(M85="Cancelada",0,IF(M85="Liberada",IF(L85="",0,MAX(0,L85-K85)),MAX(0,$B$3-K85))))</f>
        <v/>
      </c>
      <c r="O85" s="27">
        <f>IF(B85="","",IF(M85="Cancelada","Cancelada",IF(M85="Liberada",IF(N85&gt;0,"Liberada con atraso","Liberada a tiempo"),IF(K85="","Sin fecha requerida",IF($B$3&gt;K85,"Vencida",IF(K85-$B$3&lt;=7,"Por vencer","En plazo"))))))</f>
        <v/>
      </c>
      <c r="P85" s="24" t="n"/>
    </row>
    <row r="86">
      <c r="A86" s="22" t="n"/>
      <c r="B86" s="23" t="n"/>
      <c r="C86" s="23" t="n"/>
      <c r="D86" s="23" t="n"/>
      <c r="E86" s="23" t="n"/>
      <c r="F86" s="23" t="n"/>
      <c r="G86" s="24" t="n"/>
      <c r="H86" s="23" t="n"/>
      <c r="I86" s="23" t="n"/>
      <c r="J86" s="25" t="n"/>
      <c r="K86" s="25" t="n"/>
      <c r="L86" s="25" t="n"/>
      <c r="M86" s="23" t="n"/>
      <c r="N86" s="26">
        <f>IF(OR(B86="",K86=""),"",IF(M86="Cancelada",0,IF(M86="Liberada",IF(L86="",0,MAX(0,L86-K86)),MAX(0,$B$3-K86))))</f>
        <v/>
      </c>
      <c r="O86" s="27">
        <f>IF(B86="","",IF(M86="Cancelada","Cancelada",IF(M86="Liberada",IF(N86&gt;0,"Liberada con atraso","Liberada a tiempo"),IF(K86="","Sin fecha requerida",IF($B$3&gt;K86,"Vencida",IF(K86-$B$3&lt;=7,"Por vencer","En plazo"))))))</f>
        <v/>
      </c>
      <c r="P86" s="24" t="n"/>
    </row>
    <row r="87">
      <c r="A87" s="22" t="n"/>
      <c r="B87" s="23" t="n"/>
      <c r="C87" s="23" t="n"/>
      <c r="D87" s="23" t="n"/>
      <c r="E87" s="23" t="n"/>
      <c r="F87" s="23" t="n"/>
      <c r="G87" s="24" t="n"/>
      <c r="H87" s="23" t="n"/>
      <c r="I87" s="23" t="n"/>
      <c r="J87" s="25" t="n"/>
      <c r="K87" s="25" t="n"/>
      <c r="L87" s="25" t="n"/>
      <c r="M87" s="23" t="n"/>
      <c r="N87" s="26">
        <f>IF(OR(B87="",K87=""),"",IF(M87="Cancelada",0,IF(M87="Liberada",IF(L87="",0,MAX(0,L87-K87)),MAX(0,$B$3-K87))))</f>
        <v/>
      </c>
      <c r="O87" s="27">
        <f>IF(B87="","",IF(M87="Cancelada","Cancelada",IF(M87="Liberada",IF(N87&gt;0,"Liberada con atraso","Liberada a tiempo"),IF(K87="","Sin fecha requerida",IF($B$3&gt;K87,"Vencida",IF(K87-$B$3&lt;=7,"Por vencer","En plazo"))))))</f>
        <v/>
      </c>
      <c r="P87" s="24" t="n"/>
    </row>
    <row r="88">
      <c r="A88" s="22" t="n"/>
      <c r="B88" s="23" t="n"/>
      <c r="C88" s="23" t="n"/>
      <c r="D88" s="23" t="n"/>
      <c r="E88" s="23" t="n"/>
      <c r="F88" s="23" t="n"/>
      <c r="G88" s="24" t="n"/>
      <c r="H88" s="23" t="n"/>
      <c r="I88" s="23" t="n"/>
      <c r="J88" s="25" t="n"/>
      <c r="K88" s="25" t="n"/>
      <c r="L88" s="25" t="n"/>
      <c r="M88" s="23" t="n"/>
      <c r="N88" s="26">
        <f>IF(OR(B88="",K88=""),"",IF(M88="Cancelada",0,IF(M88="Liberada",IF(L88="",0,MAX(0,L88-K88)),MAX(0,$B$3-K88))))</f>
        <v/>
      </c>
      <c r="O88" s="27">
        <f>IF(B88="","",IF(M88="Cancelada","Cancelada",IF(M88="Liberada",IF(N88&gt;0,"Liberada con atraso","Liberada a tiempo"),IF(K88="","Sin fecha requerida",IF($B$3&gt;K88,"Vencida",IF(K88-$B$3&lt;=7,"Por vencer","En plazo"))))))</f>
        <v/>
      </c>
      <c r="P88" s="24" t="n"/>
    </row>
    <row r="89">
      <c r="A89" s="22" t="n"/>
      <c r="B89" s="23" t="n"/>
      <c r="C89" s="23" t="n"/>
      <c r="D89" s="23" t="n"/>
      <c r="E89" s="23" t="n"/>
      <c r="F89" s="23" t="n"/>
      <c r="G89" s="24" t="n"/>
      <c r="H89" s="23" t="n"/>
      <c r="I89" s="23" t="n"/>
      <c r="J89" s="25" t="n"/>
      <c r="K89" s="25" t="n"/>
      <c r="L89" s="25" t="n"/>
      <c r="M89" s="23" t="n"/>
      <c r="N89" s="26">
        <f>IF(OR(B89="",K89=""),"",IF(M89="Cancelada",0,IF(M89="Liberada",IF(L89="",0,MAX(0,L89-K89)),MAX(0,$B$3-K89))))</f>
        <v/>
      </c>
      <c r="O89" s="27">
        <f>IF(B89="","",IF(M89="Cancelada","Cancelada",IF(M89="Liberada",IF(N89&gt;0,"Liberada con atraso","Liberada a tiempo"),IF(K89="","Sin fecha requerida",IF($B$3&gt;K89,"Vencida",IF(K89-$B$3&lt;=7,"Por vencer","En plazo"))))))</f>
        <v/>
      </c>
      <c r="P89" s="24" t="n"/>
    </row>
    <row r="90">
      <c r="A90" s="22" t="n"/>
      <c r="B90" s="23" t="n"/>
      <c r="C90" s="23" t="n"/>
      <c r="D90" s="23" t="n"/>
      <c r="E90" s="23" t="n"/>
      <c r="F90" s="23" t="n"/>
      <c r="G90" s="24" t="n"/>
      <c r="H90" s="23" t="n"/>
      <c r="I90" s="23" t="n"/>
      <c r="J90" s="25" t="n"/>
      <c r="K90" s="25" t="n"/>
      <c r="L90" s="25" t="n"/>
      <c r="M90" s="23" t="n"/>
      <c r="N90" s="26">
        <f>IF(OR(B90="",K90=""),"",IF(M90="Cancelada",0,IF(M90="Liberada",IF(L90="",0,MAX(0,L90-K90)),MAX(0,$B$3-K90))))</f>
        <v/>
      </c>
      <c r="O90" s="27">
        <f>IF(B90="","",IF(M90="Cancelada","Cancelada",IF(M90="Liberada",IF(N90&gt;0,"Liberada con atraso","Liberada a tiempo"),IF(K90="","Sin fecha requerida",IF($B$3&gt;K90,"Vencida",IF(K90-$B$3&lt;=7,"Por vencer","En plazo"))))))</f>
        <v/>
      </c>
      <c r="P90" s="24" t="n"/>
    </row>
    <row r="91">
      <c r="A91" s="22" t="n"/>
      <c r="B91" s="23" t="n"/>
      <c r="C91" s="23" t="n"/>
      <c r="D91" s="23" t="n"/>
      <c r="E91" s="23" t="n"/>
      <c r="F91" s="23" t="n"/>
      <c r="G91" s="24" t="n"/>
      <c r="H91" s="23" t="n"/>
      <c r="I91" s="23" t="n"/>
      <c r="J91" s="25" t="n"/>
      <c r="K91" s="25" t="n"/>
      <c r="L91" s="25" t="n"/>
      <c r="M91" s="23" t="n"/>
      <c r="N91" s="26">
        <f>IF(OR(B91="",K91=""),"",IF(M91="Cancelada",0,IF(M91="Liberada",IF(L91="",0,MAX(0,L91-K91)),MAX(0,$B$3-K91))))</f>
        <v/>
      </c>
      <c r="O91" s="27">
        <f>IF(B91="","",IF(M91="Cancelada","Cancelada",IF(M91="Liberada",IF(N91&gt;0,"Liberada con atraso","Liberada a tiempo"),IF(K91="","Sin fecha requerida",IF($B$3&gt;K91,"Vencida",IF(K91-$B$3&lt;=7,"Por vencer","En plazo"))))))</f>
        <v/>
      </c>
      <c r="P91" s="24" t="n"/>
    </row>
    <row r="92">
      <c r="A92" s="22" t="n"/>
      <c r="B92" s="23" t="n"/>
      <c r="C92" s="23" t="n"/>
      <c r="D92" s="23" t="n"/>
      <c r="E92" s="23" t="n"/>
      <c r="F92" s="23" t="n"/>
      <c r="G92" s="24" t="n"/>
      <c r="H92" s="23" t="n"/>
      <c r="I92" s="23" t="n"/>
      <c r="J92" s="25" t="n"/>
      <c r="K92" s="25" t="n"/>
      <c r="L92" s="25" t="n"/>
      <c r="M92" s="23" t="n"/>
      <c r="N92" s="26">
        <f>IF(OR(B92="",K92=""),"",IF(M92="Cancelada",0,IF(M92="Liberada",IF(L92="",0,MAX(0,L92-K92)),MAX(0,$B$3-K92))))</f>
        <v/>
      </c>
      <c r="O92" s="27">
        <f>IF(B92="","",IF(M92="Cancelada","Cancelada",IF(M92="Liberada",IF(N92&gt;0,"Liberada con atraso","Liberada a tiempo"),IF(K92="","Sin fecha requerida",IF($B$3&gt;K92,"Vencida",IF(K92-$B$3&lt;=7,"Por vencer","En plazo"))))))</f>
        <v/>
      </c>
      <c r="P92" s="24" t="n"/>
    </row>
    <row r="93">
      <c r="A93" s="22" t="n"/>
      <c r="B93" s="23" t="n"/>
      <c r="C93" s="23" t="n"/>
      <c r="D93" s="23" t="n"/>
      <c r="E93" s="23" t="n"/>
      <c r="F93" s="23" t="n"/>
      <c r="G93" s="24" t="n"/>
      <c r="H93" s="23" t="n"/>
      <c r="I93" s="23" t="n"/>
      <c r="J93" s="25" t="n"/>
      <c r="K93" s="25" t="n"/>
      <c r="L93" s="25" t="n"/>
      <c r="M93" s="23" t="n"/>
      <c r="N93" s="26">
        <f>IF(OR(B93="",K93=""),"",IF(M93="Cancelada",0,IF(M93="Liberada",IF(L93="",0,MAX(0,L93-K93)),MAX(0,$B$3-K93))))</f>
        <v/>
      </c>
      <c r="O93" s="27">
        <f>IF(B93="","",IF(M93="Cancelada","Cancelada",IF(M93="Liberada",IF(N93&gt;0,"Liberada con atraso","Liberada a tiempo"),IF(K93="","Sin fecha requerida",IF($B$3&gt;K93,"Vencida",IF(K93-$B$3&lt;=7,"Por vencer","En plazo"))))))</f>
        <v/>
      </c>
      <c r="P93" s="24" t="n"/>
    </row>
    <row r="94">
      <c r="A94" s="22" t="n"/>
      <c r="B94" s="23" t="n"/>
      <c r="C94" s="23" t="n"/>
      <c r="D94" s="23" t="n"/>
      <c r="E94" s="23" t="n"/>
      <c r="F94" s="23" t="n"/>
      <c r="G94" s="24" t="n"/>
      <c r="H94" s="23" t="n"/>
      <c r="I94" s="23" t="n"/>
      <c r="J94" s="25" t="n"/>
      <c r="K94" s="25" t="n"/>
      <c r="L94" s="25" t="n"/>
      <c r="M94" s="23" t="n"/>
      <c r="N94" s="26">
        <f>IF(OR(B94="",K94=""),"",IF(M94="Cancelada",0,IF(M94="Liberada",IF(L94="",0,MAX(0,L94-K94)),MAX(0,$B$3-K94))))</f>
        <v/>
      </c>
      <c r="O94" s="27">
        <f>IF(B94="","",IF(M94="Cancelada","Cancelada",IF(M94="Liberada",IF(N94&gt;0,"Liberada con atraso","Liberada a tiempo"),IF(K94="","Sin fecha requerida",IF($B$3&gt;K94,"Vencida",IF(K94-$B$3&lt;=7,"Por vencer","En plazo"))))))</f>
        <v/>
      </c>
      <c r="P94" s="24" t="n"/>
    </row>
    <row r="95">
      <c r="A95" s="22" t="n"/>
      <c r="B95" s="23" t="n"/>
      <c r="C95" s="23" t="n"/>
      <c r="D95" s="23" t="n"/>
      <c r="E95" s="23" t="n"/>
      <c r="F95" s="23" t="n"/>
      <c r="G95" s="24" t="n"/>
      <c r="H95" s="23" t="n"/>
      <c r="I95" s="23" t="n"/>
      <c r="J95" s="25" t="n"/>
      <c r="K95" s="25" t="n"/>
      <c r="L95" s="25" t="n"/>
      <c r="M95" s="23" t="n"/>
      <c r="N95" s="26">
        <f>IF(OR(B95="",K95=""),"",IF(M95="Cancelada",0,IF(M95="Liberada",IF(L95="",0,MAX(0,L95-K95)),MAX(0,$B$3-K95))))</f>
        <v/>
      </c>
      <c r="O95" s="27">
        <f>IF(B95="","",IF(M95="Cancelada","Cancelada",IF(M95="Liberada",IF(N95&gt;0,"Liberada con atraso","Liberada a tiempo"),IF(K95="","Sin fecha requerida",IF($B$3&gt;K95,"Vencida",IF(K95-$B$3&lt;=7,"Por vencer","En plazo"))))))</f>
        <v/>
      </c>
      <c r="P95" s="24" t="n"/>
    </row>
    <row r="96">
      <c r="A96" s="22" t="n"/>
      <c r="B96" s="23" t="n"/>
      <c r="C96" s="23" t="n"/>
      <c r="D96" s="23" t="n"/>
      <c r="E96" s="23" t="n"/>
      <c r="F96" s="23" t="n"/>
      <c r="G96" s="24" t="n"/>
      <c r="H96" s="23" t="n"/>
      <c r="I96" s="23" t="n"/>
      <c r="J96" s="25" t="n"/>
      <c r="K96" s="25" t="n"/>
      <c r="L96" s="25" t="n"/>
      <c r="M96" s="23" t="n"/>
      <c r="N96" s="26">
        <f>IF(OR(B96="",K96=""),"",IF(M96="Cancelada",0,IF(M96="Liberada",IF(L96="",0,MAX(0,L96-K96)),MAX(0,$B$3-K96))))</f>
        <v/>
      </c>
      <c r="O96" s="27">
        <f>IF(B96="","",IF(M96="Cancelada","Cancelada",IF(M96="Liberada",IF(N96&gt;0,"Liberada con atraso","Liberada a tiempo"),IF(K96="","Sin fecha requerida",IF($B$3&gt;K96,"Vencida",IF(K96-$B$3&lt;=7,"Por vencer","En plazo"))))))</f>
        <v/>
      </c>
      <c r="P96" s="24" t="n"/>
    </row>
    <row r="97">
      <c r="A97" s="22" t="n"/>
      <c r="B97" s="23" t="n"/>
      <c r="C97" s="23" t="n"/>
      <c r="D97" s="23" t="n"/>
      <c r="E97" s="23" t="n"/>
      <c r="F97" s="23" t="n"/>
      <c r="G97" s="24" t="n"/>
      <c r="H97" s="23" t="n"/>
      <c r="I97" s="23" t="n"/>
      <c r="J97" s="25" t="n"/>
      <c r="K97" s="25" t="n"/>
      <c r="L97" s="25" t="n"/>
      <c r="M97" s="23" t="n"/>
      <c r="N97" s="26">
        <f>IF(OR(B97="",K97=""),"",IF(M97="Cancelada",0,IF(M97="Liberada",IF(L97="",0,MAX(0,L97-K97)),MAX(0,$B$3-K97))))</f>
        <v/>
      </c>
      <c r="O97" s="27">
        <f>IF(B97="","",IF(M97="Cancelada","Cancelada",IF(M97="Liberada",IF(N97&gt;0,"Liberada con atraso","Liberada a tiempo"),IF(K97="","Sin fecha requerida",IF($B$3&gt;K97,"Vencida",IF(K97-$B$3&lt;=7,"Por vencer","En plazo"))))))</f>
        <v/>
      </c>
      <c r="P97" s="24" t="n"/>
    </row>
    <row r="98">
      <c r="A98" s="22" t="n"/>
      <c r="B98" s="23" t="n"/>
      <c r="C98" s="23" t="n"/>
      <c r="D98" s="23" t="n"/>
      <c r="E98" s="23" t="n"/>
      <c r="F98" s="23" t="n"/>
      <c r="G98" s="24" t="n"/>
      <c r="H98" s="23" t="n"/>
      <c r="I98" s="23" t="n"/>
      <c r="J98" s="25" t="n"/>
      <c r="K98" s="25" t="n"/>
      <c r="L98" s="25" t="n"/>
      <c r="M98" s="23" t="n"/>
      <c r="N98" s="26">
        <f>IF(OR(B98="",K98=""),"",IF(M98="Cancelada",0,IF(M98="Liberada",IF(L98="",0,MAX(0,L98-K98)),MAX(0,$B$3-K98))))</f>
        <v/>
      </c>
      <c r="O98" s="27">
        <f>IF(B98="","",IF(M98="Cancelada","Cancelada",IF(M98="Liberada",IF(N98&gt;0,"Liberada con atraso","Liberada a tiempo"),IF(K98="","Sin fecha requerida",IF($B$3&gt;K98,"Vencida",IF(K98-$B$3&lt;=7,"Por vencer","En plazo"))))))</f>
        <v/>
      </c>
      <c r="P98" s="24" t="n"/>
    </row>
    <row r="99">
      <c r="A99" s="22" t="n"/>
      <c r="B99" s="23" t="n"/>
      <c r="C99" s="23" t="n"/>
      <c r="D99" s="23" t="n"/>
      <c r="E99" s="23" t="n"/>
      <c r="F99" s="23" t="n"/>
      <c r="G99" s="24" t="n"/>
      <c r="H99" s="23" t="n"/>
      <c r="I99" s="23" t="n"/>
      <c r="J99" s="25" t="n"/>
      <c r="K99" s="25" t="n"/>
      <c r="L99" s="25" t="n"/>
      <c r="M99" s="23" t="n"/>
      <c r="N99" s="26">
        <f>IF(OR(B99="",K99=""),"",IF(M99="Cancelada",0,IF(M99="Liberada",IF(L99="",0,MAX(0,L99-K99)),MAX(0,$B$3-K99))))</f>
        <v/>
      </c>
      <c r="O99" s="27">
        <f>IF(B99="","",IF(M99="Cancelada","Cancelada",IF(M99="Liberada",IF(N99&gt;0,"Liberada con atraso","Liberada a tiempo"),IF(K99="","Sin fecha requerida",IF($B$3&gt;K99,"Vencida",IF(K99-$B$3&lt;=7,"Por vencer","En plazo"))))))</f>
        <v/>
      </c>
      <c r="P99" s="24" t="n"/>
    </row>
    <row r="100">
      <c r="A100" s="22" t="n"/>
      <c r="B100" s="23" t="n"/>
      <c r="C100" s="23" t="n"/>
      <c r="D100" s="23" t="n"/>
      <c r="E100" s="23" t="n"/>
      <c r="F100" s="23" t="n"/>
      <c r="G100" s="24" t="n"/>
      <c r="H100" s="23" t="n"/>
      <c r="I100" s="23" t="n"/>
      <c r="J100" s="25" t="n"/>
      <c r="K100" s="25" t="n"/>
      <c r="L100" s="25" t="n"/>
      <c r="M100" s="23" t="n"/>
      <c r="N100" s="26">
        <f>IF(OR(B100="",K100=""),"",IF(M100="Cancelada",0,IF(M100="Liberada",IF(L100="",0,MAX(0,L100-K100)),MAX(0,$B$3-K100))))</f>
        <v/>
      </c>
      <c r="O100" s="27">
        <f>IF(B100="","",IF(M100="Cancelada","Cancelada",IF(M100="Liberada",IF(N100&gt;0,"Liberada con atraso","Liberada a tiempo"),IF(K100="","Sin fecha requerida",IF($B$3&gt;K100,"Vencida",IF(K100-$B$3&lt;=7,"Por vencer","En plazo"))))))</f>
        <v/>
      </c>
      <c r="P100" s="24" t="n"/>
    </row>
    <row r="101">
      <c r="A101" s="22" t="n"/>
      <c r="B101" s="23" t="n"/>
      <c r="C101" s="23" t="n"/>
      <c r="D101" s="23" t="n"/>
      <c r="E101" s="23" t="n"/>
      <c r="F101" s="23" t="n"/>
      <c r="G101" s="24" t="n"/>
      <c r="H101" s="23" t="n"/>
      <c r="I101" s="23" t="n"/>
      <c r="J101" s="25" t="n"/>
      <c r="K101" s="25" t="n"/>
      <c r="L101" s="25" t="n"/>
      <c r="M101" s="23" t="n"/>
      <c r="N101" s="26">
        <f>IF(OR(B101="",K101=""),"",IF(M101="Cancelada",0,IF(M101="Liberada",IF(L101="",0,MAX(0,L101-K101)),MAX(0,$B$3-K101))))</f>
        <v/>
      </c>
      <c r="O101" s="27">
        <f>IF(B101="","",IF(M101="Cancelada","Cancelada",IF(M101="Liberada",IF(N101&gt;0,"Liberada con atraso","Liberada a tiempo"),IF(K101="","Sin fecha requerida",IF($B$3&gt;K101,"Vencida",IF(K101-$B$3&lt;=7,"Por vencer","En plazo"))))))</f>
        <v/>
      </c>
      <c r="P101" s="24" t="n"/>
    </row>
    <row r="102">
      <c r="A102" s="22" t="n"/>
      <c r="B102" s="23" t="n"/>
      <c r="C102" s="23" t="n"/>
      <c r="D102" s="23" t="n"/>
      <c r="E102" s="23" t="n"/>
      <c r="F102" s="23" t="n"/>
      <c r="G102" s="24" t="n"/>
      <c r="H102" s="23" t="n"/>
      <c r="I102" s="23" t="n"/>
      <c r="J102" s="25" t="n"/>
      <c r="K102" s="25" t="n"/>
      <c r="L102" s="25" t="n"/>
      <c r="M102" s="23" t="n"/>
      <c r="N102" s="26">
        <f>IF(OR(B102="",K102=""),"",IF(M102="Cancelada",0,IF(M102="Liberada",IF(L102="",0,MAX(0,L102-K102)),MAX(0,$B$3-K102))))</f>
        <v/>
      </c>
      <c r="O102" s="27">
        <f>IF(B102="","",IF(M102="Cancelada","Cancelada",IF(M102="Liberada",IF(N102&gt;0,"Liberada con atraso","Liberada a tiempo"),IF(K102="","Sin fecha requerida",IF($B$3&gt;K102,"Vencida",IF(K102-$B$3&lt;=7,"Por vencer","En plazo"))))))</f>
        <v/>
      </c>
      <c r="P102" s="24" t="n"/>
    </row>
    <row r="103">
      <c r="A103" s="22" t="n"/>
      <c r="B103" s="23" t="n"/>
      <c r="C103" s="23" t="n"/>
      <c r="D103" s="23" t="n"/>
      <c r="E103" s="23" t="n"/>
      <c r="F103" s="23" t="n"/>
      <c r="G103" s="24" t="n"/>
      <c r="H103" s="23" t="n"/>
      <c r="I103" s="23" t="n"/>
      <c r="J103" s="25" t="n"/>
      <c r="K103" s="25" t="n"/>
      <c r="L103" s="25" t="n"/>
      <c r="M103" s="23" t="n"/>
      <c r="N103" s="26">
        <f>IF(OR(B103="",K103=""),"",IF(M103="Cancelada",0,IF(M103="Liberada",IF(L103="",0,MAX(0,L103-K103)),MAX(0,$B$3-K103))))</f>
        <v/>
      </c>
      <c r="O103" s="27">
        <f>IF(B103="","",IF(M103="Cancelada","Cancelada",IF(M103="Liberada",IF(N103&gt;0,"Liberada con atraso","Liberada a tiempo"),IF(K103="","Sin fecha requerida",IF($B$3&gt;K103,"Vencida",IF(K103-$B$3&lt;=7,"Por vencer","En plazo"))))))</f>
        <v/>
      </c>
      <c r="P103" s="24" t="n"/>
    </row>
    <row r="104">
      <c r="A104" s="22" t="n"/>
      <c r="B104" s="23" t="n"/>
      <c r="C104" s="23" t="n"/>
      <c r="D104" s="23" t="n"/>
      <c r="E104" s="23" t="n"/>
      <c r="F104" s="23" t="n"/>
      <c r="G104" s="24" t="n"/>
      <c r="H104" s="23" t="n"/>
      <c r="I104" s="23" t="n"/>
      <c r="J104" s="25" t="n"/>
      <c r="K104" s="25" t="n"/>
      <c r="L104" s="25" t="n"/>
      <c r="M104" s="23" t="n"/>
      <c r="N104" s="26">
        <f>IF(OR(B104="",K104=""),"",IF(M104="Cancelada",0,IF(M104="Liberada",IF(L104="",0,MAX(0,L104-K104)),MAX(0,$B$3-K104))))</f>
        <v/>
      </c>
      <c r="O104" s="27">
        <f>IF(B104="","",IF(M104="Cancelada","Cancelada",IF(M104="Liberada",IF(N104&gt;0,"Liberada con atraso","Liberada a tiempo"),IF(K104="","Sin fecha requerida",IF($B$3&gt;K104,"Vencida",IF(K104-$B$3&lt;=7,"Por vencer","En plazo"))))))</f>
        <v/>
      </c>
      <c r="P104" s="24" t="n"/>
    </row>
    <row r="105">
      <c r="A105" s="22" t="n"/>
      <c r="B105" s="23" t="n"/>
      <c r="C105" s="23" t="n"/>
      <c r="D105" s="23" t="n"/>
      <c r="E105" s="23" t="n"/>
      <c r="F105" s="23" t="n"/>
      <c r="G105" s="24" t="n"/>
      <c r="H105" s="23" t="n"/>
      <c r="I105" s="23" t="n"/>
      <c r="J105" s="25" t="n"/>
      <c r="K105" s="25" t="n"/>
      <c r="L105" s="25" t="n"/>
      <c r="M105" s="23" t="n"/>
      <c r="N105" s="26">
        <f>IF(OR(B105="",K105=""),"",IF(M105="Cancelada",0,IF(M105="Liberada",IF(L105="",0,MAX(0,L105-K105)),MAX(0,$B$3-K105))))</f>
        <v/>
      </c>
      <c r="O105" s="27">
        <f>IF(B105="","",IF(M105="Cancelada","Cancelada",IF(M105="Liberada",IF(N105&gt;0,"Liberada con atraso","Liberada a tiempo"),IF(K105="","Sin fecha requerida",IF($B$3&gt;K105,"Vencida",IF(K105-$B$3&lt;=7,"Por vencer","En plazo"))))))</f>
        <v/>
      </c>
      <c r="P105" s="24" t="n"/>
    </row>
    <row r="106">
      <c r="A106" s="22" t="n"/>
      <c r="B106" s="23" t="n"/>
      <c r="C106" s="23" t="n"/>
      <c r="D106" s="23" t="n"/>
      <c r="E106" s="23" t="n"/>
      <c r="F106" s="23" t="n"/>
      <c r="G106" s="24" t="n"/>
      <c r="H106" s="23" t="n"/>
      <c r="I106" s="23" t="n"/>
      <c r="J106" s="25" t="n"/>
      <c r="K106" s="25" t="n"/>
      <c r="L106" s="25" t="n"/>
      <c r="M106" s="23" t="n"/>
      <c r="N106" s="26">
        <f>IF(OR(B106="",K106=""),"",IF(M106="Cancelada",0,IF(M106="Liberada",IF(L106="",0,MAX(0,L106-K106)),MAX(0,$B$3-K106))))</f>
        <v/>
      </c>
      <c r="O106" s="27">
        <f>IF(B106="","",IF(M106="Cancelada","Cancelada",IF(M106="Liberada",IF(N106&gt;0,"Liberada con atraso","Liberada a tiempo"),IF(K106="","Sin fecha requerida",IF($B$3&gt;K106,"Vencida",IF(K106-$B$3&lt;=7,"Por vencer","En plazo"))))))</f>
        <v/>
      </c>
      <c r="P106" s="24" t="n"/>
    </row>
    <row r="107">
      <c r="A107" s="22" t="n"/>
      <c r="B107" s="23" t="n"/>
      <c r="C107" s="23" t="n"/>
      <c r="D107" s="23" t="n"/>
      <c r="E107" s="23" t="n"/>
      <c r="F107" s="23" t="n"/>
      <c r="G107" s="24" t="n"/>
      <c r="H107" s="23" t="n"/>
      <c r="I107" s="23" t="n"/>
      <c r="J107" s="25" t="n"/>
      <c r="K107" s="25" t="n"/>
      <c r="L107" s="25" t="n"/>
      <c r="M107" s="23" t="n"/>
      <c r="N107" s="26">
        <f>IF(OR(B107="",K107=""),"",IF(M107="Cancelada",0,IF(M107="Liberada",IF(L107="",0,MAX(0,L107-K107)),MAX(0,$B$3-K107))))</f>
        <v/>
      </c>
      <c r="O107" s="27">
        <f>IF(B107="","",IF(M107="Cancelada","Cancelada",IF(M107="Liberada",IF(N107&gt;0,"Liberada con atraso","Liberada a tiempo"),IF(K107="","Sin fecha requerida",IF($B$3&gt;K107,"Vencida",IF(K107-$B$3&lt;=7,"Por vencer","En plazo"))))))</f>
        <v/>
      </c>
      <c r="P107" s="24" t="n"/>
    </row>
    <row r="108">
      <c r="A108" s="22" t="n"/>
      <c r="B108" s="23" t="n"/>
      <c r="C108" s="23" t="n"/>
      <c r="D108" s="23" t="n"/>
      <c r="E108" s="23" t="n"/>
      <c r="F108" s="23" t="n"/>
      <c r="G108" s="24" t="n"/>
      <c r="H108" s="23" t="n"/>
      <c r="I108" s="23" t="n"/>
      <c r="J108" s="25" t="n"/>
      <c r="K108" s="25" t="n"/>
      <c r="L108" s="25" t="n"/>
      <c r="M108" s="23" t="n"/>
      <c r="N108" s="26">
        <f>IF(OR(B108="",K108=""),"",IF(M108="Cancelada",0,IF(M108="Liberada",IF(L108="",0,MAX(0,L108-K108)),MAX(0,$B$3-K108))))</f>
        <v/>
      </c>
      <c r="O108" s="27">
        <f>IF(B108="","",IF(M108="Cancelada","Cancelada",IF(M108="Liberada",IF(N108&gt;0,"Liberada con atraso","Liberada a tiempo"),IF(K108="","Sin fecha requerida",IF($B$3&gt;K108,"Vencida",IF(K108-$B$3&lt;=7,"Por vencer","En plazo"))))))</f>
        <v/>
      </c>
      <c r="P108" s="24" t="n"/>
    </row>
    <row r="109">
      <c r="A109" s="22" t="n"/>
      <c r="B109" s="23" t="n"/>
      <c r="C109" s="23" t="n"/>
      <c r="D109" s="23" t="n"/>
      <c r="E109" s="23" t="n"/>
      <c r="F109" s="23" t="n"/>
      <c r="G109" s="24" t="n"/>
      <c r="H109" s="23" t="n"/>
      <c r="I109" s="23" t="n"/>
      <c r="J109" s="25" t="n"/>
      <c r="K109" s="25" t="n"/>
      <c r="L109" s="25" t="n"/>
      <c r="M109" s="23" t="n"/>
      <c r="N109" s="26">
        <f>IF(OR(B109="",K109=""),"",IF(M109="Cancelada",0,IF(M109="Liberada",IF(L109="",0,MAX(0,L109-K109)),MAX(0,$B$3-K109))))</f>
        <v/>
      </c>
      <c r="O109" s="27">
        <f>IF(B109="","",IF(M109="Cancelada","Cancelada",IF(M109="Liberada",IF(N109&gt;0,"Liberada con atraso","Liberada a tiempo"),IF(K109="","Sin fecha requerida",IF($B$3&gt;K109,"Vencida",IF(K109-$B$3&lt;=7,"Por vencer","En plazo"))))))</f>
        <v/>
      </c>
      <c r="P109" s="24" t="n"/>
    </row>
    <row r="110">
      <c r="A110" s="22" t="n"/>
      <c r="B110" s="23" t="n"/>
      <c r="C110" s="23" t="n"/>
      <c r="D110" s="23" t="n"/>
      <c r="E110" s="23" t="n"/>
      <c r="F110" s="23" t="n"/>
      <c r="G110" s="24" t="n"/>
      <c r="H110" s="23" t="n"/>
      <c r="I110" s="23" t="n"/>
      <c r="J110" s="25" t="n"/>
      <c r="K110" s="25" t="n"/>
      <c r="L110" s="25" t="n"/>
      <c r="M110" s="23" t="n"/>
      <c r="N110" s="26">
        <f>IF(OR(B110="",K110=""),"",IF(M110="Cancelada",0,IF(M110="Liberada",IF(L110="",0,MAX(0,L110-K110)),MAX(0,$B$3-K110))))</f>
        <v/>
      </c>
      <c r="O110" s="27">
        <f>IF(B110="","",IF(M110="Cancelada","Cancelada",IF(M110="Liberada",IF(N110&gt;0,"Liberada con atraso","Liberada a tiempo"),IF(K110="","Sin fecha requerida",IF($B$3&gt;K110,"Vencida",IF(K110-$B$3&lt;=7,"Por vencer","En plazo"))))))</f>
        <v/>
      </c>
      <c r="P110" s="24" t="n"/>
    </row>
    <row r="111">
      <c r="A111" s="22" t="n"/>
      <c r="B111" s="23" t="n"/>
      <c r="C111" s="23" t="n"/>
      <c r="D111" s="23" t="n"/>
      <c r="E111" s="23" t="n"/>
      <c r="F111" s="23" t="n"/>
      <c r="G111" s="24" t="n"/>
      <c r="H111" s="23" t="n"/>
      <c r="I111" s="23" t="n"/>
      <c r="J111" s="25" t="n"/>
      <c r="K111" s="25" t="n"/>
      <c r="L111" s="25" t="n"/>
      <c r="M111" s="23" t="n"/>
      <c r="N111" s="26">
        <f>IF(OR(B111="",K111=""),"",IF(M111="Cancelada",0,IF(M111="Liberada",IF(L111="",0,MAX(0,L111-K111)),MAX(0,$B$3-K111))))</f>
        <v/>
      </c>
      <c r="O111" s="27">
        <f>IF(B111="","",IF(M111="Cancelada","Cancelada",IF(M111="Liberada",IF(N111&gt;0,"Liberada con atraso","Liberada a tiempo"),IF(K111="","Sin fecha requerida",IF($B$3&gt;K111,"Vencida",IF(K111-$B$3&lt;=7,"Por vencer","En plazo"))))))</f>
        <v/>
      </c>
      <c r="P111" s="24" t="n"/>
    </row>
    <row r="112">
      <c r="A112" s="22" t="n"/>
      <c r="B112" s="23" t="n"/>
      <c r="C112" s="23" t="n"/>
      <c r="D112" s="23" t="n"/>
      <c r="E112" s="23" t="n"/>
      <c r="F112" s="23" t="n"/>
      <c r="G112" s="24" t="n"/>
      <c r="H112" s="23" t="n"/>
      <c r="I112" s="23" t="n"/>
      <c r="J112" s="25" t="n"/>
      <c r="K112" s="25" t="n"/>
      <c r="L112" s="25" t="n"/>
      <c r="M112" s="23" t="n"/>
      <c r="N112" s="26">
        <f>IF(OR(B112="",K112=""),"",IF(M112="Cancelada",0,IF(M112="Liberada",IF(L112="",0,MAX(0,L112-K112)),MAX(0,$B$3-K112))))</f>
        <v/>
      </c>
      <c r="O112" s="27">
        <f>IF(B112="","",IF(M112="Cancelada","Cancelada",IF(M112="Liberada",IF(N112&gt;0,"Liberada con atraso","Liberada a tiempo"),IF(K112="","Sin fecha requerida",IF($B$3&gt;K112,"Vencida",IF(K112-$B$3&lt;=7,"Por vencer","En plazo"))))))</f>
        <v/>
      </c>
      <c r="P112" s="24" t="n"/>
    </row>
    <row r="113">
      <c r="A113" s="22" t="n"/>
      <c r="B113" s="23" t="n"/>
      <c r="C113" s="23" t="n"/>
      <c r="D113" s="23" t="n"/>
      <c r="E113" s="23" t="n"/>
      <c r="F113" s="23" t="n"/>
      <c r="G113" s="24" t="n"/>
      <c r="H113" s="23" t="n"/>
      <c r="I113" s="23" t="n"/>
      <c r="J113" s="25" t="n"/>
      <c r="K113" s="25" t="n"/>
      <c r="L113" s="25" t="n"/>
      <c r="M113" s="23" t="n"/>
      <c r="N113" s="26">
        <f>IF(OR(B113="",K113=""),"",IF(M113="Cancelada",0,IF(M113="Liberada",IF(L113="",0,MAX(0,L113-K113)),MAX(0,$B$3-K113))))</f>
        <v/>
      </c>
      <c r="O113" s="27">
        <f>IF(B113="","",IF(M113="Cancelada","Cancelada",IF(M113="Liberada",IF(N113&gt;0,"Liberada con atraso","Liberada a tiempo"),IF(K113="","Sin fecha requerida",IF($B$3&gt;K113,"Vencida",IF(K113-$B$3&lt;=7,"Por vencer","En plazo"))))))</f>
        <v/>
      </c>
      <c r="P113" s="24" t="n"/>
    </row>
    <row r="114">
      <c r="A114" s="22" t="n"/>
      <c r="B114" s="23" t="n"/>
      <c r="C114" s="23" t="n"/>
      <c r="D114" s="23" t="n"/>
      <c r="E114" s="23" t="n"/>
      <c r="F114" s="23" t="n"/>
      <c r="G114" s="24" t="n"/>
      <c r="H114" s="23" t="n"/>
      <c r="I114" s="23" t="n"/>
      <c r="J114" s="25" t="n"/>
      <c r="K114" s="25" t="n"/>
      <c r="L114" s="25" t="n"/>
      <c r="M114" s="23" t="n"/>
      <c r="N114" s="26">
        <f>IF(OR(B114="",K114=""),"",IF(M114="Cancelada",0,IF(M114="Liberada",IF(L114="",0,MAX(0,L114-K114)),MAX(0,$B$3-K114))))</f>
        <v/>
      </c>
      <c r="O114" s="27">
        <f>IF(B114="","",IF(M114="Cancelada","Cancelada",IF(M114="Liberada",IF(N114&gt;0,"Liberada con atraso","Liberada a tiempo"),IF(K114="","Sin fecha requerida",IF($B$3&gt;K114,"Vencida",IF(K114-$B$3&lt;=7,"Por vencer","En plazo"))))))</f>
        <v/>
      </c>
      <c r="P114" s="24" t="n"/>
    </row>
    <row r="115">
      <c r="A115" s="22" t="n"/>
      <c r="B115" s="23" t="n"/>
      <c r="C115" s="23" t="n"/>
      <c r="D115" s="23" t="n"/>
      <c r="E115" s="23" t="n"/>
      <c r="F115" s="23" t="n"/>
      <c r="G115" s="24" t="n"/>
      <c r="H115" s="23" t="n"/>
      <c r="I115" s="23" t="n"/>
      <c r="J115" s="25" t="n"/>
      <c r="K115" s="25" t="n"/>
      <c r="L115" s="25" t="n"/>
      <c r="M115" s="23" t="n"/>
      <c r="N115" s="26">
        <f>IF(OR(B115="",K115=""),"",IF(M115="Cancelada",0,IF(M115="Liberada",IF(L115="",0,MAX(0,L115-K115)),MAX(0,$B$3-K115))))</f>
        <v/>
      </c>
      <c r="O115" s="27">
        <f>IF(B115="","",IF(M115="Cancelada","Cancelada",IF(M115="Liberada",IF(N115&gt;0,"Liberada con atraso","Liberada a tiempo"),IF(K115="","Sin fecha requerida",IF($B$3&gt;K115,"Vencida",IF(K115-$B$3&lt;=7,"Por vencer","En plazo"))))))</f>
        <v/>
      </c>
      <c r="P115" s="24" t="n"/>
    </row>
    <row r="116">
      <c r="A116" s="22" t="n"/>
      <c r="B116" s="23" t="n"/>
      <c r="C116" s="23" t="n"/>
      <c r="D116" s="23" t="n"/>
      <c r="E116" s="23" t="n"/>
      <c r="F116" s="23" t="n"/>
      <c r="G116" s="24" t="n"/>
      <c r="H116" s="23" t="n"/>
      <c r="I116" s="23" t="n"/>
      <c r="J116" s="25" t="n"/>
      <c r="K116" s="25" t="n"/>
      <c r="L116" s="25" t="n"/>
      <c r="M116" s="23" t="n"/>
      <c r="N116" s="26">
        <f>IF(OR(B116="",K116=""),"",IF(M116="Cancelada",0,IF(M116="Liberada",IF(L116="",0,MAX(0,L116-K116)),MAX(0,$B$3-K116))))</f>
        <v/>
      </c>
      <c r="O116" s="27">
        <f>IF(B116="","",IF(M116="Cancelada","Cancelada",IF(M116="Liberada",IF(N116&gt;0,"Liberada con atraso","Liberada a tiempo"),IF(K116="","Sin fecha requerida",IF($B$3&gt;K116,"Vencida",IF(K116-$B$3&lt;=7,"Por vencer","En plazo"))))))</f>
        <v/>
      </c>
      <c r="P116" s="24" t="n"/>
    </row>
    <row r="117">
      <c r="A117" s="22" t="n"/>
      <c r="B117" s="23" t="n"/>
      <c r="C117" s="23" t="n"/>
      <c r="D117" s="23" t="n"/>
      <c r="E117" s="23" t="n"/>
      <c r="F117" s="23" t="n"/>
      <c r="G117" s="24" t="n"/>
      <c r="H117" s="23" t="n"/>
      <c r="I117" s="23" t="n"/>
      <c r="J117" s="25" t="n"/>
      <c r="K117" s="25" t="n"/>
      <c r="L117" s="25" t="n"/>
      <c r="M117" s="23" t="n"/>
      <c r="N117" s="26">
        <f>IF(OR(B117="",K117=""),"",IF(M117="Cancelada",0,IF(M117="Liberada",IF(L117="",0,MAX(0,L117-K117)),MAX(0,$B$3-K117))))</f>
        <v/>
      </c>
      <c r="O117" s="27">
        <f>IF(B117="","",IF(M117="Cancelada","Cancelada",IF(M117="Liberada",IF(N117&gt;0,"Liberada con atraso","Liberada a tiempo"),IF(K117="","Sin fecha requerida",IF($B$3&gt;K117,"Vencida",IF(K117-$B$3&lt;=7,"Por vencer","En plazo"))))))</f>
        <v/>
      </c>
      <c r="P117" s="24" t="n"/>
    </row>
    <row r="118">
      <c r="A118" s="22" t="n"/>
      <c r="B118" s="23" t="n"/>
      <c r="C118" s="23" t="n"/>
      <c r="D118" s="23" t="n"/>
      <c r="E118" s="23" t="n"/>
      <c r="F118" s="23" t="n"/>
      <c r="G118" s="24" t="n"/>
      <c r="H118" s="23" t="n"/>
      <c r="I118" s="23" t="n"/>
      <c r="J118" s="25" t="n"/>
      <c r="K118" s="25" t="n"/>
      <c r="L118" s="25" t="n"/>
      <c r="M118" s="23" t="n"/>
      <c r="N118" s="26">
        <f>IF(OR(B118="",K118=""),"",IF(M118="Cancelada",0,IF(M118="Liberada",IF(L118="",0,MAX(0,L118-K118)),MAX(0,$B$3-K118))))</f>
        <v/>
      </c>
      <c r="O118" s="27">
        <f>IF(B118="","",IF(M118="Cancelada","Cancelada",IF(M118="Liberada",IF(N118&gt;0,"Liberada con atraso","Liberada a tiempo"),IF(K118="","Sin fecha requerida",IF($B$3&gt;K118,"Vencida",IF(K118-$B$3&lt;=7,"Por vencer","En plazo"))))))</f>
        <v/>
      </c>
      <c r="P118" s="24" t="n"/>
    </row>
    <row r="119">
      <c r="A119" s="22" t="n"/>
      <c r="B119" s="23" t="n"/>
      <c r="C119" s="23" t="n"/>
      <c r="D119" s="23" t="n"/>
      <c r="E119" s="23" t="n"/>
      <c r="F119" s="23" t="n"/>
      <c r="G119" s="24" t="n"/>
      <c r="H119" s="23" t="n"/>
      <c r="I119" s="23" t="n"/>
      <c r="J119" s="25" t="n"/>
      <c r="K119" s="25" t="n"/>
      <c r="L119" s="25" t="n"/>
      <c r="M119" s="23" t="n"/>
      <c r="N119" s="26">
        <f>IF(OR(B119="",K119=""),"",IF(M119="Cancelada",0,IF(M119="Liberada",IF(L119="",0,MAX(0,L119-K119)),MAX(0,$B$3-K119))))</f>
        <v/>
      </c>
      <c r="O119" s="27">
        <f>IF(B119="","",IF(M119="Cancelada","Cancelada",IF(M119="Liberada",IF(N119&gt;0,"Liberada con atraso","Liberada a tiempo"),IF(K119="","Sin fecha requerida",IF($B$3&gt;K119,"Vencida",IF(K119-$B$3&lt;=7,"Por vencer","En plazo"))))))</f>
        <v/>
      </c>
      <c r="P119" s="24" t="n"/>
    </row>
    <row r="120">
      <c r="A120" s="22" t="n"/>
      <c r="B120" s="23" t="n"/>
      <c r="C120" s="23" t="n"/>
      <c r="D120" s="23" t="n"/>
      <c r="E120" s="23" t="n"/>
      <c r="F120" s="23" t="n"/>
      <c r="G120" s="24" t="n"/>
      <c r="H120" s="23" t="n"/>
      <c r="I120" s="23" t="n"/>
      <c r="J120" s="25" t="n"/>
      <c r="K120" s="25" t="n"/>
      <c r="L120" s="25" t="n"/>
      <c r="M120" s="23" t="n"/>
      <c r="N120" s="26">
        <f>IF(OR(B120="",K120=""),"",IF(M120="Cancelada",0,IF(M120="Liberada",IF(L120="",0,MAX(0,L120-K120)),MAX(0,$B$3-K120))))</f>
        <v/>
      </c>
      <c r="O120" s="27">
        <f>IF(B120="","",IF(M120="Cancelada","Cancelada",IF(M120="Liberada",IF(N120&gt;0,"Liberada con atraso","Liberada a tiempo"),IF(K120="","Sin fecha requerida",IF($B$3&gt;K120,"Vencida",IF(K120-$B$3&lt;=7,"Por vencer","En plazo"))))))</f>
        <v/>
      </c>
      <c r="P120" s="24" t="n"/>
    </row>
    <row r="121">
      <c r="A121" s="22" t="n"/>
      <c r="B121" s="23" t="n"/>
      <c r="C121" s="23" t="n"/>
      <c r="D121" s="23" t="n"/>
      <c r="E121" s="23" t="n"/>
      <c r="F121" s="23" t="n"/>
      <c r="G121" s="24" t="n"/>
      <c r="H121" s="23" t="n"/>
      <c r="I121" s="23" t="n"/>
      <c r="J121" s="25" t="n"/>
      <c r="K121" s="25" t="n"/>
      <c r="L121" s="25" t="n"/>
      <c r="M121" s="23" t="n"/>
      <c r="N121" s="26">
        <f>IF(OR(B121="",K121=""),"",IF(M121="Cancelada",0,IF(M121="Liberada",IF(L121="",0,MAX(0,L121-K121)),MAX(0,$B$3-K121))))</f>
        <v/>
      </c>
      <c r="O121" s="27">
        <f>IF(B121="","",IF(M121="Cancelada","Cancelada",IF(M121="Liberada",IF(N121&gt;0,"Liberada con atraso","Liberada a tiempo"),IF(K121="","Sin fecha requerida",IF($B$3&gt;K121,"Vencida",IF(K121-$B$3&lt;=7,"Por vencer","En plazo"))))))</f>
        <v/>
      </c>
      <c r="P121" s="24" t="n"/>
    </row>
    <row r="122">
      <c r="A122" s="22" t="n"/>
      <c r="B122" s="23" t="n"/>
      <c r="C122" s="23" t="n"/>
      <c r="D122" s="23" t="n"/>
      <c r="E122" s="23" t="n"/>
      <c r="F122" s="23" t="n"/>
      <c r="G122" s="24" t="n"/>
      <c r="H122" s="23" t="n"/>
      <c r="I122" s="23" t="n"/>
      <c r="J122" s="25" t="n"/>
      <c r="K122" s="25" t="n"/>
      <c r="L122" s="25" t="n"/>
      <c r="M122" s="23" t="n"/>
      <c r="N122" s="26">
        <f>IF(OR(B122="",K122=""),"",IF(M122="Cancelada",0,IF(M122="Liberada",IF(L122="",0,MAX(0,L122-K122)),MAX(0,$B$3-K122))))</f>
        <v/>
      </c>
      <c r="O122" s="27">
        <f>IF(B122="","",IF(M122="Cancelada","Cancelada",IF(M122="Liberada",IF(N122&gt;0,"Liberada con atraso","Liberada a tiempo"),IF(K122="","Sin fecha requerida",IF($B$3&gt;K122,"Vencida",IF(K122-$B$3&lt;=7,"Por vencer","En plazo"))))))</f>
        <v/>
      </c>
      <c r="P122" s="24" t="n"/>
    </row>
    <row r="123">
      <c r="A123" s="22" t="n"/>
      <c r="B123" s="23" t="n"/>
      <c r="C123" s="23" t="n"/>
      <c r="D123" s="23" t="n"/>
      <c r="E123" s="23" t="n"/>
      <c r="F123" s="23" t="n"/>
      <c r="G123" s="24" t="n"/>
      <c r="H123" s="23" t="n"/>
      <c r="I123" s="23" t="n"/>
      <c r="J123" s="25" t="n"/>
      <c r="K123" s="25" t="n"/>
      <c r="L123" s="25" t="n"/>
      <c r="M123" s="23" t="n"/>
      <c r="N123" s="26">
        <f>IF(OR(B123="",K123=""),"",IF(M123="Cancelada",0,IF(M123="Liberada",IF(L123="",0,MAX(0,L123-K123)),MAX(0,$B$3-K123))))</f>
        <v/>
      </c>
      <c r="O123" s="27">
        <f>IF(B123="","",IF(M123="Cancelada","Cancelada",IF(M123="Liberada",IF(N123&gt;0,"Liberada con atraso","Liberada a tiempo"),IF(K123="","Sin fecha requerida",IF($B$3&gt;K123,"Vencida",IF(K123-$B$3&lt;=7,"Por vencer","En plazo"))))))</f>
        <v/>
      </c>
      <c r="P123" s="24" t="n"/>
    </row>
    <row r="124">
      <c r="A124" s="22" t="n"/>
      <c r="B124" s="23" t="n"/>
      <c r="C124" s="23" t="n"/>
      <c r="D124" s="23" t="n"/>
      <c r="E124" s="23" t="n"/>
      <c r="F124" s="23" t="n"/>
      <c r="G124" s="24" t="n"/>
      <c r="H124" s="23" t="n"/>
      <c r="I124" s="23" t="n"/>
      <c r="J124" s="25" t="n"/>
      <c r="K124" s="25" t="n"/>
      <c r="L124" s="25" t="n"/>
      <c r="M124" s="23" t="n"/>
      <c r="N124" s="26">
        <f>IF(OR(B124="",K124=""),"",IF(M124="Cancelada",0,IF(M124="Liberada",IF(L124="",0,MAX(0,L124-K124)),MAX(0,$B$3-K124))))</f>
        <v/>
      </c>
      <c r="O124" s="27">
        <f>IF(B124="","",IF(M124="Cancelada","Cancelada",IF(M124="Liberada",IF(N124&gt;0,"Liberada con atraso","Liberada a tiempo"),IF(K124="","Sin fecha requerida",IF($B$3&gt;K124,"Vencida",IF(K124-$B$3&lt;=7,"Por vencer","En plazo"))))))</f>
        <v/>
      </c>
      <c r="P124" s="24" t="n"/>
    </row>
    <row r="125">
      <c r="A125" s="22" t="n"/>
      <c r="B125" s="23" t="n"/>
      <c r="C125" s="23" t="n"/>
      <c r="D125" s="23" t="n"/>
      <c r="E125" s="23" t="n"/>
      <c r="F125" s="23" t="n"/>
      <c r="G125" s="24" t="n"/>
      <c r="H125" s="23" t="n"/>
      <c r="I125" s="23" t="n"/>
      <c r="J125" s="25" t="n"/>
      <c r="K125" s="25" t="n"/>
      <c r="L125" s="25" t="n"/>
      <c r="M125" s="23" t="n"/>
      <c r="N125" s="26">
        <f>IF(OR(B125="",K125=""),"",IF(M125="Cancelada",0,IF(M125="Liberada",IF(L125="",0,MAX(0,L125-K125)),MAX(0,$B$3-K125))))</f>
        <v/>
      </c>
      <c r="O125" s="27">
        <f>IF(B125="","",IF(M125="Cancelada","Cancelada",IF(M125="Liberada",IF(N125&gt;0,"Liberada con atraso","Liberada a tiempo"),IF(K125="","Sin fecha requerida",IF($B$3&gt;K125,"Vencida",IF(K125-$B$3&lt;=7,"Por vencer","En plazo"))))))</f>
        <v/>
      </c>
      <c r="P125" s="24" t="n"/>
    </row>
    <row r="126">
      <c r="A126" s="22" t="n"/>
      <c r="B126" s="23" t="n"/>
      <c r="C126" s="23" t="n"/>
      <c r="D126" s="23" t="n"/>
      <c r="E126" s="23" t="n"/>
      <c r="F126" s="23" t="n"/>
      <c r="G126" s="24" t="n"/>
      <c r="H126" s="23" t="n"/>
      <c r="I126" s="23" t="n"/>
      <c r="J126" s="25" t="n"/>
      <c r="K126" s="25" t="n"/>
      <c r="L126" s="25" t="n"/>
      <c r="M126" s="23" t="n"/>
      <c r="N126" s="26">
        <f>IF(OR(B126="",K126=""),"",IF(M126="Cancelada",0,IF(M126="Liberada",IF(L126="",0,MAX(0,L126-K126)),MAX(0,$B$3-K126))))</f>
        <v/>
      </c>
      <c r="O126" s="27">
        <f>IF(B126="","",IF(M126="Cancelada","Cancelada",IF(M126="Liberada",IF(N126&gt;0,"Liberada con atraso","Liberada a tiempo"),IF(K126="","Sin fecha requerida",IF($B$3&gt;K126,"Vencida",IF(K126-$B$3&lt;=7,"Por vencer","En plazo"))))))</f>
        <v/>
      </c>
      <c r="P126" s="24" t="n"/>
    </row>
    <row r="127">
      <c r="A127" s="22" t="n"/>
      <c r="B127" s="23" t="n"/>
      <c r="C127" s="23" t="n"/>
      <c r="D127" s="23" t="n"/>
      <c r="E127" s="23" t="n"/>
      <c r="F127" s="23" t="n"/>
      <c r="G127" s="24" t="n"/>
      <c r="H127" s="23" t="n"/>
      <c r="I127" s="23" t="n"/>
      <c r="J127" s="25" t="n"/>
      <c r="K127" s="25" t="n"/>
      <c r="L127" s="25" t="n"/>
      <c r="M127" s="23" t="n"/>
      <c r="N127" s="26">
        <f>IF(OR(B127="",K127=""),"",IF(M127="Cancelada",0,IF(M127="Liberada",IF(L127="",0,MAX(0,L127-K127)),MAX(0,$B$3-K127))))</f>
        <v/>
      </c>
      <c r="O127" s="27">
        <f>IF(B127="","",IF(M127="Cancelada","Cancelada",IF(M127="Liberada",IF(N127&gt;0,"Liberada con atraso","Liberada a tiempo"),IF(K127="","Sin fecha requerida",IF($B$3&gt;K127,"Vencida",IF(K127-$B$3&lt;=7,"Por vencer","En plazo"))))))</f>
        <v/>
      </c>
      <c r="P127" s="24" t="n"/>
    </row>
    <row r="128">
      <c r="A128" s="22" t="n"/>
      <c r="B128" s="23" t="n"/>
      <c r="C128" s="23" t="n"/>
      <c r="D128" s="23" t="n"/>
      <c r="E128" s="23" t="n"/>
      <c r="F128" s="23" t="n"/>
      <c r="G128" s="24" t="n"/>
      <c r="H128" s="23" t="n"/>
      <c r="I128" s="23" t="n"/>
      <c r="J128" s="25" t="n"/>
      <c r="K128" s="25" t="n"/>
      <c r="L128" s="25" t="n"/>
      <c r="M128" s="23" t="n"/>
      <c r="N128" s="26">
        <f>IF(OR(B128="",K128=""),"",IF(M128="Cancelada",0,IF(M128="Liberada",IF(L128="",0,MAX(0,L128-K128)),MAX(0,$B$3-K128))))</f>
        <v/>
      </c>
      <c r="O128" s="27">
        <f>IF(B128="","",IF(M128="Cancelada","Cancelada",IF(M128="Liberada",IF(N128&gt;0,"Liberada con atraso","Liberada a tiempo"),IF(K128="","Sin fecha requerida",IF($B$3&gt;K128,"Vencida",IF(K128-$B$3&lt;=7,"Por vencer","En plazo"))))))</f>
        <v/>
      </c>
      <c r="P128" s="24" t="n"/>
    </row>
    <row r="129">
      <c r="A129" s="22" t="n"/>
      <c r="B129" s="23" t="n"/>
      <c r="C129" s="23" t="n"/>
      <c r="D129" s="23" t="n"/>
      <c r="E129" s="23" t="n"/>
      <c r="F129" s="23" t="n"/>
      <c r="G129" s="24" t="n"/>
      <c r="H129" s="23" t="n"/>
      <c r="I129" s="23" t="n"/>
      <c r="J129" s="25" t="n"/>
      <c r="K129" s="25" t="n"/>
      <c r="L129" s="25" t="n"/>
      <c r="M129" s="23" t="n"/>
      <c r="N129" s="26">
        <f>IF(OR(B129="",K129=""),"",IF(M129="Cancelada",0,IF(M129="Liberada",IF(L129="",0,MAX(0,L129-K129)),MAX(0,$B$3-K129))))</f>
        <v/>
      </c>
      <c r="O129" s="27">
        <f>IF(B129="","",IF(M129="Cancelada","Cancelada",IF(M129="Liberada",IF(N129&gt;0,"Liberada con atraso","Liberada a tiempo"),IF(K129="","Sin fecha requerida",IF($B$3&gt;K129,"Vencida",IF(K129-$B$3&lt;=7,"Por vencer","En plazo"))))))</f>
        <v/>
      </c>
      <c r="P129" s="24" t="n"/>
    </row>
    <row r="130">
      <c r="A130" s="22" t="n"/>
      <c r="B130" s="23" t="n"/>
      <c r="C130" s="23" t="n"/>
      <c r="D130" s="23" t="n"/>
      <c r="E130" s="23" t="n"/>
      <c r="F130" s="23" t="n"/>
      <c r="G130" s="24" t="n"/>
      <c r="H130" s="23" t="n"/>
      <c r="I130" s="23" t="n"/>
      <c r="J130" s="25" t="n"/>
      <c r="K130" s="25" t="n"/>
      <c r="L130" s="25" t="n"/>
      <c r="M130" s="23" t="n"/>
      <c r="N130" s="26">
        <f>IF(OR(B130="",K130=""),"",IF(M130="Cancelada",0,IF(M130="Liberada",IF(L130="",0,MAX(0,L130-K130)),MAX(0,$B$3-K130))))</f>
        <v/>
      </c>
      <c r="O130" s="27">
        <f>IF(B130="","",IF(M130="Cancelada","Cancelada",IF(M130="Liberada",IF(N130&gt;0,"Liberada con atraso","Liberada a tiempo"),IF(K130="","Sin fecha requerida",IF($B$3&gt;K130,"Vencida",IF(K130-$B$3&lt;=7,"Por vencer","En plazo"))))))</f>
        <v/>
      </c>
      <c r="P130" s="24" t="n"/>
    </row>
    <row r="131">
      <c r="A131" s="22" t="n"/>
      <c r="B131" s="23" t="n"/>
      <c r="C131" s="23" t="n"/>
      <c r="D131" s="23" t="n"/>
      <c r="E131" s="23" t="n"/>
      <c r="F131" s="23" t="n"/>
      <c r="G131" s="24" t="n"/>
      <c r="H131" s="23" t="n"/>
      <c r="I131" s="23" t="n"/>
      <c r="J131" s="25" t="n"/>
      <c r="K131" s="25" t="n"/>
      <c r="L131" s="25" t="n"/>
      <c r="M131" s="23" t="n"/>
      <c r="N131" s="26">
        <f>IF(OR(B131="",K131=""),"",IF(M131="Cancelada",0,IF(M131="Liberada",IF(L131="",0,MAX(0,L131-K131)),MAX(0,$B$3-K131))))</f>
        <v/>
      </c>
      <c r="O131" s="27">
        <f>IF(B131="","",IF(M131="Cancelada","Cancelada",IF(M131="Liberada",IF(N131&gt;0,"Liberada con atraso","Liberada a tiempo"),IF(K131="","Sin fecha requerida",IF($B$3&gt;K131,"Vencida",IF(K131-$B$3&lt;=7,"Por vencer","En plazo"))))))</f>
        <v/>
      </c>
      <c r="P131" s="24" t="n"/>
    </row>
    <row r="132">
      <c r="A132" s="22" t="n"/>
      <c r="B132" s="23" t="n"/>
      <c r="C132" s="23" t="n"/>
      <c r="D132" s="23" t="n"/>
      <c r="E132" s="23" t="n"/>
      <c r="F132" s="23" t="n"/>
      <c r="G132" s="24" t="n"/>
      <c r="H132" s="23" t="n"/>
      <c r="I132" s="23" t="n"/>
      <c r="J132" s="25" t="n"/>
      <c r="K132" s="25" t="n"/>
      <c r="L132" s="25" t="n"/>
      <c r="M132" s="23" t="n"/>
      <c r="N132" s="26">
        <f>IF(OR(B132="",K132=""),"",IF(M132="Cancelada",0,IF(M132="Liberada",IF(L132="",0,MAX(0,L132-K132)),MAX(0,$B$3-K132))))</f>
        <v/>
      </c>
      <c r="O132" s="27">
        <f>IF(B132="","",IF(M132="Cancelada","Cancelada",IF(M132="Liberada",IF(N132&gt;0,"Liberada con atraso","Liberada a tiempo"),IF(K132="","Sin fecha requerida",IF($B$3&gt;K132,"Vencida",IF(K132-$B$3&lt;=7,"Por vencer","En plazo"))))))</f>
        <v/>
      </c>
      <c r="P132" s="24" t="n"/>
    </row>
    <row r="133">
      <c r="A133" s="22" t="n"/>
      <c r="B133" s="23" t="n"/>
      <c r="C133" s="23" t="n"/>
      <c r="D133" s="23" t="n"/>
      <c r="E133" s="23" t="n"/>
      <c r="F133" s="23" t="n"/>
      <c r="G133" s="24" t="n"/>
      <c r="H133" s="23" t="n"/>
      <c r="I133" s="23" t="n"/>
      <c r="J133" s="25" t="n"/>
      <c r="K133" s="25" t="n"/>
      <c r="L133" s="25" t="n"/>
      <c r="M133" s="23" t="n"/>
      <c r="N133" s="26">
        <f>IF(OR(B133="",K133=""),"",IF(M133="Cancelada",0,IF(M133="Liberada",IF(L133="",0,MAX(0,L133-K133)),MAX(0,$B$3-K133))))</f>
        <v/>
      </c>
      <c r="O133" s="27">
        <f>IF(B133="","",IF(M133="Cancelada","Cancelada",IF(M133="Liberada",IF(N133&gt;0,"Liberada con atraso","Liberada a tiempo"),IF(K133="","Sin fecha requerida",IF($B$3&gt;K133,"Vencida",IF(K133-$B$3&lt;=7,"Por vencer","En plazo"))))))</f>
        <v/>
      </c>
      <c r="P133" s="24" t="n"/>
    </row>
    <row r="134">
      <c r="A134" s="22" t="n"/>
      <c r="B134" s="23" t="n"/>
      <c r="C134" s="23" t="n"/>
      <c r="D134" s="23" t="n"/>
      <c r="E134" s="23" t="n"/>
      <c r="F134" s="23" t="n"/>
      <c r="G134" s="24" t="n"/>
      <c r="H134" s="23" t="n"/>
      <c r="I134" s="23" t="n"/>
      <c r="J134" s="25" t="n"/>
      <c r="K134" s="25" t="n"/>
      <c r="L134" s="25" t="n"/>
      <c r="M134" s="23" t="n"/>
      <c r="N134" s="26">
        <f>IF(OR(B134="",K134=""),"",IF(M134="Cancelada",0,IF(M134="Liberada",IF(L134="",0,MAX(0,L134-K134)),MAX(0,$B$3-K134))))</f>
        <v/>
      </c>
      <c r="O134" s="27">
        <f>IF(B134="","",IF(M134="Cancelada","Cancelada",IF(M134="Liberada",IF(N134&gt;0,"Liberada con atraso","Liberada a tiempo"),IF(K134="","Sin fecha requerida",IF($B$3&gt;K134,"Vencida",IF(K134-$B$3&lt;=7,"Por vencer","En plazo"))))))</f>
        <v/>
      </c>
      <c r="P134" s="24" t="n"/>
    </row>
    <row r="135">
      <c r="A135" s="22" t="n"/>
      <c r="B135" s="23" t="n"/>
      <c r="C135" s="23" t="n"/>
      <c r="D135" s="23" t="n"/>
      <c r="E135" s="23" t="n"/>
      <c r="F135" s="23" t="n"/>
      <c r="G135" s="24" t="n"/>
      <c r="H135" s="23" t="n"/>
      <c r="I135" s="23" t="n"/>
      <c r="J135" s="25" t="n"/>
      <c r="K135" s="25" t="n"/>
      <c r="L135" s="25" t="n"/>
      <c r="M135" s="23" t="n"/>
      <c r="N135" s="26">
        <f>IF(OR(B135="",K135=""),"",IF(M135="Cancelada",0,IF(M135="Liberada",IF(L135="",0,MAX(0,L135-K135)),MAX(0,$B$3-K135))))</f>
        <v/>
      </c>
      <c r="O135" s="27">
        <f>IF(B135="","",IF(M135="Cancelada","Cancelada",IF(M135="Liberada",IF(N135&gt;0,"Liberada con atraso","Liberada a tiempo"),IF(K135="","Sin fecha requerida",IF($B$3&gt;K135,"Vencida",IF(K135-$B$3&lt;=7,"Por vencer","En plazo"))))))</f>
        <v/>
      </c>
      <c r="P135" s="24" t="n"/>
    </row>
    <row r="136">
      <c r="A136" s="22" t="n"/>
      <c r="B136" s="23" t="n"/>
      <c r="C136" s="23" t="n"/>
      <c r="D136" s="23" t="n"/>
      <c r="E136" s="23" t="n"/>
      <c r="F136" s="23" t="n"/>
      <c r="G136" s="24" t="n"/>
      <c r="H136" s="23" t="n"/>
      <c r="I136" s="23" t="n"/>
      <c r="J136" s="25" t="n"/>
      <c r="K136" s="25" t="n"/>
      <c r="L136" s="25" t="n"/>
      <c r="M136" s="23" t="n"/>
      <c r="N136" s="26">
        <f>IF(OR(B136="",K136=""),"",IF(M136="Cancelada",0,IF(M136="Liberada",IF(L136="",0,MAX(0,L136-K136)),MAX(0,$B$3-K136))))</f>
        <v/>
      </c>
      <c r="O136" s="27">
        <f>IF(B136="","",IF(M136="Cancelada","Cancelada",IF(M136="Liberada",IF(N136&gt;0,"Liberada con atraso","Liberada a tiempo"),IF(K136="","Sin fecha requerida",IF($B$3&gt;K136,"Vencida",IF(K136-$B$3&lt;=7,"Por vencer","En plazo"))))))</f>
        <v/>
      </c>
      <c r="P136" s="24" t="n"/>
    </row>
    <row r="137">
      <c r="A137" s="22" t="n"/>
      <c r="B137" s="23" t="n"/>
      <c r="C137" s="23" t="n"/>
      <c r="D137" s="23" t="n"/>
      <c r="E137" s="23" t="n"/>
      <c r="F137" s="23" t="n"/>
      <c r="G137" s="24" t="n"/>
      <c r="H137" s="23" t="n"/>
      <c r="I137" s="23" t="n"/>
      <c r="J137" s="25" t="n"/>
      <c r="K137" s="25" t="n"/>
      <c r="L137" s="25" t="n"/>
      <c r="M137" s="23" t="n"/>
      <c r="N137" s="26">
        <f>IF(OR(B137="",K137=""),"",IF(M137="Cancelada",0,IF(M137="Liberada",IF(L137="",0,MAX(0,L137-K137)),MAX(0,$B$3-K137))))</f>
        <v/>
      </c>
      <c r="O137" s="27">
        <f>IF(B137="","",IF(M137="Cancelada","Cancelada",IF(M137="Liberada",IF(N137&gt;0,"Liberada con atraso","Liberada a tiempo"),IF(K137="","Sin fecha requerida",IF($B$3&gt;K137,"Vencida",IF(K137-$B$3&lt;=7,"Por vencer","En plazo"))))))</f>
        <v/>
      </c>
      <c r="P137" s="24" t="n"/>
    </row>
    <row r="138">
      <c r="A138" s="22" t="n"/>
      <c r="B138" s="23" t="n"/>
      <c r="C138" s="23" t="n"/>
      <c r="D138" s="23" t="n"/>
      <c r="E138" s="23" t="n"/>
      <c r="F138" s="23" t="n"/>
      <c r="G138" s="24" t="n"/>
      <c r="H138" s="23" t="n"/>
      <c r="I138" s="23" t="n"/>
      <c r="J138" s="25" t="n"/>
      <c r="K138" s="25" t="n"/>
      <c r="L138" s="25" t="n"/>
      <c r="M138" s="23" t="n"/>
      <c r="N138" s="26">
        <f>IF(OR(B138="",K138=""),"",IF(M138="Cancelada",0,IF(M138="Liberada",IF(L138="",0,MAX(0,L138-K138)),MAX(0,$B$3-K138))))</f>
        <v/>
      </c>
      <c r="O138" s="27">
        <f>IF(B138="","",IF(M138="Cancelada","Cancelada",IF(M138="Liberada",IF(N138&gt;0,"Liberada con atraso","Liberada a tiempo"),IF(K138="","Sin fecha requerida",IF($B$3&gt;K138,"Vencida",IF(K138-$B$3&lt;=7,"Por vencer","En plazo"))))))</f>
        <v/>
      </c>
      <c r="P138" s="24" t="n"/>
    </row>
    <row r="139">
      <c r="A139" s="22" t="n"/>
      <c r="B139" s="23" t="n"/>
      <c r="C139" s="23" t="n"/>
      <c r="D139" s="23" t="n"/>
      <c r="E139" s="23" t="n"/>
      <c r="F139" s="23" t="n"/>
      <c r="G139" s="24" t="n"/>
      <c r="H139" s="23" t="n"/>
      <c r="I139" s="23" t="n"/>
      <c r="J139" s="25" t="n"/>
      <c r="K139" s="25" t="n"/>
      <c r="L139" s="25" t="n"/>
      <c r="M139" s="23" t="n"/>
      <c r="N139" s="26">
        <f>IF(OR(B139="",K139=""),"",IF(M139="Cancelada",0,IF(M139="Liberada",IF(L139="",0,MAX(0,L139-K139)),MAX(0,$B$3-K139))))</f>
        <v/>
      </c>
      <c r="O139" s="27">
        <f>IF(B139="","",IF(M139="Cancelada","Cancelada",IF(M139="Liberada",IF(N139&gt;0,"Liberada con atraso","Liberada a tiempo"),IF(K139="","Sin fecha requerida",IF($B$3&gt;K139,"Vencida",IF(K139-$B$3&lt;=7,"Por vencer","En plazo"))))))</f>
        <v/>
      </c>
      <c r="P139" s="24" t="n"/>
    </row>
    <row r="140">
      <c r="A140" s="22" t="n"/>
      <c r="B140" s="23" t="n"/>
      <c r="C140" s="23" t="n"/>
      <c r="D140" s="23" t="n"/>
      <c r="E140" s="23" t="n"/>
      <c r="F140" s="23" t="n"/>
      <c r="G140" s="24" t="n"/>
      <c r="H140" s="23" t="n"/>
      <c r="I140" s="23" t="n"/>
      <c r="J140" s="25" t="n"/>
      <c r="K140" s="25" t="n"/>
      <c r="L140" s="25" t="n"/>
      <c r="M140" s="23" t="n"/>
      <c r="N140" s="26">
        <f>IF(OR(B140="",K140=""),"",IF(M140="Cancelada",0,IF(M140="Liberada",IF(L140="",0,MAX(0,L140-K140)),MAX(0,$B$3-K140))))</f>
        <v/>
      </c>
      <c r="O140" s="27">
        <f>IF(B140="","",IF(M140="Cancelada","Cancelada",IF(M140="Liberada",IF(N140&gt;0,"Liberada con atraso","Liberada a tiempo"),IF(K140="","Sin fecha requerida",IF($B$3&gt;K140,"Vencida",IF(K140-$B$3&lt;=7,"Por vencer","En plazo"))))))</f>
        <v/>
      </c>
      <c r="P140" s="24" t="n"/>
    </row>
    <row r="141">
      <c r="A141" s="22" t="n"/>
      <c r="B141" s="23" t="n"/>
      <c r="C141" s="23" t="n"/>
      <c r="D141" s="23" t="n"/>
      <c r="E141" s="23" t="n"/>
      <c r="F141" s="23" t="n"/>
      <c r="G141" s="24" t="n"/>
      <c r="H141" s="23" t="n"/>
      <c r="I141" s="23" t="n"/>
      <c r="J141" s="25" t="n"/>
      <c r="K141" s="25" t="n"/>
      <c r="L141" s="25" t="n"/>
      <c r="M141" s="23" t="n"/>
      <c r="N141" s="26">
        <f>IF(OR(B141="",K141=""),"",IF(M141="Cancelada",0,IF(M141="Liberada",IF(L141="",0,MAX(0,L141-K141)),MAX(0,$B$3-K141))))</f>
        <v/>
      </c>
      <c r="O141" s="27">
        <f>IF(B141="","",IF(M141="Cancelada","Cancelada",IF(M141="Liberada",IF(N141&gt;0,"Liberada con atraso","Liberada a tiempo"),IF(K141="","Sin fecha requerida",IF($B$3&gt;K141,"Vencida",IF(K141-$B$3&lt;=7,"Por vencer","En plazo"))))))</f>
        <v/>
      </c>
      <c r="P141" s="24" t="n"/>
    </row>
    <row r="142">
      <c r="A142" s="22" t="n"/>
      <c r="B142" s="23" t="n"/>
      <c r="C142" s="23" t="n"/>
      <c r="D142" s="23" t="n"/>
      <c r="E142" s="23" t="n"/>
      <c r="F142" s="23" t="n"/>
      <c r="G142" s="24" t="n"/>
      <c r="H142" s="23" t="n"/>
      <c r="I142" s="23" t="n"/>
      <c r="J142" s="25" t="n"/>
      <c r="K142" s="25" t="n"/>
      <c r="L142" s="25" t="n"/>
      <c r="M142" s="23" t="n"/>
      <c r="N142" s="26">
        <f>IF(OR(B142="",K142=""),"",IF(M142="Cancelada",0,IF(M142="Liberada",IF(L142="",0,MAX(0,L142-K142)),MAX(0,$B$3-K142))))</f>
        <v/>
      </c>
      <c r="O142" s="27">
        <f>IF(B142="","",IF(M142="Cancelada","Cancelada",IF(M142="Liberada",IF(N142&gt;0,"Liberada con atraso","Liberada a tiempo"),IF(K142="","Sin fecha requerida",IF($B$3&gt;K142,"Vencida",IF(K142-$B$3&lt;=7,"Por vencer","En plazo"))))))</f>
        <v/>
      </c>
      <c r="P142" s="24" t="n"/>
    </row>
    <row r="143">
      <c r="A143" s="22" t="n"/>
      <c r="B143" s="23" t="n"/>
      <c r="C143" s="23" t="n"/>
      <c r="D143" s="23" t="n"/>
      <c r="E143" s="23" t="n"/>
      <c r="F143" s="23" t="n"/>
      <c r="G143" s="24" t="n"/>
      <c r="H143" s="23" t="n"/>
      <c r="I143" s="23" t="n"/>
      <c r="J143" s="25" t="n"/>
      <c r="K143" s="25" t="n"/>
      <c r="L143" s="25" t="n"/>
      <c r="M143" s="23" t="n"/>
      <c r="N143" s="26">
        <f>IF(OR(B143="",K143=""),"",IF(M143="Cancelada",0,IF(M143="Liberada",IF(L143="",0,MAX(0,L143-K143)),MAX(0,$B$3-K143))))</f>
        <v/>
      </c>
      <c r="O143" s="27">
        <f>IF(B143="","",IF(M143="Cancelada","Cancelada",IF(M143="Liberada",IF(N143&gt;0,"Liberada con atraso","Liberada a tiempo"),IF(K143="","Sin fecha requerida",IF($B$3&gt;K143,"Vencida",IF(K143-$B$3&lt;=7,"Por vencer","En plazo"))))))</f>
        <v/>
      </c>
      <c r="P143" s="24" t="n"/>
    </row>
    <row r="144">
      <c r="A144" s="22" t="n"/>
      <c r="B144" s="23" t="n"/>
      <c r="C144" s="23" t="n"/>
      <c r="D144" s="23" t="n"/>
      <c r="E144" s="23" t="n"/>
      <c r="F144" s="23" t="n"/>
      <c r="G144" s="24" t="n"/>
      <c r="H144" s="23" t="n"/>
      <c r="I144" s="23" t="n"/>
      <c r="J144" s="25" t="n"/>
      <c r="K144" s="25" t="n"/>
      <c r="L144" s="25" t="n"/>
      <c r="M144" s="23" t="n"/>
      <c r="N144" s="26">
        <f>IF(OR(B144="",K144=""),"",IF(M144="Cancelada",0,IF(M144="Liberada",IF(L144="",0,MAX(0,L144-K144)),MAX(0,$B$3-K144))))</f>
        <v/>
      </c>
      <c r="O144" s="27">
        <f>IF(B144="","",IF(M144="Cancelada","Cancelada",IF(M144="Liberada",IF(N144&gt;0,"Liberada con atraso","Liberada a tiempo"),IF(K144="","Sin fecha requerida",IF($B$3&gt;K144,"Vencida",IF(K144-$B$3&lt;=7,"Por vencer","En plazo"))))))</f>
        <v/>
      </c>
      <c r="P144" s="24" t="n"/>
    </row>
    <row r="145">
      <c r="A145" s="22" t="n"/>
      <c r="B145" s="23" t="n"/>
      <c r="C145" s="23" t="n"/>
      <c r="D145" s="23" t="n"/>
      <c r="E145" s="23" t="n"/>
      <c r="F145" s="23" t="n"/>
      <c r="G145" s="24" t="n"/>
      <c r="H145" s="23" t="n"/>
      <c r="I145" s="23" t="n"/>
      <c r="J145" s="25" t="n"/>
      <c r="K145" s="25" t="n"/>
      <c r="L145" s="25" t="n"/>
      <c r="M145" s="23" t="n"/>
      <c r="N145" s="26">
        <f>IF(OR(B145="",K145=""),"",IF(M145="Cancelada",0,IF(M145="Liberada",IF(L145="",0,MAX(0,L145-K145)),MAX(0,$B$3-K145))))</f>
        <v/>
      </c>
      <c r="O145" s="27">
        <f>IF(B145="","",IF(M145="Cancelada","Cancelada",IF(M145="Liberada",IF(N145&gt;0,"Liberada con atraso","Liberada a tiempo"),IF(K145="","Sin fecha requerida",IF($B$3&gt;K145,"Vencida",IF(K145-$B$3&lt;=7,"Por vencer","En plazo"))))))</f>
        <v/>
      </c>
      <c r="P145" s="24" t="n"/>
    </row>
    <row r="146">
      <c r="A146" s="22" t="n"/>
      <c r="B146" s="23" t="n"/>
      <c r="C146" s="23" t="n"/>
      <c r="D146" s="23" t="n"/>
      <c r="E146" s="23" t="n"/>
      <c r="F146" s="23" t="n"/>
      <c r="G146" s="24" t="n"/>
      <c r="H146" s="23" t="n"/>
      <c r="I146" s="23" t="n"/>
      <c r="J146" s="25" t="n"/>
      <c r="K146" s="25" t="n"/>
      <c r="L146" s="25" t="n"/>
      <c r="M146" s="23" t="n"/>
      <c r="N146" s="26">
        <f>IF(OR(B146="",K146=""),"",IF(M146="Cancelada",0,IF(M146="Liberada",IF(L146="",0,MAX(0,L146-K146)),MAX(0,$B$3-K146))))</f>
        <v/>
      </c>
      <c r="O146" s="27">
        <f>IF(B146="","",IF(M146="Cancelada","Cancelada",IF(M146="Liberada",IF(N146&gt;0,"Liberada con atraso","Liberada a tiempo"),IF(K146="","Sin fecha requerida",IF($B$3&gt;K146,"Vencida",IF(K146-$B$3&lt;=7,"Por vencer","En plazo"))))))</f>
        <v/>
      </c>
      <c r="P146" s="24" t="n"/>
    </row>
    <row r="147">
      <c r="A147" s="22" t="n"/>
      <c r="B147" s="23" t="n"/>
      <c r="C147" s="23" t="n"/>
      <c r="D147" s="23" t="n"/>
      <c r="E147" s="23" t="n"/>
      <c r="F147" s="23" t="n"/>
      <c r="G147" s="24" t="n"/>
      <c r="H147" s="23" t="n"/>
      <c r="I147" s="23" t="n"/>
      <c r="J147" s="25" t="n"/>
      <c r="K147" s="25" t="n"/>
      <c r="L147" s="25" t="n"/>
      <c r="M147" s="23" t="n"/>
      <c r="N147" s="26">
        <f>IF(OR(B147="",K147=""),"",IF(M147="Cancelada",0,IF(M147="Liberada",IF(L147="",0,MAX(0,L147-K147)),MAX(0,$B$3-K147))))</f>
        <v/>
      </c>
      <c r="O147" s="27">
        <f>IF(B147="","",IF(M147="Cancelada","Cancelada",IF(M147="Liberada",IF(N147&gt;0,"Liberada con atraso","Liberada a tiempo"),IF(K147="","Sin fecha requerida",IF($B$3&gt;K147,"Vencida",IF(K147-$B$3&lt;=7,"Por vencer","En plazo"))))))</f>
        <v/>
      </c>
      <c r="P147" s="24" t="n"/>
    </row>
    <row r="148">
      <c r="A148" s="22" t="n"/>
      <c r="B148" s="23" t="n"/>
      <c r="C148" s="23" t="n"/>
      <c r="D148" s="23" t="n"/>
      <c r="E148" s="23" t="n"/>
      <c r="F148" s="23" t="n"/>
      <c r="G148" s="24" t="n"/>
      <c r="H148" s="23" t="n"/>
      <c r="I148" s="23" t="n"/>
      <c r="J148" s="25" t="n"/>
      <c r="K148" s="25" t="n"/>
      <c r="L148" s="25" t="n"/>
      <c r="M148" s="23" t="n"/>
      <c r="N148" s="26">
        <f>IF(OR(B148="",K148=""),"",IF(M148="Cancelada",0,IF(M148="Liberada",IF(L148="",0,MAX(0,L148-K148)),MAX(0,$B$3-K148))))</f>
        <v/>
      </c>
      <c r="O148" s="27">
        <f>IF(B148="","",IF(M148="Cancelada","Cancelada",IF(M148="Liberada",IF(N148&gt;0,"Liberada con atraso","Liberada a tiempo"),IF(K148="","Sin fecha requerida",IF($B$3&gt;K148,"Vencida",IF(K148-$B$3&lt;=7,"Por vencer","En plazo"))))))</f>
        <v/>
      </c>
      <c r="P148" s="24" t="n"/>
    </row>
    <row r="149">
      <c r="A149" s="22" t="n"/>
      <c r="B149" s="23" t="n"/>
      <c r="C149" s="23" t="n"/>
      <c r="D149" s="23" t="n"/>
      <c r="E149" s="23" t="n"/>
      <c r="F149" s="23" t="n"/>
      <c r="G149" s="24" t="n"/>
      <c r="H149" s="23" t="n"/>
      <c r="I149" s="23" t="n"/>
      <c r="J149" s="25" t="n"/>
      <c r="K149" s="25" t="n"/>
      <c r="L149" s="25" t="n"/>
      <c r="M149" s="23" t="n"/>
      <c r="N149" s="26">
        <f>IF(OR(B149="",K149=""),"",IF(M149="Cancelada",0,IF(M149="Liberada",IF(L149="",0,MAX(0,L149-K149)),MAX(0,$B$3-K149))))</f>
        <v/>
      </c>
      <c r="O149" s="27">
        <f>IF(B149="","",IF(M149="Cancelada","Cancelada",IF(M149="Liberada",IF(N149&gt;0,"Liberada con atraso","Liberada a tiempo"),IF(K149="","Sin fecha requerida",IF($B$3&gt;K149,"Vencida",IF(K149-$B$3&lt;=7,"Por vencer","En plazo"))))))</f>
        <v/>
      </c>
      <c r="P149" s="24" t="n"/>
    </row>
    <row r="150">
      <c r="A150" s="22" t="n"/>
      <c r="B150" s="23" t="n"/>
      <c r="C150" s="23" t="n"/>
      <c r="D150" s="23" t="n"/>
      <c r="E150" s="23" t="n"/>
      <c r="F150" s="23" t="n"/>
      <c r="G150" s="24" t="n"/>
      <c r="H150" s="23" t="n"/>
      <c r="I150" s="23" t="n"/>
      <c r="J150" s="25" t="n"/>
      <c r="K150" s="25" t="n"/>
      <c r="L150" s="25" t="n"/>
      <c r="M150" s="23" t="n"/>
      <c r="N150" s="26">
        <f>IF(OR(B150="",K150=""),"",IF(M150="Cancelada",0,IF(M150="Liberada",IF(L150="",0,MAX(0,L150-K150)),MAX(0,$B$3-K150))))</f>
        <v/>
      </c>
      <c r="O150" s="27">
        <f>IF(B150="","",IF(M150="Cancelada","Cancelada",IF(M150="Liberada",IF(N150&gt;0,"Liberada con atraso","Liberada a tiempo"),IF(K150="","Sin fecha requerida",IF($B$3&gt;K150,"Vencida",IF(K150-$B$3&lt;=7,"Por vencer","En plazo"))))))</f>
        <v/>
      </c>
      <c r="P150" s="24" t="n"/>
    </row>
    <row r="151">
      <c r="A151" s="22" t="n"/>
      <c r="B151" s="23" t="n"/>
      <c r="C151" s="23" t="n"/>
      <c r="D151" s="23" t="n"/>
      <c r="E151" s="23" t="n"/>
      <c r="F151" s="23" t="n"/>
      <c r="G151" s="24" t="n"/>
      <c r="H151" s="23" t="n"/>
      <c r="I151" s="23" t="n"/>
      <c r="J151" s="25" t="n"/>
      <c r="K151" s="25" t="n"/>
      <c r="L151" s="25" t="n"/>
      <c r="M151" s="23" t="n"/>
      <c r="N151" s="26">
        <f>IF(OR(B151="",K151=""),"",IF(M151="Cancelada",0,IF(M151="Liberada",IF(L151="",0,MAX(0,L151-K151)),MAX(0,$B$3-K151))))</f>
        <v/>
      </c>
      <c r="O151" s="27">
        <f>IF(B151="","",IF(M151="Cancelada","Cancelada",IF(M151="Liberada",IF(N151&gt;0,"Liberada con atraso","Liberada a tiempo"),IF(K151="","Sin fecha requerida",IF($B$3&gt;K151,"Vencida",IF(K151-$B$3&lt;=7,"Por vencer","En plazo"))))))</f>
        <v/>
      </c>
      <c r="P151" s="24" t="n"/>
    </row>
    <row r="152">
      <c r="A152" s="22" t="n"/>
      <c r="B152" s="23" t="n"/>
      <c r="C152" s="23" t="n"/>
      <c r="D152" s="23" t="n"/>
      <c r="E152" s="23" t="n"/>
      <c r="F152" s="23" t="n"/>
      <c r="G152" s="24" t="n"/>
      <c r="H152" s="23" t="n"/>
      <c r="I152" s="23" t="n"/>
      <c r="J152" s="25" t="n"/>
      <c r="K152" s="25" t="n"/>
      <c r="L152" s="25" t="n"/>
      <c r="M152" s="23" t="n"/>
      <c r="N152" s="26">
        <f>IF(OR(B152="",K152=""),"",IF(M152="Cancelada",0,IF(M152="Liberada",IF(L152="",0,MAX(0,L152-K152)),MAX(0,$B$3-K152))))</f>
        <v/>
      </c>
      <c r="O152" s="27">
        <f>IF(B152="","",IF(M152="Cancelada","Cancelada",IF(M152="Liberada",IF(N152&gt;0,"Liberada con atraso","Liberada a tiempo"),IF(K152="","Sin fecha requerida",IF($B$3&gt;K152,"Vencida",IF(K152-$B$3&lt;=7,"Por vencer","En plazo"))))))</f>
        <v/>
      </c>
      <c r="P152" s="24" t="n"/>
    </row>
    <row r="153">
      <c r="A153" s="22" t="n"/>
      <c r="B153" s="23" t="n"/>
      <c r="C153" s="23" t="n"/>
      <c r="D153" s="23" t="n"/>
      <c r="E153" s="23" t="n"/>
      <c r="F153" s="23" t="n"/>
      <c r="G153" s="24" t="n"/>
      <c r="H153" s="23" t="n"/>
      <c r="I153" s="23" t="n"/>
      <c r="J153" s="25" t="n"/>
      <c r="K153" s="25" t="n"/>
      <c r="L153" s="25" t="n"/>
      <c r="M153" s="23" t="n"/>
      <c r="N153" s="26">
        <f>IF(OR(B153="",K153=""),"",IF(M153="Cancelada",0,IF(M153="Liberada",IF(L153="",0,MAX(0,L153-K153)),MAX(0,$B$3-K153))))</f>
        <v/>
      </c>
      <c r="O153" s="27">
        <f>IF(B153="","",IF(M153="Cancelada","Cancelada",IF(M153="Liberada",IF(N153&gt;0,"Liberada con atraso","Liberada a tiempo"),IF(K153="","Sin fecha requerida",IF($B$3&gt;K153,"Vencida",IF(K153-$B$3&lt;=7,"Por vencer","En plazo"))))))</f>
        <v/>
      </c>
      <c r="P153" s="24" t="n"/>
    </row>
    <row r="154">
      <c r="A154" s="22" t="n"/>
      <c r="B154" s="23" t="n"/>
      <c r="C154" s="23" t="n"/>
      <c r="D154" s="23" t="n"/>
      <c r="E154" s="23" t="n"/>
      <c r="F154" s="23" t="n"/>
      <c r="G154" s="24" t="n"/>
      <c r="H154" s="23" t="n"/>
      <c r="I154" s="23" t="n"/>
      <c r="J154" s="25" t="n"/>
      <c r="K154" s="25" t="n"/>
      <c r="L154" s="25" t="n"/>
      <c r="M154" s="23" t="n"/>
      <c r="N154" s="26">
        <f>IF(OR(B154="",K154=""),"",IF(M154="Cancelada",0,IF(M154="Liberada",IF(L154="",0,MAX(0,L154-K154)),MAX(0,$B$3-K154))))</f>
        <v/>
      </c>
      <c r="O154" s="27">
        <f>IF(B154="","",IF(M154="Cancelada","Cancelada",IF(M154="Liberada",IF(N154&gt;0,"Liberada con atraso","Liberada a tiempo"),IF(K154="","Sin fecha requerida",IF($B$3&gt;K154,"Vencida",IF(K154-$B$3&lt;=7,"Por vencer","En plazo"))))))</f>
        <v/>
      </c>
      <c r="P154" s="24" t="n"/>
    </row>
    <row r="155">
      <c r="A155" s="22" t="n"/>
      <c r="B155" s="23" t="n"/>
      <c r="C155" s="23" t="n"/>
      <c r="D155" s="23" t="n"/>
      <c r="E155" s="23" t="n"/>
      <c r="F155" s="23" t="n"/>
      <c r="G155" s="24" t="n"/>
      <c r="H155" s="23" t="n"/>
      <c r="I155" s="23" t="n"/>
      <c r="J155" s="25" t="n"/>
      <c r="K155" s="25" t="n"/>
      <c r="L155" s="25" t="n"/>
      <c r="M155" s="23" t="n"/>
      <c r="N155" s="26">
        <f>IF(OR(B155="",K155=""),"",IF(M155="Cancelada",0,IF(M155="Liberada",IF(L155="",0,MAX(0,L155-K155)),MAX(0,$B$3-K155))))</f>
        <v/>
      </c>
      <c r="O155" s="27">
        <f>IF(B155="","",IF(M155="Cancelada","Cancelada",IF(M155="Liberada",IF(N155&gt;0,"Liberada con atraso","Liberada a tiempo"),IF(K155="","Sin fecha requerida",IF($B$3&gt;K155,"Vencida",IF(K155-$B$3&lt;=7,"Por vencer","En plazo"))))))</f>
        <v/>
      </c>
      <c r="P155" s="24" t="n"/>
    </row>
    <row r="156">
      <c r="A156" s="22" t="n"/>
      <c r="B156" s="23" t="n"/>
      <c r="C156" s="23" t="n"/>
      <c r="D156" s="23" t="n"/>
      <c r="E156" s="23" t="n"/>
      <c r="F156" s="23" t="n"/>
      <c r="G156" s="24" t="n"/>
      <c r="H156" s="23" t="n"/>
      <c r="I156" s="23" t="n"/>
      <c r="J156" s="25" t="n"/>
      <c r="K156" s="25" t="n"/>
      <c r="L156" s="25" t="n"/>
      <c r="M156" s="23" t="n"/>
      <c r="N156" s="26">
        <f>IF(OR(B156="",K156=""),"",IF(M156="Cancelada",0,IF(M156="Liberada",IF(L156="",0,MAX(0,L156-K156)),MAX(0,$B$3-K156))))</f>
        <v/>
      </c>
      <c r="O156" s="27">
        <f>IF(B156="","",IF(M156="Cancelada","Cancelada",IF(M156="Liberada",IF(N156&gt;0,"Liberada con atraso","Liberada a tiempo"),IF(K156="","Sin fecha requerida",IF($B$3&gt;K156,"Vencida",IF(K156-$B$3&lt;=7,"Por vencer","En plazo"))))))</f>
        <v/>
      </c>
      <c r="P156" s="24" t="n"/>
    </row>
    <row r="157">
      <c r="A157" s="22" t="n"/>
      <c r="B157" s="23" t="n"/>
      <c r="C157" s="23" t="n"/>
      <c r="D157" s="23" t="n"/>
      <c r="E157" s="23" t="n"/>
      <c r="F157" s="23" t="n"/>
      <c r="G157" s="24" t="n"/>
      <c r="H157" s="23" t="n"/>
      <c r="I157" s="23" t="n"/>
      <c r="J157" s="25" t="n"/>
      <c r="K157" s="25" t="n"/>
      <c r="L157" s="25" t="n"/>
      <c r="M157" s="23" t="n"/>
      <c r="N157" s="26">
        <f>IF(OR(B157="",K157=""),"",IF(M157="Cancelada",0,IF(M157="Liberada",IF(L157="",0,MAX(0,L157-K157)),MAX(0,$B$3-K157))))</f>
        <v/>
      </c>
      <c r="O157" s="27">
        <f>IF(B157="","",IF(M157="Cancelada","Cancelada",IF(M157="Liberada",IF(N157&gt;0,"Liberada con atraso","Liberada a tiempo"),IF(K157="","Sin fecha requerida",IF($B$3&gt;K157,"Vencida",IF(K157-$B$3&lt;=7,"Por vencer","En plazo"))))))</f>
        <v/>
      </c>
      <c r="P157" s="24" t="n"/>
    </row>
    <row r="158">
      <c r="A158" s="22" t="n"/>
      <c r="B158" s="23" t="n"/>
      <c r="C158" s="23" t="n"/>
      <c r="D158" s="23" t="n"/>
      <c r="E158" s="23" t="n"/>
      <c r="F158" s="23" t="n"/>
      <c r="G158" s="24" t="n"/>
      <c r="H158" s="23" t="n"/>
      <c r="I158" s="23" t="n"/>
      <c r="J158" s="25" t="n"/>
      <c r="K158" s="25" t="n"/>
      <c r="L158" s="25" t="n"/>
      <c r="M158" s="23" t="n"/>
      <c r="N158" s="26">
        <f>IF(OR(B158="",K158=""),"",IF(M158="Cancelada",0,IF(M158="Liberada",IF(L158="",0,MAX(0,L158-K158)),MAX(0,$B$3-K158))))</f>
        <v/>
      </c>
      <c r="O158" s="27">
        <f>IF(B158="","",IF(M158="Cancelada","Cancelada",IF(M158="Liberada",IF(N158&gt;0,"Liberada con atraso","Liberada a tiempo"),IF(K158="","Sin fecha requerida",IF($B$3&gt;K158,"Vencida",IF(K158-$B$3&lt;=7,"Por vencer","En plazo"))))))</f>
        <v/>
      </c>
      <c r="P158" s="24" t="n"/>
    </row>
    <row r="159">
      <c r="A159" s="22" t="n"/>
      <c r="B159" s="23" t="n"/>
      <c r="C159" s="23" t="n"/>
      <c r="D159" s="23" t="n"/>
      <c r="E159" s="23" t="n"/>
      <c r="F159" s="23" t="n"/>
      <c r="G159" s="24" t="n"/>
      <c r="H159" s="23" t="n"/>
      <c r="I159" s="23" t="n"/>
      <c r="J159" s="25" t="n"/>
      <c r="K159" s="25" t="n"/>
      <c r="L159" s="25" t="n"/>
      <c r="M159" s="23" t="n"/>
      <c r="N159" s="26">
        <f>IF(OR(B159="",K159=""),"",IF(M159="Cancelada",0,IF(M159="Liberada",IF(L159="",0,MAX(0,L159-K159)),MAX(0,$B$3-K159))))</f>
        <v/>
      </c>
      <c r="O159" s="27">
        <f>IF(B159="","",IF(M159="Cancelada","Cancelada",IF(M159="Liberada",IF(N159&gt;0,"Liberada con atraso","Liberada a tiempo"),IF(K159="","Sin fecha requerida",IF($B$3&gt;K159,"Vencida",IF(K159-$B$3&lt;=7,"Por vencer","En plazo"))))))</f>
        <v/>
      </c>
      <c r="P159" s="24" t="n"/>
    </row>
    <row r="160">
      <c r="A160" s="22" t="n"/>
      <c r="B160" s="23" t="n"/>
      <c r="C160" s="23" t="n"/>
      <c r="D160" s="23" t="n"/>
      <c r="E160" s="23" t="n"/>
      <c r="F160" s="23" t="n"/>
      <c r="G160" s="24" t="n"/>
      <c r="H160" s="23" t="n"/>
      <c r="I160" s="23" t="n"/>
      <c r="J160" s="25" t="n"/>
      <c r="K160" s="25" t="n"/>
      <c r="L160" s="25" t="n"/>
      <c r="M160" s="23" t="n"/>
      <c r="N160" s="26">
        <f>IF(OR(B160="",K160=""),"",IF(M160="Cancelada",0,IF(M160="Liberada",IF(L160="",0,MAX(0,L160-K160)),MAX(0,$B$3-K160))))</f>
        <v/>
      </c>
      <c r="O160" s="27">
        <f>IF(B160="","",IF(M160="Cancelada","Cancelada",IF(M160="Liberada",IF(N160&gt;0,"Liberada con atraso","Liberada a tiempo"),IF(K160="","Sin fecha requerida",IF($B$3&gt;K160,"Vencida",IF(K160-$B$3&lt;=7,"Por vencer","En plazo"))))))</f>
        <v/>
      </c>
      <c r="P160" s="24" t="n"/>
    </row>
    <row r="161">
      <c r="A161" s="22" t="n"/>
      <c r="B161" s="23" t="n"/>
      <c r="C161" s="23" t="n"/>
      <c r="D161" s="23" t="n"/>
      <c r="E161" s="23" t="n"/>
      <c r="F161" s="23" t="n"/>
      <c r="G161" s="24" t="n"/>
      <c r="H161" s="23" t="n"/>
      <c r="I161" s="23" t="n"/>
      <c r="J161" s="25" t="n"/>
      <c r="K161" s="25" t="n"/>
      <c r="L161" s="25" t="n"/>
      <c r="M161" s="23" t="n"/>
      <c r="N161" s="26">
        <f>IF(OR(B161="",K161=""),"",IF(M161="Cancelada",0,IF(M161="Liberada",IF(L161="",0,MAX(0,L161-K161)),MAX(0,$B$3-K161))))</f>
        <v/>
      </c>
      <c r="O161" s="27">
        <f>IF(B161="","",IF(M161="Cancelada","Cancelada",IF(M161="Liberada",IF(N161&gt;0,"Liberada con atraso","Liberada a tiempo"),IF(K161="","Sin fecha requerida",IF($B$3&gt;K161,"Vencida",IF(K161-$B$3&lt;=7,"Por vencer","En plazo"))))))</f>
        <v/>
      </c>
      <c r="P161" s="24" t="n"/>
    </row>
    <row r="162">
      <c r="A162" s="22" t="n"/>
      <c r="B162" s="23" t="n"/>
      <c r="C162" s="23" t="n"/>
      <c r="D162" s="23" t="n"/>
      <c r="E162" s="23" t="n"/>
      <c r="F162" s="23" t="n"/>
      <c r="G162" s="24" t="n"/>
      <c r="H162" s="23" t="n"/>
      <c r="I162" s="23" t="n"/>
      <c r="J162" s="25" t="n"/>
      <c r="K162" s="25" t="n"/>
      <c r="L162" s="25" t="n"/>
      <c r="M162" s="23" t="n"/>
      <c r="N162" s="26">
        <f>IF(OR(B162="",K162=""),"",IF(M162="Cancelada",0,IF(M162="Liberada",IF(L162="",0,MAX(0,L162-K162)),MAX(0,$B$3-K162))))</f>
        <v/>
      </c>
      <c r="O162" s="27">
        <f>IF(B162="","",IF(M162="Cancelada","Cancelada",IF(M162="Liberada",IF(N162&gt;0,"Liberada con atraso","Liberada a tiempo"),IF(K162="","Sin fecha requerida",IF($B$3&gt;K162,"Vencida",IF(K162-$B$3&lt;=7,"Por vencer","En plazo"))))))</f>
        <v/>
      </c>
      <c r="P162" s="24" t="n"/>
    </row>
    <row r="163">
      <c r="A163" s="22" t="n"/>
      <c r="B163" s="23" t="n"/>
      <c r="C163" s="23" t="n"/>
      <c r="D163" s="23" t="n"/>
      <c r="E163" s="23" t="n"/>
      <c r="F163" s="23" t="n"/>
      <c r="G163" s="24" t="n"/>
      <c r="H163" s="23" t="n"/>
      <c r="I163" s="23" t="n"/>
      <c r="J163" s="25" t="n"/>
      <c r="K163" s="25" t="n"/>
      <c r="L163" s="25" t="n"/>
      <c r="M163" s="23" t="n"/>
      <c r="N163" s="26">
        <f>IF(OR(B163="",K163=""),"",IF(M163="Cancelada",0,IF(M163="Liberada",IF(L163="",0,MAX(0,L163-K163)),MAX(0,$B$3-K163))))</f>
        <v/>
      </c>
      <c r="O163" s="27">
        <f>IF(B163="","",IF(M163="Cancelada","Cancelada",IF(M163="Liberada",IF(N163&gt;0,"Liberada con atraso","Liberada a tiempo"),IF(K163="","Sin fecha requerida",IF($B$3&gt;K163,"Vencida",IF(K163-$B$3&lt;=7,"Por vencer","En plazo"))))))</f>
        <v/>
      </c>
      <c r="P163" s="24" t="n"/>
    </row>
    <row r="164">
      <c r="A164" s="22" t="n"/>
      <c r="B164" s="23" t="n"/>
      <c r="C164" s="23" t="n"/>
      <c r="D164" s="23" t="n"/>
      <c r="E164" s="23" t="n"/>
      <c r="F164" s="23" t="n"/>
      <c r="G164" s="24" t="n"/>
      <c r="H164" s="23" t="n"/>
      <c r="I164" s="23" t="n"/>
      <c r="J164" s="25" t="n"/>
      <c r="K164" s="25" t="n"/>
      <c r="L164" s="25" t="n"/>
      <c r="M164" s="23" t="n"/>
      <c r="N164" s="26">
        <f>IF(OR(B164="",K164=""),"",IF(M164="Cancelada",0,IF(M164="Liberada",IF(L164="",0,MAX(0,L164-K164)),MAX(0,$B$3-K164))))</f>
        <v/>
      </c>
      <c r="O164" s="27">
        <f>IF(B164="","",IF(M164="Cancelada","Cancelada",IF(M164="Liberada",IF(N164&gt;0,"Liberada con atraso","Liberada a tiempo"),IF(K164="","Sin fecha requerida",IF($B$3&gt;K164,"Vencida",IF(K164-$B$3&lt;=7,"Por vencer","En plazo"))))))</f>
        <v/>
      </c>
      <c r="P164" s="24" t="n"/>
    </row>
    <row r="165">
      <c r="A165" s="22" t="n"/>
      <c r="B165" s="23" t="n"/>
      <c r="C165" s="23" t="n"/>
      <c r="D165" s="23" t="n"/>
      <c r="E165" s="23" t="n"/>
      <c r="F165" s="23" t="n"/>
      <c r="G165" s="24" t="n"/>
      <c r="H165" s="23" t="n"/>
      <c r="I165" s="23" t="n"/>
      <c r="J165" s="25" t="n"/>
      <c r="K165" s="25" t="n"/>
      <c r="L165" s="25" t="n"/>
      <c r="M165" s="23" t="n"/>
      <c r="N165" s="26">
        <f>IF(OR(B165="",K165=""),"",IF(M165="Cancelada",0,IF(M165="Liberada",IF(L165="",0,MAX(0,L165-K165)),MAX(0,$B$3-K165))))</f>
        <v/>
      </c>
      <c r="O165" s="27">
        <f>IF(B165="","",IF(M165="Cancelada","Cancelada",IF(M165="Liberada",IF(N165&gt;0,"Liberada con atraso","Liberada a tiempo"),IF(K165="","Sin fecha requerida",IF($B$3&gt;K165,"Vencida",IF(K165-$B$3&lt;=7,"Por vencer","En plazo"))))))</f>
        <v/>
      </c>
      <c r="P165" s="24" t="n"/>
    </row>
    <row r="166">
      <c r="A166" s="22" t="n"/>
      <c r="B166" s="23" t="n"/>
      <c r="C166" s="23" t="n"/>
      <c r="D166" s="23" t="n"/>
      <c r="E166" s="23" t="n"/>
      <c r="F166" s="23" t="n"/>
      <c r="G166" s="24" t="n"/>
      <c r="H166" s="23" t="n"/>
      <c r="I166" s="23" t="n"/>
      <c r="J166" s="25" t="n"/>
      <c r="K166" s="25" t="n"/>
      <c r="L166" s="25" t="n"/>
      <c r="M166" s="23" t="n"/>
      <c r="N166" s="26">
        <f>IF(OR(B166="",K166=""),"",IF(M166="Cancelada",0,IF(M166="Liberada",IF(L166="",0,MAX(0,L166-K166)),MAX(0,$B$3-K166))))</f>
        <v/>
      </c>
      <c r="O166" s="27">
        <f>IF(B166="","",IF(M166="Cancelada","Cancelada",IF(M166="Liberada",IF(N166&gt;0,"Liberada con atraso","Liberada a tiempo"),IF(K166="","Sin fecha requerida",IF($B$3&gt;K166,"Vencida",IF(K166-$B$3&lt;=7,"Por vencer","En plazo"))))))</f>
        <v/>
      </c>
      <c r="P166" s="24" t="n"/>
    </row>
    <row r="167">
      <c r="A167" s="22" t="n"/>
      <c r="B167" s="23" t="n"/>
      <c r="C167" s="23" t="n"/>
      <c r="D167" s="23" t="n"/>
      <c r="E167" s="23" t="n"/>
      <c r="F167" s="23" t="n"/>
      <c r="G167" s="24" t="n"/>
      <c r="H167" s="23" t="n"/>
      <c r="I167" s="23" t="n"/>
      <c r="J167" s="25" t="n"/>
      <c r="K167" s="25" t="n"/>
      <c r="L167" s="25" t="n"/>
      <c r="M167" s="23" t="n"/>
      <c r="N167" s="26">
        <f>IF(OR(B167="",K167=""),"",IF(M167="Cancelada",0,IF(M167="Liberada",IF(L167="",0,MAX(0,L167-K167)),MAX(0,$B$3-K167))))</f>
        <v/>
      </c>
      <c r="O167" s="27">
        <f>IF(B167="","",IF(M167="Cancelada","Cancelada",IF(M167="Liberada",IF(N167&gt;0,"Liberada con atraso","Liberada a tiempo"),IF(K167="","Sin fecha requerida",IF($B$3&gt;K167,"Vencida",IF(K167-$B$3&lt;=7,"Por vencer","En plazo"))))))</f>
        <v/>
      </c>
      <c r="P167" s="24" t="n"/>
    </row>
    <row r="168">
      <c r="A168" s="22" t="n"/>
      <c r="B168" s="23" t="n"/>
      <c r="C168" s="23" t="n"/>
      <c r="D168" s="23" t="n"/>
      <c r="E168" s="23" t="n"/>
      <c r="F168" s="23" t="n"/>
      <c r="G168" s="24" t="n"/>
      <c r="H168" s="23" t="n"/>
      <c r="I168" s="23" t="n"/>
      <c r="J168" s="25" t="n"/>
      <c r="K168" s="25" t="n"/>
      <c r="L168" s="25" t="n"/>
      <c r="M168" s="23" t="n"/>
      <c r="N168" s="26">
        <f>IF(OR(B168="",K168=""),"",IF(M168="Cancelada",0,IF(M168="Liberada",IF(L168="",0,MAX(0,L168-K168)),MAX(0,$B$3-K168))))</f>
        <v/>
      </c>
      <c r="O168" s="27">
        <f>IF(B168="","",IF(M168="Cancelada","Cancelada",IF(M168="Liberada",IF(N168&gt;0,"Liberada con atraso","Liberada a tiempo"),IF(K168="","Sin fecha requerida",IF($B$3&gt;K168,"Vencida",IF(K168-$B$3&lt;=7,"Por vencer","En plazo"))))))</f>
        <v/>
      </c>
      <c r="P168" s="24" t="n"/>
    </row>
    <row r="169">
      <c r="A169" s="22" t="n"/>
      <c r="B169" s="23" t="n"/>
      <c r="C169" s="23" t="n"/>
      <c r="D169" s="23" t="n"/>
      <c r="E169" s="23" t="n"/>
      <c r="F169" s="23" t="n"/>
      <c r="G169" s="24" t="n"/>
      <c r="H169" s="23" t="n"/>
      <c r="I169" s="23" t="n"/>
      <c r="J169" s="25" t="n"/>
      <c r="K169" s="25" t="n"/>
      <c r="L169" s="25" t="n"/>
      <c r="M169" s="23" t="n"/>
      <c r="N169" s="26">
        <f>IF(OR(B169="",K169=""),"",IF(M169="Cancelada",0,IF(M169="Liberada",IF(L169="",0,MAX(0,L169-K169)),MAX(0,$B$3-K169))))</f>
        <v/>
      </c>
      <c r="O169" s="27">
        <f>IF(B169="","",IF(M169="Cancelada","Cancelada",IF(M169="Liberada",IF(N169&gt;0,"Liberada con atraso","Liberada a tiempo"),IF(K169="","Sin fecha requerida",IF($B$3&gt;K169,"Vencida",IF(K169-$B$3&lt;=7,"Por vencer","En plazo"))))))</f>
        <v/>
      </c>
      <c r="P169" s="24" t="n"/>
    </row>
    <row r="170">
      <c r="A170" s="22" t="n"/>
      <c r="B170" s="23" t="n"/>
      <c r="C170" s="23" t="n"/>
      <c r="D170" s="23" t="n"/>
      <c r="E170" s="23" t="n"/>
      <c r="F170" s="23" t="n"/>
      <c r="G170" s="24" t="n"/>
      <c r="H170" s="23" t="n"/>
      <c r="I170" s="23" t="n"/>
      <c r="J170" s="25" t="n"/>
      <c r="K170" s="25" t="n"/>
      <c r="L170" s="25" t="n"/>
      <c r="M170" s="23" t="n"/>
      <c r="N170" s="26">
        <f>IF(OR(B170="",K170=""),"",IF(M170="Cancelada",0,IF(M170="Liberada",IF(L170="",0,MAX(0,L170-K170)),MAX(0,$B$3-K170))))</f>
        <v/>
      </c>
      <c r="O170" s="27">
        <f>IF(B170="","",IF(M170="Cancelada","Cancelada",IF(M170="Liberada",IF(N170&gt;0,"Liberada con atraso","Liberada a tiempo"),IF(K170="","Sin fecha requerida",IF($B$3&gt;K170,"Vencida",IF(K170-$B$3&lt;=7,"Por vencer","En plazo"))))))</f>
        <v/>
      </c>
      <c r="P170" s="24" t="n"/>
    </row>
    <row r="171">
      <c r="A171" s="22" t="n"/>
      <c r="B171" s="23" t="n"/>
      <c r="C171" s="23" t="n"/>
      <c r="D171" s="23" t="n"/>
      <c r="E171" s="23" t="n"/>
      <c r="F171" s="23" t="n"/>
      <c r="G171" s="24" t="n"/>
      <c r="H171" s="23" t="n"/>
      <c r="I171" s="23" t="n"/>
      <c r="J171" s="25" t="n"/>
      <c r="K171" s="25" t="n"/>
      <c r="L171" s="25" t="n"/>
      <c r="M171" s="23" t="n"/>
      <c r="N171" s="26">
        <f>IF(OR(B171="",K171=""),"",IF(M171="Cancelada",0,IF(M171="Liberada",IF(L171="",0,MAX(0,L171-K171)),MAX(0,$B$3-K171))))</f>
        <v/>
      </c>
      <c r="O171" s="27">
        <f>IF(B171="","",IF(M171="Cancelada","Cancelada",IF(M171="Liberada",IF(N171&gt;0,"Liberada con atraso","Liberada a tiempo"),IF(K171="","Sin fecha requerida",IF($B$3&gt;K171,"Vencida",IF(K171-$B$3&lt;=7,"Por vencer","En plazo"))))))</f>
        <v/>
      </c>
      <c r="P171" s="24" t="n"/>
    </row>
    <row r="172">
      <c r="A172" s="22" t="n"/>
      <c r="B172" s="23" t="n"/>
      <c r="C172" s="23" t="n"/>
      <c r="D172" s="23" t="n"/>
      <c r="E172" s="23" t="n"/>
      <c r="F172" s="23" t="n"/>
      <c r="G172" s="24" t="n"/>
      <c r="H172" s="23" t="n"/>
      <c r="I172" s="23" t="n"/>
      <c r="J172" s="25" t="n"/>
      <c r="K172" s="25" t="n"/>
      <c r="L172" s="25" t="n"/>
      <c r="M172" s="23" t="n"/>
      <c r="N172" s="26">
        <f>IF(OR(B172="",K172=""),"",IF(M172="Cancelada",0,IF(M172="Liberada",IF(L172="",0,MAX(0,L172-K172)),MAX(0,$B$3-K172))))</f>
        <v/>
      </c>
      <c r="O172" s="27">
        <f>IF(B172="","",IF(M172="Cancelada","Cancelada",IF(M172="Liberada",IF(N172&gt;0,"Liberada con atraso","Liberada a tiempo"),IF(K172="","Sin fecha requerida",IF($B$3&gt;K172,"Vencida",IF(K172-$B$3&lt;=7,"Por vencer","En plazo"))))))</f>
        <v/>
      </c>
      <c r="P172" s="24" t="n"/>
    </row>
    <row r="173">
      <c r="A173" s="22" t="n"/>
      <c r="B173" s="23" t="n"/>
      <c r="C173" s="23" t="n"/>
      <c r="D173" s="23" t="n"/>
      <c r="E173" s="23" t="n"/>
      <c r="F173" s="23" t="n"/>
      <c r="G173" s="24" t="n"/>
      <c r="H173" s="23" t="n"/>
      <c r="I173" s="23" t="n"/>
      <c r="J173" s="25" t="n"/>
      <c r="K173" s="25" t="n"/>
      <c r="L173" s="25" t="n"/>
      <c r="M173" s="23" t="n"/>
      <c r="N173" s="26">
        <f>IF(OR(B173="",K173=""),"",IF(M173="Cancelada",0,IF(M173="Liberada",IF(L173="",0,MAX(0,L173-K173)),MAX(0,$B$3-K173))))</f>
        <v/>
      </c>
      <c r="O173" s="27">
        <f>IF(B173="","",IF(M173="Cancelada","Cancelada",IF(M173="Liberada",IF(N173&gt;0,"Liberada con atraso","Liberada a tiempo"),IF(K173="","Sin fecha requerida",IF($B$3&gt;K173,"Vencida",IF(K173-$B$3&lt;=7,"Por vencer","En plazo"))))))</f>
        <v/>
      </c>
      <c r="P173" s="24" t="n"/>
    </row>
    <row r="174">
      <c r="A174" s="22" t="n"/>
      <c r="B174" s="23" t="n"/>
      <c r="C174" s="23" t="n"/>
      <c r="D174" s="23" t="n"/>
      <c r="E174" s="23" t="n"/>
      <c r="F174" s="23" t="n"/>
      <c r="G174" s="24" t="n"/>
      <c r="H174" s="23" t="n"/>
      <c r="I174" s="23" t="n"/>
      <c r="J174" s="25" t="n"/>
      <c r="K174" s="25" t="n"/>
      <c r="L174" s="25" t="n"/>
      <c r="M174" s="23" t="n"/>
      <c r="N174" s="26">
        <f>IF(OR(B174="",K174=""),"",IF(M174="Cancelada",0,IF(M174="Liberada",IF(L174="",0,MAX(0,L174-K174)),MAX(0,$B$3-K174))))</f>
        <v/>
      </c>
      <c r="O174" s="27">
        <f>IF(B174="","",IF(M174="Cancelada","Cancelada",IF(M174="Liberada",IF(N174&gt;0,"Liberada con atraso","Liberada a tiempo"),IF(K174="","Sin fecha requerida",IF($B$3&gt;K174,"Vencida",IF(K174-$B$3&lt;=7,"Por vencer","En plazo"))))))</f>
        <v/>
      </c>
      <c r="P174" s="24" t="n"/>
    </row>
    <row r="175">
      <c r="A175" s="22" t="n"/>
      <c r="B175" s="23" t="n"/>
      <c r="C175" s="23" t="n"/>
      <c r="D175" s="23" t="n"/>
      <c r="E175" s="23" t="n"/>
      <c r="F175" s="23" t="n"/>
      <c r="G175" s="24" t="n"/>
      <c r="H175" s="23" t="n"/>
      <c r="I175" s="23" t="n"/>
      <c r="J175" s="25" t="n"/>
      <c r="K175" s="25" t="n"/>
      <c r="L175" s="25" t="n"/>
      <c r="M175" s="23" t="n"/>
      <c r="N175" s="26">
        <f>IF(OR(B175="",K175=""),"",IF(M175="Cancelada",0,IF(M175="Liberada",IF(L175="",0,MAX(0,L175-K175)),MAX(0,$B$3-K175))))</f>
        <v/>
      </c>
      <c r="O175" s="27">
        <f>IF(B175="","",IF(M175="Cancelada","Cancelada",IF(M175="Liberada",IF(N175&gt;0,"Liberada con atraso","Liberada a tiempo"),IF(K175="","Sin fecha requerida",IF($B$3&gt;K175,"Vencida",IF(K175-$B$3&lt;=7,"Por vencer","En plazo"))))))</f>
        <v/>
      </c>
      <c r="P175" s="24" t="n"/>
    </row>
    <row r="176">
      <c r="A176" s="22" t="n"/>
      <c r="B176" s="23" t="n"/>
      <c r="C176" s="23" t="n"/>
      <c r="D176" s="23" t="n"/>
      <c r="E176" s="23" t="n"/>
      <c r="F176" s="23" t="n"/>
      <c r="G176" s="24" t="n"/>
      <c r="H176" s="23" t="n"/>
      <c r="I176" s="23" t="n"/>
      <c r="J176" s="25" t="n"/>
      <c r="K176" s="25" t="n"/>
      <c r="L176" s="25" t="n"/>
      <c r="M176" s="23" t="n"/>
      <c r="N176" s="26">
        <f>IF(OR(B176="",K176=""),"",IF(M176="Cancelada",0,IF(M176="Liberada",IF(L176="",0,MAX(0,L176-K176)),MAX(0,$B$3-K176))))</f>
        <v/>
      </c>
      <c r="O176" s="27">
        <f>IF(B176="","",IF(M176="Cancelada","Cancelada",IF(M176="Liberada",IF(N176&gt;0,"Liberada con atraso","Liberada a tiempo"),IF(K176="","Sin fecha requerida",IF($B$3&gt;K176,"Vencida",IF(K176-$B$3&lt;=7,"Por vencer","En plazo"))))))</f>
        <v/>
      </c>
      <c r="P176" s="24" t="n"/>
    </row>
    <row r="177">
      <c r="A177" s="22" t="n"/>
      <c r="B177" s="23" t="n"/>
      <c r="C177" s="23" t="n"/>
      <c r="D177" s="23" t="n"/>
      <c r="E177" s="23" t="n"/>
      <c r="F177" s="23" t="n"/>
      <c r="G177" s="24" t="n"/>
      <c r="H177" s="23" t="n"/>
      <c r="I177" s="23" t="n"/>
      <c r="J177" s="25" t="n"/>
      <c r="K177" s="25" t="n"/>
      <c r="L177" s="25" t="n"/>
      <c r="M177" s="23" t="n"/>
      <c r="N177" s="26">
        <f>IF(OR(B177="",K177=""),"",IF(M177="Cancelada",0,IF(M177="Liberada",IF(L177="",0,MAX(0,L177-K177)),MAX(0,$B$3-K177))))</f>
        <v/>
      </c>
      <c r="O177" s="27">
        <f>IF(B177="","",IF(M177="Cancelada","Cancelada",IF(M177="Liberada",IF(N177&gt;0,"Liberada con atraso","Liberada a tiempo"),IF(K177="","Sin fecha requerida",IF($B$3&gt;K177,"Vencida",IF(K177-$B$3&lt;=7,"Por vencer","En plazo"))))))</f>
        <v/>
      </c>
      <c r="P177" s="24" t="n"/>
    </row>
    <row r="178">
      <c r="A178" s="22" t="n"/>
      <c r="B178" s="23" t="n"/>
      <c r="C178" s="23" t="n"/>
      <c r="D178" s="23" t="n"/>
      <c r="E178" s="23" t="n"/>
      <c r="F178" s="23" t="n"/>
      <c r="G178" s="24" t="n"/>
      <c r="H178" s="23" t="n"/>
      <c r="I178" s="23" t="n"/>
      <c r="J178" s="25" t="n"/>
      <c r="K178" s="25" t="n"/>
      <c r="L178" s="25" t="n"/>
      <c r="M178" s="23" t="n"/>
      <c r="N178" s="26">
        <f>IF(OR(B178="",K178=""),"",IF(M178="Cancelada",0,IF(M178="Liberada",IF(L178="",0,MAX(0,L178-K178)),MAX(0,$B$3-K178))))</f>
        <v/>
      </c>
      <c r="O178" s="27">
        <f>IF(B178="","",IF(M178="Cancelada","Cancelada",IF(M178="Liberada",IF(N178&gt;0,"Liberada con atraso","Liberada a tiempo"),IF(K178="","Sin fecha requerida",IF($B$3&gt;K178,"Vencida",IF(K178-$B$3&lt;=7,"Por vencer","En plazo"))))))</f>
        <v/>
      </c>
      <c r="P178" s="24" t="n"/>
    </row>
    <row r="179">
      <c r="A179" s="22" t="n"/>
      <c r="B179" s="23" t="n"/>
      <c r="C179" s="23" t="n"/>
      <c r="D179" s="23" t="n"/>
      <c r="E179" s="23" t="n"/>
      <c r="F179" s="23" t="n"/>
      <c r="G179" s="24" t="n"/>
      <c r="H179" s="23" t="n"/>
      <c r="I179" s="23" t="n"/>
      <c r="J179" s="25" t="n"/>
      <c r="K179" s="25" t="n"/>
      <c r="L179" s="25" t="n"/>
      <c r="M179" s="23" t="n"/>
      <c r="N179" s="26">
        <f>IF(OR(B179="",K179=""),"",IF(M179="Cancelada",0,IF(M179="Liberada",IF(L179="",0,MAX(0,L179-K179)),MAX(0,$B$3-K179))))</f>
        <v/>
      </c>
      <c r="O179" s="27">
        <f>IF(B179="","",IF(M179="Cancelada","Cancelada",IF(M179="Liberada",IF(N179&gt;0,"Liberada con atraso","Liberada a tiempo"),IF(K179="","Sin fecha requerida",IF($B$3&gt;K179,"Vencida",IF(K179-$B$3&lt;=7,"Por vencer","En plazo"))))))</f>
        <v/>
      </c>
      <c r="P179" s="24" t="n"/>
    </row>
    <row r="180">
      <c r="A180" s="22" t="n"/>
      <c r="B180" s="23" t="n"/>
      <c r="C180" s="23" t="n"/>
      <c r="D180" s="23" t="n"/>
      <c r="E180" s="23" t="n"/>
      <c r="F180" s="23" t="n"/>
      <c r="G180" s="24" t="n"/>
      <c r="H180" s="23" t="n"/>
      <c r="I180" s="23" t="n"/>
      <c r="J180" s="25" t="n"/>
      <c r="K180" s="25" t="n"/>
      <c r="L180" s="25" t="n"/>
      <c r="M180" s="23" t="n"/>
      <c r="N180" s="26">
        <f>IF(OR(B180="",K180=""),"",IF(M180="Cancelada",0,IF(M180="Liberada",IF(L180="",0,MAX(0,L180-K180)),MAX(0,$B$3-K180))))</f>
        <v/>
      </c>
      <c r="O180" s="27">
        <f>IF(B180="","",IF(M180="Cancelada","Cancelada",IF(M180="Liberada",IF(N180&gt;0,"Liberada con atraso","Liberada a tiempo"),IF(K180="","Sin fecha requerida",IF($B$3&gt;K180,"Vencida",IF(K180-$B$3&lt;=7,"Por vencer","En plazo"))))))</f>
        <v/>
      </c>
      <c r="P180" s="24" t="n"/>
    </row>
    <row r="181">
      <c r="A181" s="22" t="n"/>
      <c r="B181" s="23" t="n"/>
      <c r="C181" s="23" t="n"/>
      <c r="D181" s="23" t="n"/>
      <c r="E181" s="23" t="n"/>
      <c r="F181" s="23" t="n"/>
      <c r="G181" s="24" t="n"/>
      <c r="H181" s="23" t="n"/>
      <c r="I181" s="23" t="n"/>
      <c r="J181" s="25" t="n"/>
      <c r="K181" s="25" t="n"/>
      <c r="L181" s="25" t="n"/>
      <c r="M181" s="23" t="n"/>
      <c r="N181" s="26">
        <f>IF(OR(B181="",K181=""),"",IF(M181="Cancelada",0,IF(M181="Liberada",IF(L181="",0,MAX(0,L181-K181)),MAX(0,$B$3-K181))))</f>
        <v/>
      </c>
      <c r="O181" s="27">
        <f>IF(B181="","",IF(M181="Cancelada","Cancelada",IF(M181="Liberada",IF(N181&gt;0,"Liberada con atraso","Liberada a tiempo"),IF(K181="","Sin fecha requerida",IF($B$3&gt;K181,"Vencida",IF(K181-$B$3&lt;=7,"Por vencer","En plazo"))))))</f>
        <v/>
      </c>
      <c r="P181" s="24" t="n"/>
    </row>
    <row r="182">
      <c r="A182" s="22" t="n"/>
      <c r="B182" s="23" t="n"/>
      <c r="C182" s="23" t="n"/>
      <c r="D182" s="23" t="n"/>
      <c r="E182" s="23" t="n"/>
      <c r="F182" s="23" t="n"/>
      <c r="G182" s="24" t="n"/>
      <c r="H182" s="23" t="n"/>
      <c r="I182" s="23" t="n"/>
      <c r="J182" s="25" t="n"/>
      <c r="K182" s="25" t="n"/>
      <c r="L182" s="25" t="n"/>
      <c r="M182" s="23" t="n"/>
      <c r="N182" s="26">
        <f>IF(OR(B182="",K182=""),"",IF(M182="Cancelada",0,IF(M182="Liberada",IF(L182="",0,MAX(0,L182-K182)),MAX(0,$B$3-K182))))</f>
        <v/>
      </c>
      <c r="O182" s="27">
        <f>IF(B182="","",IF(M182="Cancelada","Cancelada",IF(M182="Liberada",IF(N182&gt;0,"Liberada con atraso","Liberada a tiempo"),IF(K182="","Sin fecha requerida",IF($B$3&gt;K182,"Vencida",IF(K182-$B$3&lt;=7,"Por vencer","En plazo"))))))</f>
        <v/>
      </c>
      <c r="P182" s="24" t="n"/>
    </row>
    <row r="183">
      <c r="A183" s="22" t="n"/>
      <c r="B183" s="23" t="n"/>
      <c r="C183" s="23" t="n"/>
      <c r="D183" s="23" t="n"/>
      <c r="E183" s="23" t="n"/>
      <c r="F183" s="23" t="n"/>
      <c r="G183" s="24" t="n"/>
      <c r="H183" s="23" t="n"/>
      <c r="I183" s="23" t="n"/>
      <c r="J183" s="25" t="n"/>
      <c r="K183" s="25" t="n"/>
      <c r="L183" s="25" t="n"/>
      <c r="M183" s="23" t="n"/>
      <c r="N183" s="26">
        <f>IF(OR(B183="",K183=""),"",IF(M183="Cancelada",0,IF(M183="Liberada",IF(L183="",0,MAX(0,L183-K183)),MAX(0,$B$3-K183))))</f>
        <v/>
      </c>
      <c r="O183" s="27">
        <f>IF(B183="","",IF(M183="Cancelada","Cancelada",IF(M183="Liberada",IF(N183&gt;0,"Liberada con atraso","Liberada a tiempo"),IF(K183="","Sin fecha requerida",IF($B$3&gt;K183,"Vencida",IF(K183-$B$3&lt;=7,"Por vencer","En plazo"))))))</f>
        <v/>
      </c>
      <c r="P183" s="24" t="n"/>
    </row>
    <row r="184">
      <c r="A184" s="22" t="n"/>
      <c r="B184" s="23" t="n"/>
      <c r="C184" s="23" t="n"/>
      <c r="D184" s="23" t="n"/>
      <c r="E184" s="23" t="n"/>
      <c r="F184" s="23" t="n"/>
      <c r="G184" s="24" t="n"/>
      <c r="H184" s="23" t="n"/>
      <c r="I184" s="23" t="n"/>
      <c r="J184" s="25" t="n"/>
      <c r="K184" s="25" t="n"/>
      <c r="L184" s="25" t="n"/>
      <c r="M184" s="23" t="n"/>
      <c r="N184" s="26">
        <f>IF(OR(B184="",K184=""),"",IF(M184="Cancelada",0,IF(M184="Liberada",IF(L184="",0,MAX(0,L184-K184)),MAX(0,$B$3-K184))))</f>
        <v/>
      </c>
      <c r="O184" s="27">
        <f>IF(B184="","",IF(M184="Cancelada","Cancelada",IF(M184="Liberada",IF(N184&gt;0,"Liberada con atraso","Liberada a tiempo"),IF(K184="","Sin fecha requerida",IF($B$3&gt;K184,"Vencida",IF(K184-$B$3&lt;=7,"Por vencer","En plazo"))))))</f>
        <v/>
      </c>
      <c r="P184" s="24" t="n"/>
    </row>
    <row r="185">
      <c r="A185" s="22" t="n"/>
      <c r="B185" s="23" t="n"/>
      <c r="C185" s="23" t="n"/>
      <c r="D185" s="23" t="n"/>
      <c r="E185" s="23" t="n"/>
      <c r="F185" s="23" t="n"/>
      <c r="G185" s="24" t="n"/>
      <c r="H185" s="23" t="n"/>
      <c r="I185" s="23" t="n"/>
      <c r="J185" s="25" t="n"/>
      <c r="K185" s="25" t="n"/>
      <c r="L185" s="25" t="n"/>
      <c r="M185" s="23" t="n"/>
      <c r="N185" s="26">
        <f>IF(OR(B185="",K185=""),"",IF(M185="Cancelada",0,IF(M185="Liberada",IF(L185="",0,MAX(0,L185-K185)),MAX(0,$B$3-K185))))</f>
        <v/>
      </c>
      <c r="O185" s="27">
        <f>IF(B185="","",IF(M185="Cancelada","Cancelada",IF(M185="Liberada",IF(N185&gt;0,"Liberada con atraso","Liberada a tiempo"),IF(K185="","Sin fecha requerida",IF($B$3&gt;K185,"Vencida",IF(K185-$B$3&lt;=7,"Por vencer","En plazo"))))))</f>
        <v/>
      </c>
      <c r="P185" s="24" t="n"/>
    </row>
    <row r="186">
      <c r="A186" s="22" t="n"/>
      <c r="B186" s="23" t="n"/>
      <c r="C186" s="23" t="n"/>
      <c r="D186" s="23" t="n"/>
      <c r="E186" s="23" t="n"/>
      <c r="F186" s="23" t="n"/>
      <c r="G186" s="24" t="n"/>
      <c r="H186" s="23" t="n"/>
      <c r="I186" s="23" t="n"/>
      <c r="J186" s="25" t="n"/>
      <c r="K186" s="25" t="n"/>
      <c r="L186" s="25" t="n"/>
      <c r="M186" s="23" t="n"/>
      <c r="N186" s="26">
        <f>IF(OR(B186="",K186=""),"",IF(M186="Cancelada",0,IF(M186="Liberada",IF(L186="",0,MAX(0,L186-K186)),MAX(0,$B$3-K186))))</f>
        <v/>
      </c>
      <c r="O186" s="27">
        <f>IF(B186="","",IF(M186="Cancelada","Cancelada",IF(M186="Liberada",IF(N186&gt;0,"Liberada con atraso","Liberada a tiempo"),IF(K186="","Sin fecha requerida",IF($B$3&gt;K186,"Vencida",IF(K186-$B$3&lt;=7,"Por vencer","En plazo"))))))</f>
        <v/>
      </c>
      <c r="P186" s="24" t="n"/>
    </row>
    <row r="187">
      <c r="A187" s="22" t="n"/>
      <c r="B187" s="23" t="n"/>
      <c r="C187" s="23" t="n"/>
      <c r="D187" s="23" t="n"/>
      <c r="E187" s="23" t="n"/>
      <c r="F187" s="23" t="n"/>
      <c r="G187" s="24" t="n"/>
      <c r="H187" s="23" t="n"/>
      <c r="I187" s="23" t="n"/>
      <c r="J187" s="25" t="n"/>
      <c r="K187" s="25" t="n"/>
      <c r="L187" s="25" t="n"/>
      <c r="M187" s="23" t="n"/>
      <c r="N187" s="26">
        <f>IF(OR(B187="",K187=""),"",IF(M187="Cancelada",0,IF(M187="Liberada",IF(L187="",0,MAX(0,L187-K187)),MAX(0,$B$3-K187))))</f>
        <v/>
      </c>
      <c r="O187" s="27">
        <f>IF(B187="","",IF(M187="Cancelada","Cancelada",IF(M187="Liberada",IF(N187&gt;0,"Liberada con atraso","Liberada a tiempo"),IF(K187="","Sin fecha requerida",IF($B$3&gt;K187,"Vencida",IF(K187-$B$3&lt;=7,"Por vencer","En plazo"))))))</f>
        <v/>
      </c>
      <c r="P187" s="24" t="n"/>
    </row>
    <row r="188">
      <c r="A188" s="22" t="n"/>
      <c r="B188" s="23" t="n"/>
      <c r="C188" s="23" t="n"/>
      <c r="D188" s="23" t="n"/>
      <c r="E188" s="23" t="n"/>
      <c r="F188" s="23" t="n"/>
      <c r="G188" s="24" t="n"/>
      <c r="H188" s="23" t="n"/>
      <c r="I188" s="23" t="n"/>
      <c r="J188" s="25" t="n"/>
      <c r="K188" s="25" t="n"/>
      <c r="L188" s="25" t="n"/>
      <c r="M188" s="23" t="n"/>
      <c r="N188" s="26">
        <f>IF(OR(B188="",K188=""),"",IF(M188="Cancelada",0,IF(M188="Liberada",IF(L188="",0,MAX(0,L188-K188)),MAX(0,$B$3-K188))))</f>
        <v/>
      </c>
      <c r="O188" s="27">
        <f>IF(B188="","",IF(M188="Cancelada","Cancelada",IF(M188="Liberada",IF(N188&gt;0,"Liberada con atraso","Liberada a tiempo"),IF(K188="","Sin fecha requerida",IF($B$3&gt;K188,"Vencida",IF(K188-$B$3&lt;=7,"Por vencer","En plazo"))))))</f>
        <v/>
      </c>
      <c r="P188" s="24" t="n"/>
    </row>
    <row r="189">
      <c r="A189" s="22" t="n"/>
      <c r="B189" s="23" t="n"/>
      <c r="C189" s="23" t="n"/>
      <c r="D189" s="23" t="n"/>
      <c r="E189" s="23" t="n"/>
      <c r="F189" s="23" t="n"/>
      <c r="G189" s="24" t="n"/>
      <c r="H189" s="23" t="n"/>
      <c r="I189" s="23" t="n"/>
      <c r="J189" s="25" t="n"/>
      <c r="K189" s="25" t="n"/>
      <c r="L189" s="25" t="n"/>
      <c r="M189" s="23" t="n"/>
      <c r="N189" s="26">
        <f>IF(OR(B189="",K189=""),"",IF(M189="Cancelada",0,IF(M189="Liberada",IF(L189="",0,MAX(0,L189-K189)),MAX(0,$B$3-K189))))</f>
        <v/>
      </c>
      <c r="O189" s="27">
        <f>IF(B189="","",IF(M189="Cancelada","Cancelada",IF(M189="Liberada",IF(N189&gt;0,"Liberada con atraso","Liberada a tiempo"),IF(K189="","Sin fecha requerida",IF($B$3&gt;K189,"Vencida",IF(K189-$B$3&lt;=7,"Por vencer","En plazo"))))))</f>
        <v/>
      </c>
      <c r="P189" s="24" t="n"/>
    </row>
    <row r="190">
      <c r="A190" s="22" t="n"/>
      <c r="B190" s="23" t="n"/>
      <c r="C190" s="23" t="n"/>
      <c r="D190" s="23" t="n"/>
      <c r="E190" s="23" t="n"/>
      <c r="F190" s="23" t="n"/>
      <c r="G190" s="24" t="n"/>
      <c r="H190" s="23" t="n"/>
      <c r="I190" s="23" t="n"/>
      <c r="J190" s="25" t="n"/>
      <c r="K190" s="25" t="n"/>
      <c r="L190" s="25" t="n"/>
      <c r="M190" s="23" t="n"/>
      <c r="N190" s="26">
        <f>IF(OR(B190="",K190=""),"",IF(M190="Cancelada",0,IF(M190="Liberada",IF(L190="",0,MAX(0,L190-K190)),MAX(0,$B$3-K190))))</f>
        <v/>
      </c>
      <c r="O190" s="27">
        <f>IF(B190="","",IF(M190="Cancelada","Cancelada",IF(M190="Liberada",IF(N190&gt;0,"Liberada con atraso","Liberada a tiempo"),IF(K190="","Sin fecha requerida",IF($B$3&gt;K190,"Vencida",IF(K190-$B$3&lt;=7,"Por vencer","En plazo"))))))</f>
        <v/>
      </c>
      <c r="P190" s="24" t="n"/>
    </row>
    <row r="191">
      <c r="A191" s="22" t="n"/>
      <c r="B191" s="23" t="n"/>
      <c r="C191" s="23" t="n"/>
      <c r="D191" s="23" t="n"/>
      <c r="E191" s="23" t="n"/>
      <c r="F191" s="23" t="n"/>
      <c r="G191" s="24" t="n"/>
      <c r="H191" s="23" t="n"/>
      <c r="I191" s="23" t="n"/>
      <c r="J191" s="25" t="n"/>
      <c r="K191" s="25" t="n"/>
      <c r="L191" s="25" t="n"/>
      <c r="M191" s="23" t="n"/>
      <c r="N191" s="26">
        <f>IF(OR(B191="",K191=""),"",IF(M191="Cancelada",0,IF(M191="Liberada",IF(L191="",0,MAX(0,L191-K191)),MAX(0,$B$3-K191))))</f>
        <v/>
      </c>
      <c r="O191" s="27">
        <f>IF(B191="","",IF(M191="Cancelada","Cancelada",IF(M191="Liberada",IF(N191&gt;0,"Liberada con atraso","Liberada a tiempo"),IF(K191="","Sin fecha requerida",IF($B$3&gt;K191,"Vencida",IF(K191-$B$3&lt;=7,"Por vencer","En plazo"))))))</f>
        <v/>
      </c>
      <c r="P191" s="24" t="n"/>
    </row>
    <row r="192">
      <c r="A192" s="22" t="n"/>
      <c r="B192" s="23" t="n"/>
      <c r="C192" s="23" t="n"/>
      <c r="D192" s="23" t="n"/>
      <c r="E192" s="23" t="n"/>
      <c r="F192" s="23" t="n"/>
      <c r="G192" s="24" t="n"/>
      <c r="H192" s="23" t="n"/>
      <c r="I192" s="23" t="n"/>
      <c r="J192" s="25" t="n"/>
      <c r="K192" s="25" t="n"/>
      <c r="L192" s="25" t="n"/>
      <c r="M192" s="23" t="n"/>
      <c r="N192" s="26">
        <f>IF(OR(B192="",K192=""),"",IF(M192="Cancelada",0,IF(M192="Liberada",IF(L192="",0,MAX(0,L192-K192)),MAX(0,$B$3-K192))))</f>
        <v/>
      </c>
      <c r="O192" s="27">
        <f>IF(B192="","",IF(M192="Cancelada","Cancelada",IF(M192="Liberada",IF(N192&gt;0,"Liberada con atraso","Liberada a tiempo"),IF(K192="","Sin fecha requerida",IF($B$3&gt;K192,"Vencida",IF(K192-$B$3&lt;=7,"Por vencer","En plazo"))))))</f>
        <v/>
      </c>
      <c r="P192" s="24" t="n"/>
    </row>
    <row r="193">
      <c r="A193" s="22" t="n"/>
      <c r="B193" s="23" t="n"/>
      <c r="C193" s="23" t="n"/>
      <c r="D193" s="23" t="n"/>
      <c r="E193" s="23" t="n"/>
      <c r="F193" s="23" t="n"/>
      <c r="G193" s="24" t="n"/>
      <c r="H193" s="23" t="n"/>
      <c r="I193" s="23" t="n"/>
      <c r="J193" s="25" t="n"/>
      <c r="K193" s="25" t="n"/>
      <c r="L193" s="25" t="n"/>
      <c r="M193" s="23" t="n"/>
      <c r="N193" s="26">
        <f>IF(OR(B193="",K193=""),"",IF(M193="Cancelada",0,IF(M193="Liberada",IF(L193="",0,MAX(0,L193-K193)),MAX(0,$B$3-K193))))</f>
        <v/>
      </c>
      <c r="O193" s="27">
        <f>IF(B193="","",IF(M193="Cancelada","Cancelada",IF(M193="Liberada",IF(N193&gt;0,"Liberada con atraso","Liberada a tiempo"),IF(K193="","Sin fecha requerida",IF($B$3&gt;K193,"Vencida",IF(K193-$B$3&lt;=7,"Por vencer","En plazo"))))))</f>
        <v/>
      </c>
      <c r="P193" s="24" t="n"/>
    </row>
    <row r="194">
      <c r="A194" s="22" t="n"/>
      <c r="B194" s="23" t="n"/>
      <c r="C194" s="23" t="n"/>
      <c r="D194" s="23" t="n"/>
      <c r="E194" s="23" t="n"/>
      <c r="F194" s="23" t="n"/>
      <c r="G194" s="24" t="n"/>
      <c r="H194" s="23" t="n"/>
      <c r="I194" s="23" t="n"/>
      <c r="J194" s="25" t="n"/>
      <c r="K194" s="25" t="n"/>
      <c r="L194" s="25" t="n"/>
      <c r="M194" s="23" t="n"/>
      <c r="N194" s="26">
        <f>IF(OR(B194="",K194=""),"",IF(M194="Cancelada",0,IF(M194="Liberada",IF(L194="",0,MAX(0,L194-K194)),MAX(0,$B$3-K194))))</f>
        <v/>
      </c>
      <c r="O194" s="27">
        <f>IF(B194="","",IF(M194="Cancelada","Cancelada",IF(M194="Liberada",IF(N194&gt;0,"Liberada con atraso","Liberada a tiempo"),IF(K194="","Sin fecha requerida",IF($B$3&gt;K194,"Vencida",IF(K194-$B$3&lt;=7,"Por vencer","En plazo"))))))</f>
        <v/>
      </c>
      <c r="P194" s="24" t="n"/>
    </row>
    <row r="195">
      <c r="A195" s="22" t="n"/>
      <c r="B195" s="23" t="n"/>
      <c r="C195" s="23" t="n"/>
      <c r="D195" s="23" t="n"/>
      <c r="E195" s="23" t="n"/>
      <c r="F195" s="23" t="n"/>
      <c r="G195" s="24" t="n"/>
      <c r="H195" s="23" t="n"/>
      <c r="I195" s="23" t="n"/>
      <c r="J195" s="25" t="n"/>
      <c r="K195" s="25" t="n"/>
      <c r="L195" s="25" t="n"/>
      <c r="M195" s="23" t="n"/>
      <c r="N195" s="26">
        <f>IF(OR(B195="",K195=""),"",IF(M195="Cancelada",0,IF(M195="Liberada",IF(L195="",0,MAX(0,L195-K195)),MAX(0,$B$3-K195))))</f>
        <v/>
      </c>
      <c r="O195" s="27">
        <f>IF(B195="","",IF(M195="Cancelada","Cancelada",IF(M195="Liberada",IF(N195&gt;0,"Liberada con atraso","Liberada a tiempo"),IF(K195="","Sin fecha requerida",IF($B$3&gt;K195,"Vencida",IF(K195-$B$3&lt;=7,"Por vencer","En plazo"))))))</f>
        <v/>
      </c>
      <c r="P195" s="24" t="n"/>
    </row>
    <row r="196">
      <c r="A196" s="22" t="n"/>
      <c r="B196" s="23" t="n"/>
      <c r="C196" s="23" t="n"/>
      <c r="D196" s="23" t="n"/>
      <c r="E196" s="23" t="n"/>
      <c r="F196" s="23" t="n"/>
      <c r="G196" s="24" t="n"/>
      <c r="H196" s="23" t="n"/>
      <c r="I196" s="23" t="n"/>
      <c r="J196" s="25" t="n"/>
      <c r="K196" s="25" t="n"/>
      <c r="L196" s="25" t="n"/>
      <c r="M196" s="23" t="n"/>
      <c r="N196" s="26">
        <f>IF(OR(B196="",K196=""),"",IF(M196="Cancelada",0,IF(M196="Liberada",IF(L196="",0,MAX(0,L196-K196)),MAX(0,$B$3-K196))))</f>
        <v/>
      </c>
      <c r="O196" s="27">
        <f>IF(B196="","",IF(M196="Cancelada","Cancelada",IF(M196="Liberada",IF(N196&gt;0,"Liberada con atraso","Liberada a tiempo"),IF(K196="","Sin fecha requerida",IF($B$3&gt;K196,"Vencida",IF(K196-$B$3&lt;=7,"Por vencer","En plazo"))))))</f>
        <v/>
      </c>
      <c r="P196" s="24" t="n"/>
    </row>
    <row r="197">
      <c r="A197" s="22" t="n"/>
      <c r="B197" s="23" t="n"/>
      <c r="C197" s="23" t="n"/>
      <c r="D197" s="23" t="n"/>
      <c r="E197" s="23" t="n"/>
      <c r="F197" s="23" t="n"/>
      <c r="G197" s="24" t="n"/>
      <c r="H197" s="23" t="n"/>
      <c r="I197" s="23" t="n"/>
      <c r="J197" s="25" t="n"/>
      <c r="K197" s="25" t="n"/>
      <c r="L197" s="25" t="n"/>
      <c r="M197" s="23" t="n"/>
      <c r="N197" s="26">
        <f>IF(OR(B197="",K197=""),"",IF(M197="Cancelada",0,IF(M197="Liberada",IF(L197="",0,MAX(0,L197-K197)),MAX(0,$B$3-K197))))</f>
        <v/>
      </c>
      <c r="O197" s="27">
        <f>IF(B197="","",IF(M197="Cancelada","Cancelada",IF(M197="Liberada",IF(N197&gt;0,"Liberada con atraso","Liberada a tiempo"),IF(K197="","Sin fecha requerida",IF($B$3&gt;K197,"Vencida",IF(K197-$B$3&lt;=7,"Por vencer","En plazo"))))))</f>
        <v/>
      </c>
      <c r="P197" s="24" t="n"/>
    </row>
    <row r="198">
      <c r="A198" s="22" t="n"/>
      <c r="B198" s="23" t="n"/>
      <c r="C198" s="23" t="n"/>
      <c r="D198" s="23" t="n"/>
      <c r="E198" s="23" t="n"/>
      <c r="F198" s="23" t="n"/>
      <c r="G198" s="24" t="n"/>
      <c r="H198" s="23" t="n"/>
      <c r="I198" s="23" t="n"/>
      <c r="J198" s="25" t="n"/>
      <c r="K198" s="25" t="n"/>
      <c r="L198" s="25" t="n"/>
      <c r="M198" s="23" t="n"/>
      <c r="N198" s="26">
        <f>IF(OR(B198="",K198=""),"",IF(M198="Cancelada",0,IF(M198="Liberada",IF(L198="",0,MAX(0,L198-K198)),MAX(0,$B$3-K198))))</f>
        <v/>
      </c>
      <c r="O198" s="27">
        <f>IF(B198="","",IF(M198="Cancelada","Cancelada",IF(M198="Liberada",IF(N198&gt;0,"Liberada con atraso","Liberada a tiempo"),IF(K198="","Sin fecha requerida",IF($B$3&gt;K198,"Vencida",IF(K198-$B$3&lt;=7,"Por vencer","En plazo"))))))</f>
        <v/>
      </c>
      <c r="P198" s="24" t="n"/>
    </row>
    <row r="199">
      <c r="A199" s="22" t="n"/>
      <c r="B199" s="23" t="n"/>
      <c r="C199" s="23" t="n"/>
      <c r="D199" s="23" t="n"/>
      <c r="E199" s="23" t="n"/>
      <c r="F199" s="23" t="n"/>
      <c r="G199" s="24" t="n"/>
      <c r="H199" s="23" t="n"/>
      <c r="I199" s="23" t="n"/>
      <c r="J199" s="25" t="n"/>
      <c r="K199" s="25" t="n"/>
      <c r="L199" s="25" t="n"/>
      <c r="M199" s="23" t="n"/>
      <c r="N199" s="26">
        <f>IF(OR(B199="",K199=""),"",IF(M199="Cancelada",0,IF(M199="Liberada",IF(L199="",0,MAX(0,L199-K199)),MAX(0,$B$3-K199))))</f>
        <v/>
      </c>
      <c r="O199" s="27">
        <f>IF(B199="","",IF(M199="Cancelada","Cancelada",IF(M199="Liberada",IF(N199&gt;0,"Liberada con atraso","Liberada a tiempo"),IF(K199="","Sin fecha requerida",IF($B$3&gt;K199,"Vencida",IF(K199-$B$3&lt;=7,"Por vencer","En plazo"))))))</f>
        <v/>
      </c>
      <c r="P199" s="24" t="n"/>
    </row>
    <row r="200">
      <c r="A200" s="22" t="n"/>
      <c r="B200" s="23" t="n"/>
      <c r="C200" s="23" t="n"/>
      <c r="D200" s="23" t="n"/>
      <c r="E200" s="23" t="n"/>
      <c r="F200" s="23" t="n"/>
      <c r="G200" s="24" t="n"/>
      <c r="H200" s="23" t="n"/>
      <c r="I200" s="23" t="n"/>
      <c r="J200" s="25" t="n"/>
      <c r="K200" s="25" t="n"/>
      <c r="L200" s="25" t="n"/>
      <c r="M200" s="23" t="n"/>
      <c r="N200" s="26">
        <f>IF(OR(B200="",K200=""),"",IF(M200="Cancelada",0,IF(M200="Liberada",IF(L200="",0,MAX(0,L200-K200)),MAX(0,$B$3-K200))))</f>
        <v/>
      </c>
      <c r="O200" s="27">
        <f>IF(B200="","",IF(M200="Cancelada","Cancelada",IF(M200="Liberada",IF(N200&gt;0,"Liberada con atraso","Liberada a tiempo"),IF(K200="","Sin fecha requerida",IF($B$3&gt;K200,"Vencida",IF(K200-$B$3&lt;=7,"Por vencer","En plazo"))))))</f>
        <v/>
      </c>
      <c r="P200" s="24" t="n"/>
    </row>
    <row r="201">
      <c r="A201" s="22" t="n"/>
      <c r="B201" s="23" t="n"/>
      <c r="C201" s="23" t="n"/>
      <c r="D201" s="23" t="n"/>
      <c r="E201" s="23" t="n"/>
      <c r="F201" s="23" t="n"/>
      <c r="G201" s="24" t="n"/>
      <c r="H201" s="23" t="n"/>
      <c r="I201" s="23" t="n"/>
      <c r="J201" s="25" t="n"/>
      <c r="K201" s="25" t="n"/>
      <c r="L201" s="25" t="n"/>
      <c r="M201" s="23" t="n"/>
      <c r="N201" s="26">
        <f>IF(OR(B201="",K201=""),"",IF(M201="Cancelada",0,IF(M201="Liberada",IF(L201="",0,MAX(0,L201-K201)),MAX(0,$B$3-K201))))</f>
        <v/>
      </c>
      <c r="O201" s="27">
        <f>IF(B201="","",IF(M201="Cancelada","Cancelada",IF(M201="Liberada",IF(N201&gt;0,"Liberada con atraso","Liberada a tiempo"),IF(K201="","Sin fecha requerida",IF($B$3&gt;K201,"Vencida",IF(K201-$B$3&lt;=7,"Por vencer","En plazo"))))))</f>
        <v/>
      </c>
      <c r="P201" s="24" t="n"/>
    </row>
    <row r="202">
      <c r="A202" s="22" t="n"/>
      <c r="B202" s="23" t="n"/>
      <c r="C202" s="23" t="n"/>
      <c r="D202" s="23" t="n"/>
      <c r="E202" s="23" t="n"/>
      <c r="F202" s="23" t="n"/>
      <c r="G202" s="24" t="n"/>
      <c r="H202" s="23" t="n"/>
      <c r="I202" s="23" t="n"/>
      <c r="J202" s="25" t="n"/>
      <c r="K202" s="25" t="n"/>
      <c r="L202" s="25" t="n"/>
      <c r="M202" s="23" t="n"/>
      <c r="N202" s="26">
        <f>IF(OR(B202="",K202=""),"",IF(M202="Cancelada",0,IF(M202="Liberada",IF(L202="",0,MAX(0,L202-K202)),MAX(0,$B$3-K202))))</f>
        <v/>
      </c>
      <c r="O202" s="27">
        <f>IF(B202="","",IF(M202="Cancelada","Cancelada",IF(M202="Liberada",IF(N202&gt;0,"Liberada con atraso","Liberada a tiempo"),IF(K202="","Sin fecha requerida",IF($B$3&gt;K202,"Vencida",IF(K202-$B$3&lt;=7,"Por vencer","En plazo"))))))</f>
        <v/>
      </c>
      <c r="P202" s="24" t="n"/>
    </row>
    <row r="203">
      <c r="A203" s="22" t="n"/>
      <c r="B203" s="23" t="n"/>
      <c r="C203" s="23" t="n"/>
      <c r="D203" s="23" t="n"/>
      <c r="E203" s="23" t="n"/>
      <c r="F203" s="23" t="n"/>
      <c r="G203" s="24" t="n"/>
      <c r="H203" s="23" t="n"/>
      <c r="I203" s="23" t="n"/>
      <c r="J203" s="25" t="n"/>
      <c r="K203" s="25" t="n"/>
      <c r="L203" s="25" t="n"/>
      <c r="M203" s="23" t="n"/>
      <c r="N203" s="26">
        <f>IF(OR(B203="",K203=""),"",IF(M203="Cancelada",0,IF(M203="Liberada",IF(L203="",0,MAX(0,L203-K203)),MAX(0,$B$3-K203))))</f>
        <v/>
      </c>
      <c r="O203" s="27">
        <f>IF(B203="","",IF(M203="Cancelada","Cancelada",IF(M203="Liberada",IF(N203&gt;0,"Liberada con atraso","Liberada a tiempo"),IF(K203="","Sin fecha requerida",IF($B$3&gt;K203,"Vencida",IF(K203-$B$3&lt;=7,"Por vencer","En plazo"))))))</f>
        <v/>
      </c>
      <c r="P203" s="24" t="n"/>
    </row>
    <row r="204">
      <c r="A204" s="22" t="n"/>
      <c r="B204" s="23" t="n"/>
      <c r="C204" s="23" t="n"/>
      <c r="D204" s="23" t="n"/>
      <c r="E204" s="23" t="n"/>
      <c r="F204" s="23" t="n"/>
      <c r="G204" s="24" t="n"/>
      <c r="H204" s="23" t="n"/>
      <c r="I204" s="23" t="n"/>
      <c r="J204" s="25" t="n"/>
      <c r="K204" s="25" t="n"/>
      <c r="L204" s="25" t="n"/>
      <c r="M204" s="23" t="n"/>
      <c r="N204" s="26">
        <f>IF(OR(B204="",K204=""),"",IF(M204="Cancelada",0,IF(M204="Liberada",IF(L204="",0,MAX(0,L204-K204)),MAX(0,$B$3-K204))))</f>
        <v/>
      </c>
      <c r="O204" s="27">
        <f>IF(B204="","",IF(M204="Cancelada","Cancelada",IF(M204="Liberada",IF(N204&gt;0,"Liberada con atraso","Liberada a tiempo"),IF(K204="","Sin fecha requerida",IF($B$3&gt;K204,"Vencida",IF(K204-$B$3&lt;=7,"Por vencer","En plazo"))))))</f>
        <v/>
      </c>
      <c r="P204" s="24" t="n"/>
    </row>
    <row r="205">
      <c r="A205" s="22" t="n"/>
      <c r="B205" s="23" t="n"/>
      <c r="C205" s="23" t="n"/>
      <c r="D205" s="23" t="n"/>
      <c r="E205" s="23" t="n"/>
      <c r="F205" s="23" t="n"/>
      <c r="G205" s="24" t="n"/>
      <c r="H205" s="23" t="n"/>
      <c r="I205" s="23" t="n"/>
      <c r="J205" s="25" t="n"/>
      <c r="K205" s="25" t="n"/>
      <c r="L205" s="25" t="n"/>
      <c r="M205" s="23" t="n"/>
      <c r="N205" s="26">
        <f>IF(OR(B205="",K205=""),"",IF(M205="Cancelada",0,IF(M205="Liberada",IF(L205="",0,MAX(0,L205-K205)),MAX(0,$B$3-K205))))</f>
        <v/>
      </c>
      <c r="O205" s="27">
        <f>IF(B205="","",IF(M205="Cancelada","Cancelada",IF(M205="Liberada",IF(N205&gt;0,"Liberada con atraso","Liberada a tiempo"),IF(K205="","Sin fecha requerida",IF($B$3&gt;K205,"Vencida",IF(K205-$B$3&lt;=7,"Por vencer","En plazo"))))))</f>
        <v/>
      </c>
      <c r="P205" s="24" t="n"/>
    </row>
    <row r="206">
      <c r="A206" s="22" t="n"/>
      <c r="B206" s="23" t="n"/>
      <c r="C206" s="23" t="n"/>
      <c r="D206" s="23" t="n"/>
      <c r="E206" s="23" t="n"/>
      <c r="F206" s="23" t="n"/>
      <c r="G206" s="24" t="n"/>
      <c r="H206" s="23" t="n"/>
      <c r="I206" s="23" t="n"/>
      <c r="J206" s="25" t="n"/>
      <c r="K206" s="25" t="n"/>
      <c r="L206" s="25" t="n"/>
      <c r="M206" s="23" t="n"/>
      <c r="N206" s="26">
        <f>IF(OR(B206="",K206=""),"",IF(M206="Cancelada",0,IF(M206="Liberada",IF(L206="",0,MAX(0,L206-K206)),MAX(0,$B$3-K206))))</f>
        <v/>
      </c>
      <c r="O206" s="27">
        <f>IF(B206="","",IF(M206="Cancelada","Cancelada",IF(M206="Liberada",IF(N206&gt;0,"Liberada con atraso","Liberada a tiempo"),IF(K206="","Sin fecha requerida",IF($B$3&gt;K206,"Vencida",IF(K206-$B$3&lt;=7,"Por vencer","En plazo"))))))</f>
        <v/>
      </c>
      <c r="P206" s="24" t="n"/>
    </row>
    <row r="207">
      <c r="A207" s="22" t="n"/>
      <c r="B207" s="23" t="n"/>
      <c r="C207" s="23" t="n"/>
      <c r="D207" s="23" t="n"/>
      <c r="E207" s="23" t="n"/>
      <c r="F207" s="23" t="n"/>
      <c r="G207" s="24" t="n"/>
      <c r="H207" s="23" t="n"/>
      <c r="I207" s="23" t="n"/>
      <c r="J207" s="25" t="n"/>
      <c r="K207" s="25" t="n"/>
      <c r="L207" s="25" t="n"/>
      <c r="M207" s="23" t="n"/>
      <c r="N207" s="26">
        <f>IF(OR(B207="",K207=""),"",IF(M207="Cancelada",0,IF(M207="Liberada",IF(L207="",0,MAX(0,L207-K207)),MAX(0,$B$3-K207))))</f>
        <v/>
      </c>
      <c r="O207" s="27">
        <f>IF(B207="","",IF(M207="Cancelada","Cancelada",IF(M207="Liberada",IF(N207&gt;0,"Liberada con atraso","Liberada a tiempo"),IF(K207="","Sin fecha requerida",IF($B$3&gt;K207,"Vencida",IF(K207-$B$3&lt;=7,"Por vencer","En plazo"))))))</f>
        <v/>
      </c>
      <c r="P207" s="24" t="n"/>
    </row>
    <row r="208">
      <c r="A208" s="22" t="n"/>
      <c r="B208" s="23" t="n"/>
      <c r="C208" s="23" t="n"/>
      <c r="D208" s="23" t="n"/>
      <c r="E208" s="23" t="n"/>
      <c r="F208" s="23" t="n"/>
      <c r="G208" s="24" t="n"/>
      <c r="H208" s="23" t="n"/>
      <c r="I208" s="23" t="n"/>
      <c r="J208" s="25" t="n"/>
      <c r="K208" s="25" t="n"/>
      <c r="L208" s="25" t="n"/>
      <c r="M208" s="23" t="n"/>
      <c r="N208" s="26">
        <f>IF(OR(B208="",K208=""),"",IF(M208="Cancelada",0,IF(M208="Liberada",IF(L208="",0,MAX(0,L208-K208)),MAX(0,$B$3-K208))))</f>
        <v/>
      </c>
      <c r="O208" s="27">
        <f>IF(B208="","",IF(M208="Cancelada","Cancelada",IF(M208="Liberada",IF(N208&gt;0,"Liberada con atraso","Liberada a tiempo"),IF(K208="","Sin fecha requerida",IF($B$3&gt;K208,"Vencida",IF(K208-$B$3&lt;=7,"Por vencer","En plazo"))))))</f>
        <v/>
      </c>
      <c r="P208" s="24" t="n"/>
    </row>
    <row r="209">
      <c r="A209" s="22" t="n"/>
      <c r="B209" s="23" t="n"/>
      <c r="C209" s="23" t="n"/>
      <c r="D209" s="23" t="n"/>
      <c r="E209" s="23" t="n"/>
      <c r="F209" s="23" t="n"/>
      <c r="G209" s="24" t="n"/>
      <c r="H209" s="23" t="n"/>
      <c r="I209" s="23" t="n"/>
      <c r="J209" s="25" t="n"/>
      <c r="K209" s="25" t="n"/>
      <c r="L209" s="25" t="n"/>
      <c r="M209" s="23" t="n"/>
      <c r="N209" s="26">
        <f>IF(OR(B209="",K209=""),"",IF(M209="Cancelada",0,IF(M209="Liberada",IF(L209="",0,MAX(0,L209-K209)),MAX(0,$B$3-K209))))</f>
        <v/>
      </c>
      <c r="O209" s="27">
        <f>IF(B209="","",IF(M209="Cancelada","Cancelada",IF(M209="Liberada",IF(N209&gt;0,"Liberada con atraso","Liberada a tiempo"),IF(K209="","Sin fecha requerida",IF($B$3&gt;K209,"Vencida",IF(K209-$B$3&lt;=7,"Por vencer","En plazo"))))))</f>
        <v/>
      </c>
      <c r="P209" s="24" t="n"/>
    </row>
    <row r="210">
      <c r="A210" s="22" t="n"/>
      <c r="B210" s="23" t="n"/>
      <c r="C210" s="23" t="n"/>
      <c r="D210" s="23" t="n"/>
      <c r="E210" s="23" t="n"/>
      <c r="F210" s="23" t="n"/>
      <c r="G210" s="24" t="n"/>
      <c r="H210" s="23" t="n"/>
      <c r="I210" s="23" t="n"/>
      <c r="J210" s="25" t="n"/>
      <c r="K210" s="25" t="n"/>
      <c r="L210" s="25" t="n"/>
      <c r="M210" s="23" t="n"/>
      <c r="N210" s="26">
        <f>IF(OR(B210="",K210=""),"",IF(M210="Cancelada",0,IF(M210="Liberada",IF(L210="",0,MAX(0,L210-K210)),MAX(0,$B$3-K210))))</f>
        <v/>
      </c>
      <c r="O210" s="27">
        <f>IF(B210="","",IF(M210="Cancelada","Cancelada",IF(M210="Liberada",IF(N210&gt;0,"Liberada con atraso","Liberada a tiempo"),IF(K210="","Sin fecha requerida",IF($B$3&gt;K210,"Vencida",IF(K210-$B$3&lt;=7,"Por vencer","En plazo"))))))</f>
        <v/>
      </c>
      <c r="P210" s="24" t="n"/>
    </row>
    <row r="211">
      <c r="A211" s="22" t="n"/>
      <c r="B211" s="23" t="n"/>
      <c r="C211" s="23" t="n"/>
      <c r="D211" s="23" t="n"/>
      <c r="E211" s="23" t="n"/>
      <c r="F211" s="23" t="n"/>
      <c r="G211" s="24" t="n"/>
      <c r="H211" s="23" t="n"/>
      <c r="I211" s="23" t="n"/>
      <c r="J211" s="25" t="n"/>
      <c r="K211" s="25" t="n"/>
      <c r="L211" s="25" t="n"/>
      <c r="M211" s="23" t="n"/>
      <c r="N211" s="26">
        <f>IF(OR(B211="",K211=""),"",IF(M211="Cancelada",0,IF(M211="Liberada",IF(L211="",0,MAX(0,L211-K211)),MAX(0,$B$3-K211))))</f>
        <v/>
      </c>
      <c r="O211" s="27">
        <f>IF(B211="","",IF(M211="Cancelada","Cancelada",IF(M211="Liberada",IF(N211&gt;0,"Liberada con atraso","Liberada a tiempo"),IF(K211="","Sin fecha requerida",IF($B$3&gt;K211,"Vencida",IF(K211-$B$3&lt;=7,"Por vencer","En plazo"))))))</f>
        <v/>
      </c>
      <c r="P211" s="24" t="n"/>
    </row>
    <row r="212">
      <c r="A212" s="22" t="n"/>
      <c r="B212" s="23" t="n"/>
      <c r="C212" s="23" t="n"/>
      <c r="D212" s="23" t="n"/>
      <c r="E212" s="23" t="n"/>
      <c r="F212" s="23" t="n"/>
      <c r="G212" s="24" t="n"/>
      <c r="H212" s="23" t="n"/>
      <c r="I212" s="23" t="n"/>
      <c r="J212" s="25" t="n"/>
      <c r="K212" s="25" t="n"/>
      <c r="L212" s="25" t="n"/>
      <c r="M212" s="23" t="n"/>
      <c r="N212" s="26">
        <f>IF(OR(B212="",K212=""),"",IF(M212="Cancelada",0,IF(M212="Liberada",IF(L212="",0,MAX(0,L212-K212)),MAX(0,$B$3-K212))))</f>
        <v/>
      </c>
      <c r="O212" s="27">
        <f>IF(B212="","",IF(M212="Cancelada","Cancelada",IF(M212="Liberada",IF(N212&gt;0,"Liberada con atraso","Liberada a tiempo"),IF(K212="","Sin fecha requerida",IF($B$3&gt;K212,"Vencida",IF(K212-$B$3&lt;=7,"Por vencer","En plazo"))))))</f>
        <v/>
      </c>
      <c r="P212" s="24" t="n"/>
    </row>
    <row r="213">
      <c r="A213" s="22" t="n"/>
      <c r="B213" s="23" t="n"/>
      <c r="C213" s="23" t="n"/>
      <c r="D213" s="23" t="n"/>
      <c r="E213" s="23" t="n"/>
      <c r="F213" s="23" t="n"/>
      <c r="G213" s="24" t="n"/>
      <c r="H213" s="23" t="n"/>
      <c r="I213" s="23" t="n"/>
      <c r="J213" s="25" t="n"/>
      <c r="K213" s="25" t="n"/>
      <c r="L213" s="25" t="n"/>
      <c r="M213" s="23" t="n"/>
      <c r="N213" s="26">
        <f>IF(OR(B213="",K213=""),"",IF(M213="Cancelada",0,IF(M213="Liberada",IF(L213="",0,MAX(0,L213-K213)),MAX(0,$B$3-K213))))</f>
        <v/>
      </c>
      <c r="O213" s="27">
        <f>IF(B213="","",IF(M213="Cancelada","Cancelada",IF(M213="Liberada",IF(N213&gt;0,"Liberada con atraso","Liberada a tiempo"),IF(K213="","Sin fecha requerida",IF($B$3&gt;K213,"Vencida",IF(K213-$B$3&lt;=7,"Por vencer","En plazo"))))))</f>
        <v/>
      </c>
      <c r="P213" s="24" t="n"/>
    </row>
    <row r="214">
      <c r="A214" s="22" t="n"/>
      <c r="B214" s="23" t="n"/>
      <c r="C214" s="23" t="n"/>
      <c r="D214" s="23" t="n"/>
      <c r="E214" s="23" t="n"/>
      <c r="F214" s="23" t="n"/>
      <c r="G214" s="24" t="n"/>
      <c r="H214" s="23" t="n"/>
      <c r="I214" s="23" t="n"/>
      <c r="J214" s="25" t="n"/>
      <c r="K214" s="25" t="n"/>
      <c r="L214" s="25" t="n"/>
      <c r="M214" s="23" t="n"/>
      <c r="N214" s="26">
        <f>IF(OR(B214="",K214=""),"",IF(M214="Cancelada",0,IF(M214="Liberada",IF(L214="",0,MAX(0,L214-K214)),MAX(0,$B$3-K214))))</f>
        <v/>
      </c>
      <c r="O214" s="27">
        <f>IF(B214="","",IF(M214="Cancelada","Cancelada",IF(M214="Liberada",IF(N214&gt;0,"Liberada con atraso","Liberada a tiempo"),IF(K214="","Sin fecha requerida",IF($B$3&gt;K214,"Vencida",IF(K214-$B$3&lt;=7,"Por vencer","En plazo"))))))</f>
        <v/>
      </c>
      <c r="P214" s="24" t="n"/>
    </row>
    <row r="215">
      <c r="A215" s="22" t="n"/>
      <c r="B215" s="23" t="n"/>
      <c r="C215" s="23" t="n"/>
      <c r="D215" s="23" t="n"/>
      <c r="E215" s="23" t="n"/>
      <c r="F215" s="23" t="n"/>
      <c r="G215" s="24" t="n"/>
      <c r="H215" s="23" t="n"/>
      <c r="I215" s="23" t="n"/>
      <c r="J215" s="25" t="n"/>
      <c r="K215" s="25" t="n"/>
      <c r="L215" s="25" t="n"/>
      <c r="M215" s="23" t="n"/>
      <c r="N215" s="26">
        <f>IF(OR(B215="",K215=""),"",IF(M215="Cancelada",0,IF(M215="Liberada",IF(L215="",0,MAX(0,L215-K215)),MAX(0,$B$3-K215))))</f>
        <v/>
      </c>
      <c r="O215" s="27">
        <f>IF(B215="","",IF(M215="Cancelada","Cancelada",IF(M215="Liberada",IF(N215&gt;0,"Liberada con atraso","Liberada a tiempo"),IF(K215="","Sin fecha requerida",IF($B$3&gt;K215,"Vencida",IF(K215-$B$3&lt;=7,"Por vencer","En plazo"))))))</f>
        <v/>
      </c>
      <c r="P215" s="24" t="n"/>
    </row>
    <row r="216">
      <c r="A216" s="22" t="n"/>
      <c r="B216" s="23" t="n"/>
      <c r="C216" s="23" t="n"/>
      <c r="D216" s="23" t="n"/>
      <c r="E216" s="23" t="n"/>
      <c r="F216" s="23" t="n"/>
      <c r="G216" s="24" t="n"/>
      <c r="H216" s="23" t="n"/>
      <c r="I216" s="23" t="n"/>
      <c r="J216" s="25" t="n"/>
      <c r="K216" s="25" t="n"/>
      <c r="L216" s="25" t="n"/>
      <c r="M216" s="23" t="n"/>
      <c r="N216" s="26">
        <f>IF(OR(B216="",K216=""),"",IF(M216="Cancelada",0,IF(M216="Liberada",IF(L216="",0,MAX(0,L216-K216)),MAX(0,$B$3-K216))))</f>
        <v/>
      </c>
      <c r="O216" s="27">
        <f>IF(B216="","",IF(M216="Cancelada","Cancelada",IF(M216="Liberada",IF(N216&gt;0,"Liberada con atraso","Liberada a tiempo"),IF(K216="","Sin fecha requerida",IF($B$3&gt;K216,"Vencida",IF(K216-$B$3&lt;=7,"Por vencer","En plazo"))))))</f>
        <v/>
      </c>
      <c r="P216" s="24" t="n"/>
    </row>
    <row r="217">
      <c r="A217" s="22" t="n"/>
      <c r="B217" s="23" t="n"/>
      <c r="C217" s="23" t="n"/>
      <c r="D217" s="23" t="n"/>
      <c r="E217" s="23" t="n"/>
      <c r="F217" s="23" t="n"/>
      <c r="G217" s="24" t="n"/>
      <c r="H217" s="23" t="n"/>
      <c r="I217" s="23" t="n"/>
      <c r="J217" s="25" t="n"/>
      <c r="K217" s="25" t="n"/>
      <c r="L217" s="25" t="n"/>
      <c r="M217" s="23" t="n"/>
      <c r="N217" s="26">
        <f>IF(OR(B217="",K217=""),"",IF(M217="Cancelada",0,IF(M217="Liberada",IF(L217="",0,MAX(0,L217-K217)),MAX(0,$B$3-K217))))</f>
        <v/>
      </c>
      <c r="O217" s="27">
        <f>IF(B217="","",IF(M217="Cancelada","Cancelada",IF(M217="Liberada",IF(N217&gt;0,"Liberada con atraso","Liberada a tiempo"),IF(K217="","Sin fecha requerida",IF($B$3&gt;K217,"Vencida",IF(K217-$B$3&lt;=7,"Por vencer","En plazo"))))))</f>
        <v/>
      </c>
      <c r="P217" s="24" t="n"/>
    </row>
    <row r="218">
      <c r="A218" s="22" t="n"/>
      <c r="B218" s="23" t="n"/>
      <c r="C218" s="23" t="n"/>
      <c r="D218" s="23" t="n"/>
      <c r="E218" s="23" t="n"/>
      <c r="F218" s="23" t="n"/>
      <c r="G218" s="24" t="n"/>
      <c r="H218" s="23" t="n"/>
      <c r="I218" s="23" t="n"/>
      <c r="J218" s="25" t="n"/>
      <c r="K218" s="25" t="n"/>
      <c r="L218" s="25" t="n"/>
      <c r="M218" s="23" t="n"/>
      <c r="N218" s="26">
        <f>IF(OR(B218="",K218=""),"",IF(M218="Cancelada",0,IF(M218="Liberada",IF(L218="",0,MAX(0,L218-K218)),MAX(0,$B$3-K218))))</f>
        <v/>
      </c>
      <c r="O218" s="27">
        <f>IF(B218="","",IF(M218="Cancelada","Cancelada",IF(M218="Liberada",IF(N218&gt;0,"Liberada con atraso","Liberada a tiempo"),IF(K218="","Sin fecha requerida",IF($B$3&gt;K218,"Vencida",IF(K218-$B$3&lt;=7,"Por vencer","En plazo"))))))</f>
        <v/>
      </c>
      <c r="P218" s="24" t="n"/>
    </row>
    <row r="219">
      <c r="A219" s="22" t="n"/>
      <c r="B219" s="23" t="n"/>
      <c r="C219" s="23" t="n"/>
      <c r="D219" s="23" t="n"/>
      <c r="E219" s="23" t="n"/>
      <c r="F219" s="23" t="n"/>
      <c r="G219" s="24" t="n"/>
      <c r="H219" s="23" t="n"/>
      <c r="I219" s="23" t="n"/>
      <c r="J219" s="25" t="n"/>
      <c r="K219" s="25" t="n"/>
      <c r="L219" s="25" t="n"/>
      <c r="M219" s="23" t="n"/>
      <c r="N219" s="26">
        <f>IF(OR(B219="",K219=""),"",IF(M219="Cancelada",0,IF(M219="Liberada",IF(L219="",0,MAX(0,L219-K219)),MAX(0,$B$3-K219))))</f>
        <v/>
      </c>
      <c r="O219" s="27">
        <f>IF(B219="","",IF(M219="Cancelada","Cancelada",IF(M219="Liberada",IF(N219&gt;0,"Liberada con atraso","Liberada a tiempo"),IF(K219="","Sin fecha requerida",IF($B$3&gt;K219,"Vencida",IF(K219-$B$3&lt;=7,"Por vencer","En plazo"))))))</f>
        <v/>
      </c>
      <c r="P219" s="24" t="n"/>
    </row>
    <row r="220">
      <c r="A220" s="22" t="n"/>
      <c r="B220" s="23" t="n"/>
      <c r="C220" s="23" t="n"/>
      <c r="D220" s="23" t="n"/>
      <c r="E220" s="23" t="n"/>
      <c r="F220" s="23" t="n"/>
      <c r="G220" s="24" t="n"/>
      <c r="H220" s="23" t="n"/>
      <c r="I220" s="23" t="n"/>
      <c r="J220" s="25" t="n"/>
      <c r="K220" s="25" t="n"/>
      <c r="L220" s="25" t="n"/>
      <c r="M220" s="23" t="n"/>
      <c r="N220" s="26">
        <f>IF(OR(B220="",K220=""),"",IF(M220="Cancelada",0,IF(M220="Liberada",IF(L220="",0,MAX(0,L220-K220)),MAX(0,$B$3-K220))))</f>
        <v/>
      </c>
      <c r="O220" s="27">
        <f>IF(B220="","",IF(M220="Cancelada","Cancelada",IF(M220="Liberada",IF(N220&gt;0,"Liberada con atraso","Liberada a tiempo"),IF(K220="","Sin fecha requerida",IF($B$3&gt;K220,"Vencida",IF(K220-$B$3&lt;=7,"Por vencer","En plazo"))))))</f>
        <v/>
      </c>
      <c r="P220" s="24" t="n"/>
    </row>
    <row r="221">
      <c r="A221" s="22" t="n"/>
      <c r="B221" s="23" t="n"/>
      <c r="C221" s="23" t="n"/>
      <c r="D221" s="23" t="n"/>
      <c r="E221" s="23" t="n"/>
      <c r="F221" s="23" t="n"/>
      <c r="G221" s="24" t="n"/>
      <c r="H221" s="23" t="n"/>
      <c r="I221" s="23" t="n"/>
      <c r="J221" s="25" t="n"/>
      <c r="K221" s="25" t="n"/>
      <c r="L221" s="25" t="n"/>
      <c r="M221" s="23" t="n"/>
      <c r="N221" s="26">
        <f>IF(OR(B221="",K221=""),"",IF(M221="Cancelada",0,IF(M221="Liberada",IF(L221="",0,MAX(0,L221-K221)),MAX(0,$B$3-K221))))</f>
        <v/>
      </c>
      <c r="O221" s="27">
        <f>IF(B221="","",IF(M221="Cancelada","Cancelada",IF(M221="Liberada",IF(N221&gt;0,"Liberada con atraso","Liberada a tiempo"),IF(K221="","Sin fecha requerida",IF($B$3&gt;K221,"Vencida",IF(K221-$B$3&lt;=7,"Por vencer","En plazo"))))))</f>
        <v/>
      </c>
      <c r="P221" s="24" t="n"/>
    </row>
    <row r="222">
      <c r="A222" s="22" t="n"/>
      <c r="B222" s="23" t="n"/>
      <c r="C222" s="23" t="n"/>
      <c r="D222" s="23" t="n"/>
      <c r="E222" s="23" t="n"/>
      <c r="F222" s="23" t="n"/>
      <c r="G222" s="24" t="n"/>
      <c r="H222" s="23" t="n"/>
      <c r="I222" s="23" t="n"/>
      <c r="J222" s="25" t="n"/>
      <c r="K222" s="25" t="n"/>
      <c r="L222" s="25" t="n"/>
      <c r="M222" s="23" t="n"/>
      <c r="N222" s="26">
        <f>IF(OR(B222="",K222=""),"",IF(M222="Cancelada",0,IF(M222="Liberada",IF(L222="",0,MAX(0,L222-K222)),MAX(0,$B$3-K222))))</f>
        <v/>
      </c>
      <c r="O222" s="27">
        <f>IF(B222="","",IF(M222="Cancelada","Cancelada",IF(M222="Liberada",IF(N222&gt;0,"Liberada con atraso","Liberada a tiempo"),IF(K222="","Sin fecha requerida",IF($B$3&gt;K222,"Vencida",IF(K222-$B$3&lt;=7,"Por vencer","En plazo"))))))</f>
        <v/>
      </c>
      <c r="P222" s="24" t="n"/>
    </row>
    <row r="223">
      <c r="A223" s="22" t="n"/>
      <c r="B223" s="23" t="n"/>
      <c r="C223" s="23" t="n"/>
      <c r="D223" s="23" t="n"/>
      <c r="E223" s="23" t="n"/>
      <c r="F223" s="23" t="n"/>
      <c r="G223" s="24" t="n"/>
      <c r="H223" s="23" t="n"/>
      <c r="I223" s="23" t="n"/>
      <c r="J223" s="25" t="n"/>
      <c r="K223" s="25" t="n"/>
      <c r="L223" s="25" t="n"/>
      <c r="M223" s="23" t="n"/>
      <c r="N223" s="26">
        <f>IF(OR(B223="",K223=""),"",IF(M223="Cancelada",0,IF(M223="Liberada",IF(L223="",0,MAX(0,L223-K223)),MAX(0,$B$3-K223))))</f>
        <v/>
      </c>
      <c r="O223" s="27">
        <f>IF(B223="","",IF(M223="Cancelada","Cancelada",IF(M223="Liberada",IF(N223&gt;0,"Liberada con atraso","Liberada a tiempo"),IF(K223="","Sin fecha requerida",IF($B$3&gt;K223,"Vencida",IF(K223-$B$3&lt;=7,"Por vencer","En plazo"))))))</f>
        <v/>
      </c>
      <c r="P223" s="24" t="n"/>
    </row>
    <row r="224">
      <c r="A224" s="22" t="n"/>
      <c r="B224" s="23" t="n"/>
      <c r="C224" s="23" t="n"/>
      <c r="D224" s="23" t="n"/>
      <c r="E224" s="23" t="n"/>
      <c r="F224" s="23" t="n"/>
      <c r="G224" s="24" t="n"/>
      <c r="H224" s="23" t="n"/>
      <c r="I224" s="23" t="n"/>
      <c r="J224" s="25" t="n"/>
      <c r="K224" s="25" t="n"/>
      <c r="L224" s="25" t="n"/>
      <c r="M224" s="23" t="n"/>
      <c r="N224" s="26">
        <f>IF(OR(B224="",K224=""),"",IF(M224="Cancelada",0,IF(M224="Liberada",IF(L224="",0,MAX(0,L224-K224)),MAX(0,$B$3-K224))))</f>
        <v/>
      </c>
      <c r="O224" s="27">
        <f>IF(B224="","",IF(M224="Cancelada","Cancelada",IF(M224="Liberada",IF(N224&gt;0,"Liberada con atraso","Liberada a tiempo"),IF(K224="","Sin fecha requerida",IF($B$3&gt;K224,"Vencida",IF(K224-$B$3&lt;=7,"Por vencer","En plazo"))))))</f>
        <v/>
      </c>
      <c r="P224" s="24" t="n"/>
    </row>
    <row r="225">
      <c r="A225" s="22" t="n"/>
      <c r="B225" s="23" t="n"/>
      <c r="C225" s="23" t="n"/>
      <c r="D225" s="23" t="n"/>
      <c r="E225" s="23" t="n"/>
      <c r="F225" s="23" t="n"/>
      <c r="G225" s="24" t="n"/>
      <c r="H225" s="23" t="n"/>
      <c r="I225" s="23" t="n"/>
      <c r="J225" s="25" t="n"/>
      <c r="K225" s="25" t="n"/>
      <c r="L225" s="25" t="n"/>
      <c r="M225" s="23" t="n"/>
      <c r="N225" s="26">
        <f>IF(OR(B225="",K225=""),"",IF(M225="Cancelada",0,IF(M225="Liberada",IF(L225="",0,MAX(0,L225-K225)),MAX(0,$B$3-K225))))</f>
        <v/>
      </c>
      <c r="O225" s="27">
        <f>IF(B225="","",IF(M225="Cancelada","Cancelada",IF(M225="Liberada",IF(N225&gt;0,"Liberada con atraso","Liberada a tiempo"),IF(K225="","Sin fecha requerida",IF($B$3&gt;K225,"Vencida",IF(K225-$B$3&lt;=7,"Por vencer","En plazo"))))))</f>
        <v/>
      </c>
      <c r="P225" s="24" t="n"/>
    </row>
    <row r="226">
      <c r="A226" s="22" t="n"/>
      <c r="B226" s="23" t="n"/>
      <c r="C226" s="23" t="n"/>
      <c r="D226" s="23" t="n"/>
      <c r="E226" s="23" t="n"/>
      <c r="F226" s="23" t="n"/>
      <c r="G226" s="24" t="n"/>
      <c r="H226" s="23" t="n"/>
      <c r="I226" s="23" t="n"/>
      <c r="J226" s="25" t="n"/>
      <c r="K226" s="25" t="n"/>
      <c r="L226" s="25" t="n"/>
      <c r="M226" s="23" t="n"/>
      <c r="N226" s="26">
        <f>IF(OR(B226="",K226=""),"",IF(M226="Cancelada",0,IF(M226="Liberada",IF(L226="",0,MAX(0,L226-K226)),MAX(0,$B$3-K226))))</f>
        <v/>
      </c>
      <c r="O226" s="27">
        <f>IF(B226="","",IF(M226="Cancelada","Cancelada",IF(M226="Liberada",IF(N226&gt;0,"Liberada con atraso","Liberada a tiempo"),IF(K226="","Sin fecha requerida",IF($B$3&gt;K226,"Vencida",IF(K226-$B$3&lt;=7,"Por vencer","En plazo"))))))</f>
        <v/>
      </c>
      <c r="P226" s="24" t="n"/>
    </row>
    <row r="227">
      <c r="A227" s="22" t="n"/>
      <c r="B227" s="23" t="n"/>
      <c r="C227" s="23" t="n"/>
      <c r="D227" s="23" t="n"/>
      <c r="E227" s="23" t="n"/>
      <c r="F227" s="23" t="n"/>
      <c r="G227" s="24" t="n"/>
      <c r="H227" s="23" t="n"/>
      <c r="I227" s="23" t="n"/>
      <c r="J227" s="25" t="n"/>
      <c r="K227" s="25" t="n"/>
      <c r="L227" s="25" t="n"/>
      <c r="M227" s="23" t="n"/>
      <c r="N227" s="26">
        <f>IF(OR(B227="",K227=""),"",IF(M227="Cancelada",0,IF(M227="Liberada",IF(L227="",0,MAX(0,L227-K227)),MAX(0,$B$3-K227))))</f>
        <v/>
      </c>
      <c r="O227" s="27">
        <f>IF(B227="","",IF(M227="Cancelada","Cancelada",IF(M227="Liberada",IF(N227&gt;0,"Liberada con atraso","Liberada a tiempo"),IF(K227="","Sin fecha requerida",IF($B$3&gt;K227,"Vencida",IF(K227-$B$3&lt;=7,"Por vencer","En plazo"))))))</f>
        <v/>
      </c>
      <c r="P227" s="24" t="n"/>
    </row>
    <row r="228">
      <c r="A228" s="22" t="n"/>
      <c r="B228" s="23" t="n"/>
      <c r="C228" s="23" t="n"/>
      <c r="D228" s="23" t="n"/>
      <c r="E228" s="23" t="n"/>
      <c r="F228" s="23" t="n"/>
      <c r="G228" s="24" t="n"/>
      <c r="H228" s="23" t="n"/>
      <c r="I228" s="23" t="n"/>
      <c r="J228" s="25" t="n"/>
      <c r="K228" s="25" t="n"/>
      <c r="L228" s="25" t="n"/>
      <c r="M228" s="23" t="n"/>
      <c r="N228" s="26">
        <f>IF(OR(B228="",K228=""),"",IF(M228="Cancelada",0,IF(M228="Liberada",IF(L228="",0,MAX(0,L228-K228)),MAX(0,$B$3-K228))))</f>
        <v/>
      </c>
      <c r="O228" s="27">
        <f>IF(B228="","",IF(M228="Cancelada","Cancelada",IF(M228="Liberada",IF(N228&gt;0,"Liberada con atraso","Liberada a tiempo"),IF(K228="","Sin fecha requerida",IF($B$3&gt;K228,"Vencida",IF(K228-$B$3&lt;=7,"Por vencer","En plazo"))))))</f>
        <v/>
      </c>
      <c r="P228" s="24" t="n"/>
    </row>
    <row r="229">
      <c r="A229" s="22" t="n"/>
      <c r="B229" s="23" t="n"/>
      <c r="C229" s="23" t="n"/>
      <c r="D229" s="23" t="n"/>
      <c r="E229" s="23" t="n"/>
      <c r="F229" s="23" t="n"/>
      <c r="G229" s="24" t="n"/>
      <c r="H229" s="23" t="n"/>
      <c r="I229" s="23" t="n"/>
      <c r="J229" s="25" t="n"/>
      <c r="K229" s="25" t="n"/>
      <c r="L229" s="25" t="n"/>
      <c r="M229" s="23" t="n"/>
      <c r="N229" s="26">
        <f>IF(OR(B229="",K229=""),"",IF(M229="Cancelada",0,IF(M229="Liberada",IF(L229="",0,MAX(0,L229-K229)),MAX(0,$B$3-K229))))</f>
        <v/>
      </c>
      <c r="O229" s="27">
        <f>IF(B229="","",IF(M229="Cancelada","Cancelada",IF(M229="Liberada",IF(N229&gt;0,"Liberada con atraso","Liberada a tiempo"),IF(K229="","Sin fecha requerida",IF($B$3&gt;K229,"Vencida",IF(K229-$B$3&lt;=7,"Por vencer","En plazo"))))))</f>
        <v/>
      </c>
      <c r="P229" s="24" t="n"/>
    </row>
    <row r="230">
      <c r="A230" s="22" t="n"/>
      <c r="B230" s="23" t="n"/>
      <c r="C230" s="23" t="n"/>
      <c r="D230" s="23" t="n"/>
      <c r="E230" s="23" t="n"/>
      <c r="F230" s="23" t="n"/>
      <c r="G230" s="24" t="n"/>
      <c r="H230" s="23" t="n"/>
      <c r="I230" s="23" t="n"/>
      <c r="J230" s="25" t="n"/>
      <c r="K230" s="25" t="n"/>
      <c r="L230" s="25" t="n"/>
      <c r="M230" s="23" t="n"/>
      <c r="N230" s="26">
        <f>IF(OR(B230="",K230=""),"",IF(M230="Cancelada",0,IF(M230="Liberada",IF(L230="",0,MAX(0,L230-K230)),MAX(0,$B$3-K230))))</f>
        <v/>
      </c>
      <c r="O230" s="27">
        <f>IF(B230="","",IF(M230="Cancelada","Cancelada",IF(M230="Liberada",IF(N230&gt;0,"Liberada con atraso","Liberada a tiempo"),IF(K230="","Sin fecha requerida",IF($B$3&gt;K230,"Vencida",IF(K230-$B$3&lt;=7,"Por vencer","En plazo"))))))</f>
        <v/>
      </c>
      <c r="P230" s="24" t="n"/>
    </row>
    <row r="231">
      <c r="A231" s="22" t="n"/>
      <c r="B231" s="23" t="n"/>
      <c r="C231" s="23" t="n"/>
      <c r="D231" s="23" t="n"/>
      <c r="E231" s="23" t="n"/>
      <c r="F231" s="23" t="n"/>
      <c r="G231" s="24" t="n"/>
      <c r="H231" s="23" t="n"/>
      <c r="I231" s="23" t="n"/>
      <c r="J231" s="25" t="n"/>
      <c r="K231" s="25" t="n"/>
      <c r="L231" s="25" t="n"/>
      <c r="M231" s="23" t="n"/>
      <c r="N231" s="26">
        <f>IF(OR(B231="",K231=""),"",IF(M231="Cancelada",0,IF(M231="Liberada",IF(L231="",0,MAX(0,L231-K231)),MAX(0,$B$3-K231))))</f>
        <v/>
      </c>
      <c r="O231" s="27">
        <f>IF(B231="","",IF(M231="Cancelada","Cancelada",IF(M231="Liberada",IF(N231&gt;0,"Liberada con atraso","Liberada a tiempo"),IF(K231="","Sin fecha requerida",IF($B$3&gt;K231,"Vencida",IF(K231-$B$3&lt;=7,"Por vencer","En plazo"))))))</f>
        <v/>
      </c>
      <c r="P231" s="24" t="n"/>
    </row>
    <row r="232">
      <c r="A232" s="22" t="n"/>
      <c r="B232" s="23" t="n"/>
      <c r="C232" s="23" t="n"/>
      <c r="D232" s="23" t="n"/>
      <c r="E232" s="23" t="n"/>
      <c r="F232" s="23" t="n"/>
      <c r="G232" s="24" t="n"/>
      <c r="H232" s="23" t="n"/>
      <c r="I232" s="23" t="n"/>
      <c r="J232" s="25" t="n"/>
      <c r="K232" s="25" t="n"/>
      <c r="L232" s="25" t="n"/>
      <c r="M232" s="23" t="n"/>
      <c r="N232" s="26">
        <f>IF(OR(B232="",K232=""),"",IF(M232="Cancelada",0,IF(M232="Liberada",IF(L232="",0,MAX(0,L232-K232)),MAX(0,$B$3-K232))))</f>
        <v/>
      </c>
      <c r="O232" s="27">
        <f>IF(B232="","",IF(M232="Cancelada","Cancelada",IF(M232="Liberada",IF(N232&gt;0,"Liberada con atraso","Liberada a tiempo"),IF(K232="","Sin fecha requerida",IF($B$3&gt;K232,"Vencida",IF(K232-$B$3&lt;=7,"Por vencer","En plazo"))))))</f>
        <v/>
      </c>
      <c r="P232" s="24" t="n"/>
    </row>
    <row r="233">
      <c r="A233" s="22" t="n"/>
      <c r="B233" s="23" t="n"/>
      <c r="C233" s="23" t="n"/>
      <c r="D233" s="23" t="n"/>
      <c r="E233" s="23" t="n"/>
      <c r="F233" s="23" t="n"/>
      <c r="G233" s="24" t="n"/>
      <c r="H233" s="23" t="n"/>
      <c r="I233" s="23" t="n"/>
      <c r="J233" s="25" t="n"/>
      <c r="K233" s="25" t="n"/>
      <c r="L233" s="25" t="n"/>
      <c r="M233" s="23" t="n"/>
      <c r="N233" s="26">
        <f>IF(OR(B233="",K233=""),"",IF(M233="Cancelada",0,IF(M233="Liberada",IF(L233="",0,MAX(0,L233-K233)),MAX(0,$B$3-K233))))</f>
        <v/>
      </c>
      <c r="O233" s="27">
        <f>IF(B233="","",IF(M233="Cancelada","Cancelada",IF(M233="Liberada",IF(N233&gt;0,"Liberada con atraso","Liberada a tiempo"),IF(K233="","Sin fecha requerida",IF($B$3&gt;K233,"Vencida",IF(K233-$B$3&lt;=7,"Por vencer","En plazo"))))))</f>
        <v/>
      </c>
      <c r="P233" s="24" t="n"/>
    </row>
    <row r="234">
      <c r="A234" s="22" t="n"/>
      <c r="B234" s="23" t="n"/>
      <c r="C234" s="23" t="n"/>
      <c r="D234" s="23" t="n"/>
      <c r="E234" s="23" t="n"/>
      <c r="F234" s="23" t="n"/>
      <c r="G234" s="24" t="n"/>
      <c r="H234" s="23" t="n"/>
      <c r="I234" s="23" t="n"/>
      <c r="J234" s="25" t="n"/>
      <c r="K234" s="25" t="n"/>
      <c r="L234" s="25" t="n"/>
      <c r="M234" s="23" t="n"/>
      <c r="N234" s="26">
        <f>IF(OR(B234="",K234=""),"",IF(M234="Cancelada",0,IF(M234="Liberada",IF(L234="",0,MAX(0,L234-K234)),MAX(0,$B$3-K234))))</f>
        <v/>
      </c>
      <c r="O234" s="27">
        <f>IF(B234="","",IF(M234="Cancelada","Cancelada",IF(M234="Liberada",IF(N234&gt;0,"Liberada con atraso","Liberada a tiempo"),IF(K234="","Sin fecha requerida",IF($B$3&gt;K234,"Vencida",IF(K234-$B$3&lt;=7,"Por vencer","En plazo"))))))</f>
        <v/>
      </c>
      <c r="P234" s="24" t="n"/>
    </row>
    <row r="235">
      <c r="A235" s="22" t="n"/>
      <c r="B235" s="23" t="n"/>
      <c r="C235" s="23" t="n"/>
      <c r="D235" s="23" t="n"/>
      <c r="E235" s="23" t="n"/>
      <c r="F235" s="23" t="n"/>
      <c r="G235" s="24" t="n"/>
      <c r="H235" s="23" t="n"/>
      <c r="I235" s="23" t="n"/>
      <c r="J235" s="25" t="n"/>
      <c r="K235" s="25" t="n"/>
      <c r="L235" s="25" t="n"/>
      <c r="M235" s="23" t="n"/>
      <c r="N235" s="26">
        <f>IF(OR(B235="",K235=""),"",IF(M235="Cancelada",0,IF(M235="Liberada",IF(L235="",0,MAX(0,L235-K235)),MAX(0,$B$3-K235))))</f>
        <v/>
      </c>
      <c r="O235" s="27">
        <f>IF(B235="","",IF(M235="Cancelada","Cancelada",IF(M235="Liberada",IF(N235&gt;0,"Liberada con atraso","Liberada a tiempo"),IF(K235="","Sin fecha requerida",IF($B$3&gt;K235,"Vencida",IF(K235-$B$3&lt;=7,"Por vencer","En plazo"))))))</f>
        <v/>
      </c>
      <c r="P235" s="24" t="n"/>
    </row>
    <row r="236">
      <c r="A236" s="22" t="n"/>
      <c r="B236" s="23" t="n"/>
      <c r="C236" s="23" t="n"/>
      <c r="D236" s="23" t="n"/>
      <c r="E236" s="23" t="n"/>
      <c r="F236" s="23" t="n"/>
      <c r="G236" s="24" t="n"/>
      <c r="H236" s="23" t="n"/>
      <c r="I236" s="23" t="n"/>
      <c r="J236" s="25" t="n"/>
      <c r="K236" s="25" t="n"/>
      <c r="L236" s="25" t="n"/>
      <c r="M236" s="23" t="n"/>
      <c r="N236" s="26">
        <f>IF(OR(B236="",K236=""),"",IF(M236="Cancelada",0,IF(M236="Liberada",IF(L236="",0,MAX(0,L236-K236)),MAX(0,$B$3-K236))))</f>
        <v/>
      </c>
      <c r="O236" s="27">
        <f>IF(B236="","",IF(M236="Cancelada","Cancelada",IF(M236="Liberada",IF(N236&gt;0,"Liberada con atraso","Liberada a tiempo"),IF(K236="","Sin fecha requerida",IF($B$3&gt;K236,"Vencida",IF(K236-$B$3&lt;=7,"Por vencer","En plazo"))))))</f>
        <v/>
      </c>
      <c r="P236" s="24" t="n"/>
    </row>
    <row r="237">
      <c r="A237" s="22" t="n"/>
      <c r="B237" s="23" t="n"/>
      <c r="C237" s="23" t="n"/>
      <c r="D237" s="23" t="n"/>
      <c r="E237" s="23" t="n"/>
      <c r="F237" s="23" t="n"/>
      <c r="G237" s="24" t="n"/>
      <c r="H237" s="23" t="n"/>
      <c r="I237" s="23" t="n"/>
      <c r="J237" s="25" t="n"/>
      <c r="K237" s="25" t="n"/>
      <c r="L237" s="25" t="n"/>
      <c r="M237" s="23" t="n"/>
      <c r="N237" s="26">
        <f>IF(OR(B237="",K237=""),"",IF(M237="Cancelada",0,IF(M237="Liberada",IF(L237="",0,MAX(0,L237-K237)),MAX(0,$B$3-K237))))</f>
        <v/>
      </c>
      <c r="O237" s="27">
        <f>IF(B237="","",IF(M237="Cancelada","Cancelada",IF(M237="Liberada",IF(N237&gt;0,"Liberada con atraso","Liberada a tiempo"),IF(K237="","Sin fecha requerida",IF($B$3&gt;K237,"Vencida",IF(K237-$B$3&lt;=7,"Por vencer","En plazo"))))))</f>
        <v/>
      </c>
      <c r="P237" s="24" t="n"/>
    </row>
    <row r="238">
      <c r="A238" s="22" t="n"/>
      <c r="B238" s="23" t="n"/>
      <c r="C238" s="23" t="n"/>
      <c r="D238" s="23" t="n"/>
      <c r="E238" s="23" t="n"/>
      <c r="F238" s="23" t="n"/>
      <c r="G238" s="24" t="n"/>
      <c r="H238" s="23" t="n"/>
      <c r="I238" s="23" t="n"/>
      <c r="J238" s="25" t="n"/>
      <c r="K238" s="25" t="n"/>
      <c r="L238" s="25" t="n"/>
      <c r="M238" s="23" t="n"/>
      <c r="N238" s="26">
        <f>IF(OR(B238="",K238=""),"",IF(M238="Cancelada",0,IF(M238="Liberada",IF(L238="",0,MAX(0,L238-K238)),MAX(0,$B$3-K238))))</f>
        <v/>
      </c>
      <c r="O238" s="27">
        <f>IF(B238="","",IF(M238="Cancelada","Cancelada",IF(M238="Liberada",IF(N238&gt;0,"Liberada con atraso","Liberada a tiempo"),IF(K238="","Sin fecha requerida",IF($B$3&gt;K238,"Vencida",IF(K238-$B$3&lt;=7,"Por vencer","En plazo"))))))</f>
        <v/>
      </c>
      <c r="P238" s="24" t="n"/>
    </row>
    <row r="239">
      <c r="A239" s="22" t="n"/>
      <c r="B239" s="23" t="n"/>
      <c r="C239" s="23" t="n"/>
      <c r="D239" s="23" t="n"/>
      <c r="E239" s="23" t="n"/>
      <c r="F239" s="23" t="n"/>
      <c r="G239" s="24" t="n"/>
      <c r="H239" s="23" t="n"/>
      <c r="I239" s="23" t="n"/>
      <c r="J239" s="25" t="n"/>
      <c r="K239" s="25" t="n"/>
      <c r="L239" s="25" t="n"/>
      <c r="M239" s="23" t="n"/>
      <c r="N239" s="26">
        <f>IF(OR(B239="",K239=""),"",IF(M239="Cancelada",0,IF(M239="Liberada",IF(L239="",0,MAX(0,L239-K239)),MAX(0,$B$3-K239))))</f>
        <v/>
      </c>
      <c r="O239" s="27">
        <f>IF(B239="","",IF(M239="Cancelada","Cancelada",IF(M239="Liberada",IF(N239&gt;0,"Liberada con atraso","Liberada a tiempo"),IF(K239="","Sin fecha requerida",IF($B$3&gt;K239,"Vencida",IF(K239-$B$3&lt;=7,"Por vencer","En plazo"))))))</f>
        <v/>
      </c>
      <c r="P239" s="24" t="n"/>
    </row>
    <row r="240">
      <c r="A240" s="22" t="n"/>
      <c r="B240" s="23" t="n"/>
      <c r="C240" s="23" t="n"/>
      <c r="D240" s="23" t="n"/>
      <c r="E240" s="23" t="n"/>
      <c r="F240" s="23" t="n"/>
      <c r="G240" s="24" t="n"/>
      <c r="H240" s="23" t="n"/>
      <c r="I240" s="23" t="n"/>
      <c r="J240" s="25" t="n"/>
      <c r="K240" s="25" t="n"/>
      <c r="L240" s="25" t="n"/>
      <c r="M240" s="23" t="n"/>
      <c r="N240" s="26">
        <f>IF(OR(B240="",K240=""),"",IF(M240="Cancelada",0,IF(M240="Liberada",IF(L240="",0,MAX(0,L240-K240)),MAX(0,$B$3-K240))))</f>
        <v/>
      </c>
      <c r="O240" s="27">
        <f>IF(B240="","",IF(M240="Cancelada","Cancelada",IF(M240="Liberada",IF(N240&gt;0,"Liberada con atraso","Liberada a tiempo"),IF(K240="","Sin fecha requerida",IF($B$3&gt;K240,"Vencida",IF(K240-$B$3&lt;=7,"Por vencer","En plazo"))))))</f>
        <v/>
      </c>
      <c r="P240" s="24" t="n"/>
    </row>
    <row r="241">
      <c r="A241" s="22" t="n"/>
      <c r="B241" s="23" t="n"/>
      <c r="C241" s="23" t="n"/>
      <c r="D241" s="23" t="n"/>
      <c r="E241" s="23" t="n"/>
      <c r="F241" s="23" t="n"/>
      <c r="G241" s="24" t="n"/>
      <c r="H241" s="23" t="n"/>
      <c r="I241" s="23" t="n"/>
      <c r="J241" s="25" t="n"/>
      <c r="K241" s="25" t="n"/>
      <c r="L241" s="25" t="n"/>
      <c r="M241" s="23" t="n"/>
      <c r="N241" s="26">
        <f>IF(OR(B241="",K241=""),"",IF(M241="Cancelada",0,IF(M241="Liberada",IF(L241="",0,MAX(0,L241-K241)),MAX(0,$B$3-K241))))</f>
        <v/>
      </c>
      <c r="O241" s="27">
        <f>IF(B241="","",IF(M241="Cancelada","Cancelada",IF(M241="Liberada",IF(N241&gt;0,"Liberada con atraso","Liberada a tiempo"),IF(K241="","Sin fecha requerida",IF($B$3&gt;K241,"Vencida",IF(K241-$B$3&lt;=7,"Por vencer","En plazo"))))))</f>
        <v/>
      </c>
      <c r="P241" s="24" t="n"/>
    </row>
    <row r="242">
      <c r="A242" s="22" t="n"/>
      <c r="B242" s="23" t="n"/>
      <c r="C242" s="23" t="n"/>
      <c r="D242" s="23" t="n"/>
      <c r="E242" s="23" t="n"/>
      <c r="F242" s="23" t="n"/>
      <c r="G242" s="24" t="n"/>
      <c r="H242" s="23" t="n"/>
      <c r="I242" s="23" t="n"/>
      <c r="J242" s="25" t="n"/>
      <c r="K242" s="25" t="n"/>
      <c r="L242" s="25" t="n"/>
      <c r="M242" s="23" t="n"/>
      <c r="N242" s="26">
        <f>IF(OR(B242="",K242=""),"",IF(M242="Cancelada",0,IF(M242="Liberada",IF(L242="",0,MAX(0,L242-K242)),MAX(0,$B$3-K242))))</f>
        <v/>
      </c>
      <c r="O242" s="27">
        <f>IF(B242="","",IF(M242="Cancelada","Cancelada",IF(M242="Liberada",IF(N242&gt;0,"Liberada con atraso","Liberada a tiempo"),IF(K242="","Sin fecha requerida",IF($B$3&gt;K242,"Vencida",IF(K242-$B$3&lt;=7,"Por vencer","En plazo"))))))</f>
        <v/>
      </c>
      <c r="P242" s="24" t="n"/>
    </row>
    <row r="243">
      <c r="A243" s="22" t="n"/>
      <c r="B243" s="23" t="n"/>
      <c r="C243" s="23" t="n"/>
      <c r="D243" s="23" t="n"/>
      <c r="E243" s="23" t="n"/>
      <c r="F243" s="23" t="n"/>
      <c r="G243" s="24" t="n"/>
      <c r="H243" s="23" t="n"/>
      <c r="I243" s="23" t="n"/>
      <c r="J243" s="25" t="n"/>
      <c r="K243" s="25" t="n"/>
      <c r="L243" s="25" t="n"/>
      <c r="M243" s="23" t="n"/>
      <c r="N243" s="26">
        <f>IF(OR(B243="",K243=""),"",IF(M243="Cancelada",0,IF(M243="Liberada",IF(L243="",0,MAX(0,L243-K243)),MAX(0,$B$3-K243))))</f>
        <v/>
      </c>
      <c r="O243" s="27">
        <f>IF(B243="","",IF(M243="Cancelada","Cancelada",IF(M243="Liberada",IF(N243&gt;0,"Liberada con atraso","Liberada a tiempo"),IF(K243="","Sin fecha requerida",IF($B$3&gt;K243,"Vencida",IF(K243-$B$3&lt;=7,"Por vencer","En plazo"))))))</f>
        <v/>
      </c>
      <c r="P243" s="24" t="n"/>
    </row>
    <row r="244">
      <c r="A244" s="22" t="n"/>
      <c r="B244" s="23" t="n"/>
      <c r="C244" s="23" t="n"/>
      <c r="D244" s="23" t="n"/>
      <c r="E244" s="23" t="n"/>
      <c r="F244" s="23" t="n"/>
      <c r="G244" s="24" t="n"/>
      <c r="H244" s="23" t="n"/>
      <c r="I244" s="23" t="n"/>
      <c r="J244" s="25" t="n"/>
      <c r="K244" s="25" t="n"/>
      <c r="L244" s="25" t="n"/>
      <c r="M244" s="23" t="n"/>
      <c r="N244" s="26">
        <f>IF(OR(B244="",K244=""),"",IF(M244="Cancelada",0,IF(M244="Liberada",IF(L244="",0,MAX(0,L244-K244)),MAX(0,$B$3-K244))))</f>
        <v/>
      </c>
      <c r="O244" s="27">
        <f>IF(B244="","",IF(M244="Cancelada","Cancelada",IF(M244="Liberada",IF(N244&gt;0,"Liberada con atraso","Liberada a tiempo"),IF(K244="","Sin fecha requerida",IF($B$3&gt;K244,"Vencida",IF(K244-$B$3&lt;=7,"Por vencer","En plazo"))))))</f>
        <v/>
      </c>
      <c r="P244" s="24" t="n"/>
    </row>
    <row r="245">
      <c r="A245" s="22" t="n"/>
      <c r="B245" s="23" t="n"/>
      <c r="C245" s="23" t="n"/>
      <c r="D245" s="23" t="n"/>
      <c r="E245" s="23" t="n"/>
      <c r="F245" s="23" t="n"/>
      <c r="G245" s="24" t="n"/>
      <c r="H245" s="23" t="n"/>
      <c r="I245" s="23" t="n"/>
      <c r="J245" s="25" t="n"/>
      <c r="K245" s="25" t="n"/>
      <c r="L245" s="25" t="n"/>
      <c r="M245" s="23" t="n"/>
      <c r="N245" s="26">
        <f>IF(OR(B245="",K245=""),"",IF(M245="Cancelada",0,IF(M245="Liberada",IF(L245="",0,MAX(0,L245-K245)),MAX(0,$B$3-K245))))</f>
        <v/>
      </c>
      <c r="O245" s="27">
        <f>IF(B245="","",IF(M245="Cancelada","Cancelada",IF(M245="Liberada",IF(N245&gt;0,"Liberada con atraso","Liberada a tiempo"),IF(K245="","Sin fecha requerida",IF($B$3&gt;K245,"Vencida",IF(K245-$B$3&lt;=7,"Por vencer","En plazo"))))))</f>
        <v/>
      </c>
      <c r="P245" s="24" t="n"/>
    </row>
    <row r="246">
      <c r="A246" s="22" t="n"/>
      <c r="B246" s="23" t="n"/>
      <c r="C246" s="23" t="n"/>
      <c r="D246" s="23" t="n"/>
      <c r="E246" s="23" t="n"/>
      <c r="F246" s="23" t="n"/>
      <c r="G246" s="24" t="n"/>
      <c r="H246" s="23" t="n"/>
      <c r="I246" s="23" t="n"/>
      <c r="J246" s="25" t="n"/>
      <c r="K246" s="25" t="n"/>
      <c r="L246" s="25" t="n"/>
      <c r="M246" s="23" t="n"/>
      <c r="N246" s="26">
        <f>IF(OR(B246="",K246=""),"",IF(M246="Cancelada",0,IF(M246="Liberada",IF(L246="",0,MAX(0,L246-K246)),MAX(0,$B$3-K246))))</f>
        <v/>
      </c>
      <c r="O246" s="27">
        <f>IF(B246="","",IF(M246="Cancelada","Cancelada",IF(M246="Liberada",IF(N246&gt;0,"Liberada con atraso","Liberada a tiempo"),IF(K246="","Sin fecha requerida",IF($B$3&gt;K246,"Vencida",IF(K246-$B$3&lt;=7,"Por vencer","En plazo"))))))</f>
        <v/>
      </c>
      <c r="P246" s="24" t="n"/>
    </row>
    <row r="247">
      <c r="A247" s="22" t="n"/>
      <c r="B247" s="23" t="n"/>
      <c r="C247" s="23" t="n"/>
      <c r="D247" s="23" t="n"/>
      <c r="E247" s="23" t="n"/>
      <c r="F247" s="23" t="n"/>
      <c r="G247" s="24" t="n"/>
      <c r="H247" s="23" t="n"/>
      <c r="I247" s="23" t="n"/>
      <c r="J247" s="25" t="n"/>
      <c r="K247" s="25" t="n"/>
      <c r="L247" s="25" t="n"/>
      <c r="M247" s="23" t="n"/>
      <c r="N247" s="26">
        <f>IF(OR(B247="",K247=""),"",IF(M247="Cancelada",0,IF(M247="Liberada",IF(L247="",0,MAX(0,L247-K247)),MAX(0,$B$3-K247))))</f>
        <v/>
      </c>
      <c r="O247" s="27">
        <f>IF(B247="","",IF(M247="Cancelada","Cancelada",IF(M247="Liberada",IF(N247&gt;0,"Liberada con atraso","Liberada a tiempo"),IF(K247="","Sin fecha requerida",IF($B$3&gt;K247,"Vencida",IF(K247-$B$3&lt;=7,"Por vencer","En plazo"))))))</f>
        <v/>
      </c>
      <c r="P247" s="24" t="n"/>
    </row>
    <row r="248">
      <c r="A248" s="22" t="n"/>
      <c r="B248" s="23" t="n"/>
      <c r="C248" s="23" t="n"/>
      <c r="D248" s="23" t="n"/>
      <c r="E248" s="23" t="n"/>
      <c r="F248" s="23" t="n"/>
      <c r="G248" s="24" t="n"/>
      <c r="H248" s="23" t="n"/>
      <c r="I248" s="23" t="n"/>
      <c r="J248" s="25" t="n"/>
      <c r="K248" s="25" t="n"/>
      <c r="L248" s="25" t="n"/>
      <c r="M248" s="23" t="n"/>
      <c r="N248" s="26">
        <f>IF(OR(B248="",K248=""),"",IF(M248="Cancelada",0,IF(M248="Liberada",IF(L248="",0,MAX(0,L248-K248)),MAX(0,$B$3-K248))))</f>
        <v/>
      </c>
      <c r="O248" s="27">
        <f>IF(B248="","",IF(M248="Cancelada","Cancelada",IF(M248="Liberada",IF(N248&gt;0,"Liberada con atraso","Liberada a tiempo"),IF(K248="","Sin fecha requerida",IF($B$3&gt;K248,"Vencida",IF(K248-$B$3&lt;=7,"Por vencer","En plazo"))))))</f>
        <v/>
      </c>
      <c r="P248" s="24" t="n"/>
    </row>
    <row r="249">
      <c r="A249" s="22" t="n"/>
      <c r="B249" s="23" t="n"/>
      <c r="C249" s="23" t="n"/>
      <c r="D249" s="23" t="n"/>
      <c r="E249" s="23" t="n"/>
      <c r="F249" s="23" t="n"/>
      <c r="G249" s="24" t="n"/>
      <c r="H249" s="23" t="n"/>
      <c r="I249" s="23" t="n"/>
      <c r="J249" s="25" t="n"/>
      <c r="K249" s="25" t="n"/>
      <c r="L249" s="25" t="n"/>
      <c r="M249" s="23" t="n"/>
      <c r="N249" s="26">
        <f>IF(OR(B249="",K249=""),"",IF(M249="Cancelada",0,IF(M249="Liberada",IF(L249="",0,MAX(0,L249-K249)),MAX(0,$B$3-K249))))</f>
        <v/>
      </c>
      <c r="O249" s="27">
        <f>IF(B249="","",IF(M249="Cancelada","Cancelada",IF(M249="Liberada",IF(N249&gt;0,"Liberada con atraso","Liberada a tiempo"),IF(K249="","Sin fecha requerida",IF($B$3&gt;K249,"Vencida",IF(K249-$B$3&lt;=7,"Por vencer","En plazo"))))))</f>
        <v/>
      </c>
      <c r="P249" s="24" t="n"/>
    </row>
    <row r="250">
      <c r="A250" s="22" t="n"/>
      <c r="B250" s="23" t="n"/>
      <c r="C250" s="23" t="n"/>
      <c r="D250" s="23" t="n"/>
      <c r="E250" s="23" t="n"/>
      <c r="F250" s="23" t="n"/>
      <c r="G250" s="24" t="n"/>
      <c r="H250" s="23" t="n"/>
      <c r="I250" s="23" t="n"/>
      <c r="J250" s="25" t="n"/>
      <c r="K250" s="25" t="n"/>
      <c r="L250" s="25" t="n"/>
      <c r="M250" s="23" t="n"/>
      <c r="N250" s="26">
        <f>IF(OR(B250="",K250=""),"",IF(M250="Cancelada",0,IF(M250="Liberada",IF(L250="",0,MAX(0,L250-K250)),MAX(0,$B$3-K250))))</f>
        <v/>
      </c>
      <c r="O250" s="27">
        <f>IF(B250="","",IF(M250="Cancelada","Cancelada",IF(M250="Liberada",IF(N250&gt;0,"Liberada con atraso","Liberada a tiempo"),IF(K250="","Sin fecha requerida",IF($B$3&gt;K250,"Vencida",IF(K250-$B$3&lt;=7,"Por vencer","En plazo"))))))</f>
        <v/>
      </c>
      <c r="P250" s="24" t="n"/>
    </row>
    <row r="251">
      <c r="A251" s="22" t="n"/>
      <c r="B251" s="23" t="n"/>
      <c r="C251" s="23" t="n"/>
      <c r="D251" s="23" t="n"/>
      <c r="E251" s="23" t="n"/>
      <c r="F251" s="23" t="n"/>
      <c r="G251" s="24" t="n"/>
      <c r="H251" s="23" t="n"/>
      <c r="I251" s="23" t="n"/>
      <c r="J251" s="25" t="n"/>
      <c r="K251" s="25" t="n"/>
      <c r="L251" s="25" t="n"/>
      <c r="M251" s="23" t="n"/>
      <c r="N251" s="26">
        <f>IF(OR(B251="",K251=""),"",IF(M251="Cancelada",0,IF(M251="Liberada",IF(L251="",0,MAX(0,L251-K251)),MAX(0,$B$3-K251))))</f>
        <v/>
      </c>
      <c r="O251" s="27">
        <f>IF(B251="","",IF(M251="Cancelada","Cancelada",IF(M251="Liberada",IF(N251&gt;0,"Liberada con atraso","Liberada a tiempo"),IF(K251="","Sin fecha requerida",IF($B$3&gt;K251,"Vencida",IF(K251-$B$3&lt;=7,"Por vencer","En plazo"))))))</f>
        <v/>
      </c>
      <c r="P251" s="24" t="n"/>
    </row>
    <row r="252">
      <c r="A252" s="22" t="n"/>
      <c r="B252" s="23" t="n"/>
      <c r="C252" s="23" t="n"/>
      <c r="D252" s="23" t="n"/>
      <c r="E252" s="23" t="n"/>
      <c r="F252" s="23" t="n"/>
      <c r="G252" s="24" t="n"/>
      <c r="H252" s="23" t="n"/>
      <c r="I252" s="23" t="n"/>
      <c r="J252" s="25" t="n"/>
      <c r="K252" s="25" t="n"/>
      <c r="L252" s="25" t="n"/>
      <c r="M252" s="23" t="n"/>
      <c r="N252" s="26">
        <f>IF(OR(B252="",K252=""),"",IF(M252="Cancelada",0,IF(M252="Liberada",IF(L252="",0,MAX(0,L252-K252)),MAX(0,$B$3-K252))))</f>
        <v/>
      </c>
      <c r="O252" s="27">
        <f>IF(B252="","",IF(M252="Cancelada","Cancelada",IF(M252="Liberada",IF(N252&gt;0,"Liberada con atraso","Liberada a tiempo"),IF(K252="","Sin fecha requerida",IF($B$3&gt;K252,"Vencida",IF(K252-$B$3&lt;=7,"Por vencer","En plazo"))))))</f>
        <v/>
      </c>
      <c r="P252" s="24" t="n"/>
    </row>
    <row r="253">
      <c r="A253" s="22" t="n"/>
      <c r="B253" s="23" t="n"/>
      <c r="C253" s="23" t="n"/>
      <c r="D253" s="23" t="n"/>
      <c r="E253" s="23" t="n"/>
      <c r="F253" s="23" t="n"/>
      <c r="G253" s="24" t="n"/>
      <c r="H253" s="23" t="n"/>
      <c r="I253" s="23" t="n"/>
      <c r="J253" s="25" t="n"/>
      <c r="K253" s="25" t="n"/>
      <c r="L253" s="25" t="n"/>
      <c r="M253" s="23" t="n"/>
      <c r="N253" s="26">
        <f>IF(OR(B253="",K253=""),"",IF(M253="Cancelada",0,IF(M253="Liberada",IF(L253="",0,MAX(0,L253-K253)),MAX(0,$B$3-K253))))</f>
        <v/>
      </c>
      <c r="O253" s="27">
        <f>IF(B253="","",IF(M253="Cancelada","Cancelada",IF(M253="Liberada",IF(N253&gt;0,"Liberada con atraso","Liberada a tiempo"),IF(K253="","Sin fecha requerida",IF($B$3&gt;K253,"Vencida",IF(K253-$B$3&lt;=7,"Por vencer","En plazo"))))))</f>
        <v/>
      </c>
      <c r="P253" s="24" t="n"/>
    </row>
    <row r="254">
      <c r="A254" s="22" t="n"/>
      <c r="B254" s="23" t="n"/>
      <c r="C254" s="23" t="n"/>
      <c r="D254" s="23" t="n"/>
      <c r="E254" s="23" t="n"/>
      <c r="F254" s="23" t="n"/>
      <c r="G254" s="24" t="n"/>
      <c r="H254" s="23" t="n"/>
      <c r="I254" s="23" t="n"/>
      <c r="J254" s="25" t="n"/>
      <c r="K254" s="25" t="n"/>
      <c r="L254" s="25" t="n"/>
      <c r="M254" s="23" t="n"/>
      <c r="N254" s="26">
        <f>IF(OR(B254="",K254=""),"",IF(M254="Cancelada",0,IF(M254="Liberada",IF(L254="",0,MAX(0,L254-K254)),MAX(0,$B$3-K254))))</f>
        <v/>
      </c>
      <c r="O254" s="27">
        <f>IF(B254="","",IF(M254="Cancelada","Cancelada",IF(M254="Liberada",IF(N254&gt;0,"Liberada con atraso","Liberada a tiempo"),IF(K254="","Sin fecha requerida",IF($B$3&gt;K254,"Vencida",IF(K254-$B$3&lt;=7,"Por vencer","En plazo"))))))</f>
        <v/>
      </c>
      <c r="P254" s="24" t="n"/>
    </row>
    <row r="255">
      <c r="A255" s="22" t="n"/>
      <c r="B255" s="23" t="n"/>
      <c r="C255" s="23" t="n"/>
      <c r="D255" s="23" t="n"/>
      <c r="E255" s="23" t="n"/>
      <c r="F255" s="23" t="n"/>
      <c r="G255" s="24" t="n"/>
      <c r="H255" s="23" t="n"/>
      <c r="I255" s="23" t="n"/>
      <c r="J255" s="25" t="n"/>
      <c r="K255" s="25" t="n"/>
      <c r="L255" s="25" t="n"/>
      <c r="M255" s="23" t="n"/>
      <c r="N255" s="26">
        <f>IF(OR(B255="",K255=""),"",IF(M255="Cancelada",0,IF(M255="Liberada",IF(L255="",0,MAX(0,L255-K255)),MAX(0,$B$3-K255))))</f>
        <v/>
      </c>
      <c r="O255" s="27">
        <f>IF(B255="","",IF(M255="Cancelada","Cancelada",IF(M255="Liberada",IF(N255&gt;0,"Liberada con atraso","Liberada a tiempo"),IF(K255="","Sin fecha requerida",IF($B$3&gt;K255,"Vencida",IF(K255-$B$3&lt;=7,"Por vencer","En plazo"))))))</f>
        <v/>
      </c>
      <c r="P255" s="24" t="n"/>
    </row>
    <row r="256">
      <c r="A256" s="22" t="n"/>
      <c r="B256" s="23" t="n"/>
      <c r="C256" s="23" t="n"/>
      <c r="D256" s="23" t="n"/>
      <c r="E256" s="23" t="n"/>
      <c r="F256" s="23" t="n"/>
      <c r="G256" s="24" t="n"/>
      <c r="H256" s="23" t="n"/>
      <c r="I256" s="23" t="n"/>
      <c r="J256" s="25" t="n"/>
      <c r="K256" s="25" t="n"/>
      <c r="L256" s="25" t="n"/>
      <c r="M256" s="23" t="n"/>
      <c r="N256" s="26">
        <f>IF(OR(B256="",K256=""),"",IF(M256="Cancelada",0,IF(M256="Liberada",IF(L256="",0,MAX(0,L256-K256)),MAX(0,$B$3-K256))))</f>
        <v/>
      </c>
      <c r="O256" s="27">
        <f>IF(B256="","",IF(M256="Cancelada","Cancelada",IF(M256="Liberada",IF(N256&gt;0,"Liberada con atraso","Liberada a tiempo"),IF(K256="","Sin fecha requerida",IF($B$3&gt;K256,"Vencida",IF(K256-$B$3&lt;=7,"Por vencer","En plazo"))))))</f>
        <v/>
      </c>
      <c r="P256" s="24" t="n"/>
    </row>
    <row r="257">
      <c r="A257" s="22" t="n"/>
      <c r="B257" s="23" t="n"/>
      <c r="C257" s="23" t="n"/>
      <c r="D257" s="23" t="n"/>
      <c r="E257" s="23" t="n"/>
      <c r="F257" s="23" t="n"/>
      <c r="G257" s="24" t="n"/>
      <c r="H257" s="23" t="n"/>
      <c r="I257" s="23" t="n"/>
      <c r="J257" s="25" t="n"/>
      <c r="K257" s="25" t="n"/>
      <c r="L257" s="25" t="n"/>
      <c r="M257" s="23" t="n"/>
      <c r="N257" s="26">
        <f>IF(OR(B257="",K257=""),"",IF(M257="Cancelada",0,IF(M257="Liberada",IF(L257="",0,MAX(0,L257-K257)),MAX(0,$B$3-K257))))</f>
        <v/>
      </c>
      <c r="O257" s="27">
        <f>IF(B257="","",IF(M257="Cancelada","Cancelada",IF(M257="Liberada",IF(N257&gt;0,"Liberada con atraso","Liberada a tiempo"),IF(K257="","Sin fecha requerida",IF($B$3&gt;K257,"Vencida",IF(K257-$B$3&lt;=7,"Por vencer","En plazo"))))))</f>
        <v/>
      </c>
      <c r="P257" s="24" t="n"/>
    </row>
    <row r="258">
      <c r="A258" s="22" t="n"/>
      <c r="B258" s="23" t="n"/>
      <c r="C258" s="23" t="n"/>
      <c r="D258" s="23" t="n"/>
      <c r="E258" s="23" t="n"/>
      <c r="F258" s="23" t="n"/>
      <c r="G258" s="24" t="n"/>
      <c r="H258" s="23" t="n"/>
      <c r="I258" s="23" t="n"/>
      <c r="J258" s="25" t="n"/>
      <c r="K258" s="25" t="n"/>
      <c r="L258" s="25" t="n"/>
      <c r="M258" s="23" t="n"/>
      <c r="N258" s="26">
        <f>IF(OR(B258="",K258=""),"",IF(M258="Cancelada",0,IF(M258="Liberada",IF(L258="",0,MAX(0,L258-K258)),MAX(0,$B$3-K258))))</f>
        <v/>
      </c>
      <c r="O258" s="27">
        <f>IF(B258="","",IF(M258="Cancelada","Cancelada",IF(M258="Liberada",IF(N258&gt;0,"Liberada con atraso","Liberada a tiempo"),IF(K258="","Sin fecha requerida",IF($B$3&gt;K258,"Vencida",IF(K258-$B$3&lt;=7,"Por vencer","En plazo"))))))</f>
        <v/>
      </c>
      <c r="P258" s="24" t="n"/>
    </row>
    <row r="259">
      <c r="A259" s="22" t="n"/>
      <c r="B259" s="23" t="n"/>
      <c r="C259" s="23" t="n"/>
      <c r="D259" s="23" t="n"/>
      <c r="E259" s="23" t="n"/>
      <c r="F259" s="23" t="n"/>
      <c r="G259" s="24" t="n"/>
      <c r="H259" s="23" t="n"/>
      <c r="I259" s="23" t="n"/>
      <c r="J259" s="25" t="n"/>
      <c r="K259" s="25" t="n"/>
      <c r="L259" s="25" t="n"/>
      <c r="M259" s="23" t="n"/>
      <c r="N259" s="26">
        <f>IF(OR(B259="",K259=""),"",IF(M259="Cancelada",0,IF(M259="Liberada",IF(L259="",0,MAX(0,L259-K259)),MAX(0,$B$3-K259))))</f>
        <v/>
      </c>
      <c r="O259" s="27">
        <f>IF(B259="","",IF(M259="Cancelada","Cancelada",IF(M259="Liberada",IF(N259&gt;0,"Liberada con atraso","Liberada a tiempo"),IF(K259="","Sin fecha requerida",IF($B$3&gt;K259,"Vencida",IF(K259-$B$3&lt;=7,"Por vencer","En plazo"))))))</f>
        <v/>
      </c>
      <c r="P259" s="24" t="n"/>
    </row>
    <row r="260">
      <c r="A260" s="22" t="n"/>
      <c r="B260" s="23" t="n"/>
      <c r="C260" s="23" t="n"/>
      <c r="D260" s="23" t="n"/>
      <c r="E260" s="23" t="n"/>
      <c r="F260" s="23" t="n"/>
      <c r="G260" s="24" t="n"/>
      <c r="H260" s="23" t="n"/>
      <c r="I260" s="23" t="n"/>
      <c r="J260" s="25" t="n"/>
      <c r="K260" s="25" t="n"/>
      <c r="L260" s="25" t="n"/>
      <c r="M260" s="23" t="n"/>
      <c r="N260" s="26">
        <f>IF(OR(B260="",K260=""),"",IF(M260="Cancelada",0,IF(M260="Liberada",IF(L260="",0,MAX(0,L260-K260)),MAX(0,$B$3-K260))))</f>
        <v/>
      </c>
      <c r="O260" s="27">
        <f>IF(B260="","",IF(M260="Cancelada","Cancelada",IF(M260="Liberada",IF(N260&gt;0,"Liberada con atraso","Liberada a tiempo"),IF(K260="","Sin fecha requerida",IF($B$3&gt;K260,"Vencida",IF(K260-$B$3&lt;=7,"Por vencer","En plazo"))))))</f>
        <v/>
      </c>
      <c r="P260" s="24" t="n"/>
    </row>
    <row r="261">
      <c r="A261" s="22" t="n"/>
      <c r="B261" s="23" t="n"/>
      <c r="C261" s="23" t="n"/>
      <c r="D261" s="23" t="n"/>
      <c r="E261" s="23" t="n"/>
      <c r="F261" s="23" t="n"/>
      <c r="G261" s="24" t="n"/>
      <c r="H261" s="23" t="n"/>
      <c r="I261" s="23" t="n"/>
      <c r="J261" s="25" t="n"/>
      <c r="K261" s="25" t="n"/>
      <c r="L261" s="25" t="n"/>
      <c r="M261" s="23" t="n"/>
      <c r="N261" s="26">
        <f>IF(OR(B261="",K261=""),"",IF(M261="Cancelada",0,IF(M261="Liberada",IF(L261="",0,MAX(0,L261-K261)),MAX(0,$B$3-K261))))</f>
        <v/>
      </c>
      <c r="O261" s="27">
        <f>IF(B261="","",IF(M261="Cancelada","Cancelada",IF(M261="Liberada",IF(N261&gt;0,"Liberada con atraso","Liberada a tiempo"),IF(K261="","Sin fecha requerida",IF($B$3&gt;K261,"Vencida",IF(K261-$B$3&lt;=7,"Por vencer","En plazo"))))))</f>
        <v/>
      </c>
      <c r="P261" s="24" t="n"/>
    </row>
    <row r="262">
      <c r="A262" s="22" t="n"/>
      <c r="B262" s="23" t="n"/>
      <c r="C262" s="23" t="n"/>
      <c r="D262" s="23" t="n"/>
      <c r="E262" s="23" t="n"/>
      <c r="F262" s="23" t="n"/>
      <c r="G262" s="24" t="n"/>
      <c r="H262" s="23" t="n"/>
      <c r="I262" s="23" t="n"/>
      <c r="J262" s="25" t="n"/>
      <c r="K262" s="25" t="n"/>
      <c r="L262" s="25" t="n"/>
      <c r="M262" s="23" t="n"/>
      <c r="N262" s="26">
        <f>IF(OR(B262="",K262=""),"",IF(M262="Cancelada",0,IF(M262="Liberada",IF(L262="",0,MAX(0,L262-K262)),MAX(0,$B$3-K262))))</f>
        <v/>
      </c>
      <c r="O262" s="27">
        <f>IF(B262="","",IF(M262="Cancelada","Cancelada",IF(M262="Liberada",IF(N262&gt;0,"Liberada con atraso","Liberada a tiempo"),IF(K262="","Sin fecha requerida",IF($B$3&gt;K262,"Vencida",IF(K262-$B$3&lt;=7,"Por vencer","En plazo"))))))</f>
        <v/>
      </c>
      <c r="P262" s="24" t="n"/>
    </row>
    <row r="263">
      <c r="A263" s="22" t="n"/>
      <c r="B263" s="23" t="n"/>
      <c r="C263" s="23" t="n"/>
      <c r="D263" s="23" t="n"/>
      <c r="E263" s="23" t="n"/>
      <c r="F263" s="23" t="n"/>
      <c r="G263" s="24" t="n"/>
      <c r="H263" s="23" t="n"/>
      <c r="I263" s="23" t="n"/>
      <c r="J263" s="25" t="n"/>
      <c r="K263" s="25" t="n"/>
      <c r="L263" s="25" t="n"/>
      <c r="M263" s="23" t="n"/>
      <c r="N263" s="26">
        <f>IF(OR(B263="",K263=""),"",IF(M263="Cancelada",0,IF(M263="Liberada",IF(L263="",0,MAX(0,L263-K263)),MAX(0,$B$3-K263))))</f>
        <v/>
      </c>
      <c r="O263" s="27">
        <f>IF(B263="","",IF(M263="Cancelada","Cancelada",IF(M263="Liberada",IF(N263&gt;0,"Liberada con atraso","Liberada a tiempo"),IF(K263="","Sin fecha requerida",IF($B$3&gt;K263,"Vencida",IF(K263-$B$3&lt;=7,"Por vencer","En plazo"))))))</f>
        <v/>
      </c>
      <c r="P263" s="24" t="n"/>
    </row>
    <row r="264">
      <c r="A264" s="22" t="n"/>
      <c r="B264" s="23" t="n"/>
      <c r="C264" s="23" t="n"/>
      <c r="D264" s="23" t="n"/>
      <c r="E264" s="23" t="n"/>
      <c r="F264" s="23" t="n"/>
      <c r="G264" s="24" t="n"/>
      <c r="H264" s="23" t="n"/>
      <c r="I264" s="23" t="n"/>
      <c r="J264" s="25" t="n"/>
      <c r="K264" s="25" t="n"/>
      <c r="L264" s="25" t="n"/>
      <c r="M264" s="23" t="n"/>
      <c r="N264" s="26">
        <f>IF(OR(B264="",K264=""),"",IF(M264="Cancelada",0,IF(M264="Liberada",IF(L264="",0,MAX(0,L264-K264)),MAX(0,$B$3-K264))))</f>
        <v/>
      </c>
      <c r="O264" s="27">
        <f>IF(B264="","",IF(M264="Cancelada","Cancelada",IF(M264="Liberada",IF(N264&gt;0,"Liberada con atraso","Liberada a tiempo"),IF(K264="","Sin fecha requerida",IF($B$3&gt;K264,"Vencida",IF(K264-$B$3&lt;=7,"Por vencer","En plazo"))))))</f>
        <v/>
      </c>
      <c r="P264" s="24" t="n"/>
    </row>
    <row r="265">
      <c r="A265" s="22" t="n"/>
      <c r="B265" s="23" t="n"/>
      <c r="C265" s="23" t="n"/>
      <c r="D265" s="23" t="n"/>
      <c r="E265" s="23" t="n"/>
      <c r="F265" s="23" t="n"/>
      <c r="G265" s="24" t="n"/>
      <c r="H265" s="23" t="n"/>
      <c r="I265" s="23" t="n"/>
      <c r="J265" s="25" t="n"/>
      <c r="K265" s="25" t="n"/>
      <c r="L265" s="25" t="n"/>
      <c r="M265" s="23" t="n"/>
      <c r="N265" s="26">
        <f>IF(OR(B265="",K265=""),"",IF(M265="Cancelada",0,IF(M265="Liberada",IF(L265="",0,MAX(0,L265-K265)),MAX(0,$B$3-K265))))</f>
        <v/>
      </c>
      <c r="O265" s="27">
        <f>IF(B265="","",IF(M265="Cancelada","Cancelada",IF(M265="Liberada",IF(N265&gt;0,"Liberada con atraso","Liberada a tiempo"),IF(K265="","Sin fecha requerida",IF($B$3&gt;K265,"Vencida",IF(K265-$B$3&lt;=7,"Por vencer","En plazo"))))))</f>
        <v/>
      </c>
      <c r="P265" s="24" t="n"/>
    </row>
    <row r="266">
      <c r="A266" s="22" t="n"/>
      <c r="B266" s="23" t="n"/>
      <c r="C266" s="23" t="n"/>
      <c r="D266" s="23" t="n"/>
      <c r="E266" s="23" t="n"/>
      <c r="F266" s="23" t="n"/>
      <c r="G266" s="24" t="n"/>
      <c r="H266" s="23" t="n"/>
      <c r="I266" s="23" t="n"/>
      <c r="J266" s="25" t="n"/>
      <c r="K266" s="25" t="n"/>
      <c r="L266" s="25" t="n"/>
      <c r="M266" s="23" t="n"/>
      <c r="N266" s="26">
        <f>IF(OR(B266="",K266=""),"",IF(M266="Cancelada",0,IF(M266="Liberada",IF(L266="",0,MAX(0,L266-K266)),MAX(0,$B$3-K266))))</f>
        <v/>
      </c>
      <c r="O266" s="27">
        <f>IF(B266="","",IF(M266="Cancelada","Cancelada",IF(M266="Liberada",IF(N266&gt;0,"Liberada con atraso","Liberada a tiempo"),IF(K266="","Sin fecha requerida",IF($B$3&gt;K266,"Vencida",IF(K266-$B$3&lt;=7,"Por vencer","En plazo"))))))</f>
        <v/>
      </c>
      <c r="P266" s="24" t="n"/>
    </row>
    <row r="267">
      <c r="A267" s="22" t="n"/>
      <c r="B267" s="23" t="n"/>
      <c r="C267" s="23" t="n"/>
      <c r="D267" s="23" t="n"/>
      <c r="E267" s="23" t="n"/>
      <c r="F267" s="23" t="n"/>
      <c r="G267" s="24" t="n"/>
      <c r="H267" s="23" t="n"/>
      <c r="I267" s="23" t="n"/>
      <c r="J267" s="25" t="n"/>
      <c r="K267" s="25" t="n"/>
      <c r="L267" s="25" t="n"/>
      <c r="M267" s="23" t="n"/>
      <c r="N267" s="26">
        <f>IF(OR(B267="",K267=""),"",IF(M267="Cancelada",0,IF(M267="Liberada",IF(L267="",0,MAX(0,L267-K267)),MAX(0,$B$3-K267))))</f>
        <v/>
      </c>
      <c r="O267" s="27">
        <f>IF(B267="","",IF(M267="Cancelada","Cancelada",IF(M267="Liberada",IF(N267&gt;0,"Liberada con atraso","Liberada a tiempo"),IF(K267="","Sin fecha requerida",IF($B$3&gt;K267,"Vencida",IF(K267-$B$3&lt;=7,"Por vencer","En plazo"))))))</f>
        <v/>
      </c>
      <c r="P267" s="24" t="n"/>
    </row>
    <row r="268">
      <c r="A268" s="22" t="n"/>
      <c r="B268" s="23" t="n"/>
      <c r="C268" s="23" t="n"/>
      <c r="D268" s="23" t="n"/>
      <c r="E268" s="23" t="n"/>
      <c r="F268" s="23" t="n"/>
      <c r="G268" s="24" t="n"/>
      <c r="H268" s="23" t="n"/>
      <c r="I268" s="23" t="n"/>
      <c r="J268" s="25" t="n"/>
      <c r="K268" s="25" t="n"/>
      <c r="L268" s="25" t="n"/>
      <c r="M268" s="23" t="n"/>
      <c r="N268" s="26">
        <f>IF(OR(B268="",K268=""),"",IF(M268="Cancelada",0,IF(M268="Liberada",IF(L268="",0,MAX(0,L268-K268)),MAX(0,$B$3-K268))))</f>
        <v/>
      </c>
      <c r="O268" s="27">
        <f>IF(B268="","",IF(M268="Cancelada","Cancelada",IF(M268="Liberada",IF(N268&gt;0,"Liberada con atraso","Liberada a tiempo"),IF(K268="","Sin fecha requerida",IF($B$3&gt;K268,"Vencida",IF(K268-$B$3&lt;=7,"Por vencer","En plazo"))))))</f>
        <v/>
      </c>
      <c r="P268" s="24" t="n"/>
    </row>
    <row r="269">
      <c r="A269" s="22" t="n"/>
      <c r="B269" s="23" t="n"/>
      <c r="C269" s="23" t="n"/>
      <c r="D269" s="23" t="n"/>
      <c r="E269" s="23" t="n"/>
      <c r="F269" s="23" t="n"/>
      <c r="G269" s="24" t="n"/>
      <c r="H269" s="23" t="n"/>
      <c r="I269" s="23" t="n"/>
      <c r="J269" s="25" t="n"/>
      <c r="K269" s="25" t="n"/>
      <c r="L269" s="25" t="n"/>
      <c r="M269" s="23" t="n"/>
      <c r="N269" s="26">
        <f>IF(OR(B269="",K269=""),"",IF(M269="Cancelada",0,IF(M269="Liberada",IF(L269="",0,MAX(0,L269-K269)),MAX(0,$B$3-K269))))</f>
        <v/>
      </c>
      <c r="O269" s="27">
        <f>IF(B269="","",IF(M269="Cancelada","Cancelada",IF(M269="Liberada",IF(N269&gt;0,"Liberada con atraso","Liberada a tiempo"),IF(K269="","Sin fecha requerida",IF($B$3&gt;K269,"Vencida",IF(K269-$B$3&lt;=7,"Por vencer","En plazo"))))))</f>
        <v/>
      </c>
      <c r="P269" s="24" t="n"/>
    </row>
    <row r="270">
      <c r="A270" s="22" t="n"/>
      <c r="B270" s="23" t="n"/>
      <c r="C270" s="23" t="n"/>
      <c r="D270" s="23" t="n"/>
      <c r="E270" s="23" t="n"/>
      <c r="F270" s="23" t="n"/>
      <c r="G270" s="24" t="n"/>
      <c r="H270" s="23" t="n"/>
      <c r="I270" s="23" t="n"/>
      <c r="J270" s="25" t="n"/>
      <c r="K270" s="25" t="n"/>
      <c r="L270" s="25" t="n"/>
      <c r="M270" s="23" t="n"/>
      <c r="N270" s="26">
        <f>IF(OR(B270="",K270=""),"",IF(M270="Cancelada",0,IF(M270="Liberada",IF(L270="",0,MAX(0,L270-K270)),MAX(0,$B$3-K270))))</f>
        <v/>
      </c>
      <c r="O270" s="27">
        <f>IF(B270="","",IF(M270="Cancelada","Cancelada",IF(M270="Liberada",IF(N270&gt;0,"Liberada con atraso","Liberada a tiempo"),IF(K270="","Sin fecha requerida",IF($B$3&gt;K270,"Vencida",IF(K270-$B$3&lt;=7,"Por vencer","En plazo"))))))</f>
        <v/>
      </c>
      <c r="P270" s="24" t="n"/>
    </row>
    <row r="271">
      <c r="A271" s="22" t="n"/>
      <c r="B271" s="23" t="n"/>
      <c r="C271" s="23" t="n"/>
      <c r="D271" s="23" t="n"/>
      <c r="E271" s="23" t="n"/>
      <c r="F271" s="23" t="n"/>
      <c r="G271" s="24" t="n"/>
      <c r="H271" s="23" t="n"/>
      <c r="I271" s="23" t="n"/>
      <c r="J271" s="25" t="n"/>
      <c r="K271" s="25" t="n"/>
      <c r="L271" s="25" t="n"/>
      <c r="M271" s="23" t="n"/>
      <c r="N271" s="26">
        <f>IF(OR(B271="",K271=""),"",IF(M271="Cancelada",0,IF(M271="Liberada",IF(L271="",0,MAX(0,L271-K271)),MAX(0,$B$3-K271))))</f>
        <v/>
      </c>
      <c r="O271" s="27">
        <f>IF(B271="","",IF(M271="Cancelada","Cancelada",IF(M271="Liberada",IF(N271&gt;0,"Liberada con atraso","Liberada a tiempo"),IF(K271="","Sin fecha requerida",IF($B$3&gt;K271,"Vencida",IF(K271-$B$3&lt;=7,"Por vencer","En plazo"))))))</f>
        <v/>
      </c>
      <c r="P271" s="24" t="n"/>
    </row>
    <row r="272">
      <c r="A272" s="22" t="n"/>
      <c r="B272" s="23" t="n"/>
      <c r="C272" s="23" t="n"/>
      <c r="D272" s="23" t="n"/>
      <c r="E272" s="23" t="n"/>
      <c r="F272" s="23" t="n"/>
      <c r="G272" s="24" t="n"/>
      <c r="H272" s="23" t="n"/>
      <c r="I272" s="23" t="n"/>
      <c r="J272" s="25" t="n"/>
      <c r="K272" s="25" t="n"/>
      <c r="L272" s="25" t="n"/>
      <c r="M272" s="23" t="n"/>
      <c r="N272" s="26">
        <f>IF(OR(B272="",K272=""),"",IF(M272="Cancelada",0,IF(M272="Liberada",IF(L272="",0,MAX(0,L272-K272)),MAX(0,$B$3-K272))))</f>
        <v/>
      </c>
      <c r="O272" s="27">
        <f>IF(B272="","",IF(M272="Cancelada","Cancelada",IF(M272="Liberada",IF(N272&gt;0,"Liberada con atraso","Liberada a tiempo"),IF(K272="","Sin fecha requerida",IF($B$3&gt;K272,"Vencida",IF(K272-$B$3&lt;=7,"Por vencer","En plazo"))))))</f>
        <v/>
      </c>
      <c r="P272" s="24" t="n"/>
    </row>
    <row r="273">
      <c r="A273" s="22" t="n"/>
      <c r="B273" s="23" t="n"/>
      <c r="C273" s="23" t="n"/>
      <c r="D273" s="23" t="n"/>
      <c r="E273" s="23" t="n"/>
      <c r="F273" s="23" t="n"/>
      <c r="G273" s="24" t="n"/>
      <c r="H273" s="23" t="n"/>
      <c r="I273" s="23" t="n"/>
      <c r="J273" s="25" t="n"/>
      <c r="K273" s="25" t="n"/>
      <c r="L273" s="25" t="n"/>
      <c r="M273" s="23" t="n"/>
      <c r="N273" s="26">
        <f>IF(OR(B273="",K273=""),"",IF(M273="Cancelada",0,IF(M273="Liberada",IF(L273="",0,MAX(0,L273-K273)),MAX(0,$B$3-K273))))</f>
        <v/>
      </c>
      <c r="O273" s="27">
        <f>IF(B273="","",IF(M273="Cancelada","Cancelada",IF(M273="Liberada",IF(N273&gt;0,"Liberada con atraso","Liberada a tiempo"),IF(K273="","Sin fecha requerida",IF($B$3&gt;K273,"Vencida",IF(K273-$B$3&lt;=7,"Por vencer","En plazo"))))))</f>
        <v/>
      </c>
      <c r="P273" s="24" t="n"/>
    </row>
    <row r="274">
      <c r="A274" s="22" t="n"/>
      <c r="B274" s="23" t="n"/>
      <c r="C274" s="23" t="n"/>
      <c r="D274" s="23" t="n"/>
      <c r="E274" s="23" t="n"/>
      <c r="F274" s="23" t="n"/>
      <c r="G274" s="24" t="n"/>
      <c r="H274" s="23" t="n"/>
      <c r="I274" s="23" t="n"/>
      <c r="J274" s="25" t="n"/>
      <c r="K274" s="25" t="n"/>
      <c r="L274" s="25" t="n"/>
      <c r="M274" s="23" t="n"/>
      <c r="N274" s="26">
        <f>IF(OR(B274="",K274=""),"",IF(M274="Cancelada",0,IF(M274="Liberada",IF(L274="",0,MAX(0,L274-K274)),MAX(0,$B$3-K274))))</f>
        <v/>
      </c>
      <c r="O274" s="27">
        <f>IF(B274="","",IF(M274="Cancelada","Cancelada",IF(M274="Liberada",IF(N274&gt;0,"Liberada con atraso","Liberada a tiempo"),IF(K274="","Sin fecha requerida",IF($B$3&gt;K274,"Vencida",IF(K274-$B$3&lt;=7,"Por vencer","En plazo"))))))</f>
        <v/>
      </c>
      <c r="P274" s="24" t="n"/>
    </row>
    <row r="275">
      <c r="A275" s="22" t="n"/>
      <c r="B275" s="23" t="n"/>
      <c r="C275" s="23" t="n"/>
      <c r="D275" s="23" t="n"/>
      <c r="E275" s="23" t="n"/>
      <c r="F275" s="23" t="n"/>
      <c r="G275" s="24" t="n"/>
      <c r="H275" s="23" t="n"/>
      <c r="I275" s="23" t="n"/>
      <c r="J275" s="25" t="n"/>
      <c r="K275" s="25" t="n"/>
      <c r="L275" s="25" t="n"/>
      <c r="M275" s="23" t="n"/>
      <c r="N275" s="26">
        <f>IF(OR(B275="",K275=""),"",IF(M275="Cancelada",0,IF(M275="Liberada",IF(L275="",0,MAX(0,L275-K275)),MAX(0,$B$3-K275))))</f>
        <v/>
      </c>
      <c r="O275" s="27">
        <f>IF(B275="","",IF(M275="Cancelada","Cancelada",IF(M275="Liberada",IF(N275&gt;0,"Liberada con atraso","Liberada a tiempo"),IF(K275="","Sin fecha requerida",IF($B$3&gt;K275,"Vencida",IF(K275-$B$3&lt;=7,"Por vencer","En plazo"))))))</f>
        <v/>
      </c>
      <c r="P275" s="24" t="n"/>
    </row>
    <row r="276">
      <c r="A276" s="22" t="n"/>
      <c r="B276" s="23" t="n"/>
      <c r="C276" s="23" t="n"/>
      <c r="D276" s="23" t="n"/>
      <c r="E276" s="23" t="n"/>
      <c r="F276" s="23" t="n"/>
      <c r="G276" s="24" t="n"/>
      <c r="H276" s="23" t="n"/>
      <c r="I276" s="23" t="n"/>
      <c r="J276" s="25" t="n"/>
      <c r="K276" s="25" t="n"/>
      <c r="L276" s="25" t="n"/>
      <c r="M276" s="23" t="n"/>
      <c r="N276" s="26">
        <f>IF(OR(B276="",K276=""),"",IF(M276="Cancelada",0,IF(M276="Liberada",IF(L276="",0,MAX(0,L276-K276)),MAX(0,$B$3-K276))))</f>
        <v/>
      </c>
      <c r="O276" s="27">
        <f>IF(B276="","",IF(M276="Cancelada","Cancelada",IF(M276="Liberada",IF(N276&gt;0,"Liberada con atraso","Liberada a tiempo"),IF(K276="","Sin fecha requerida",IF($B$3&gt;K276,"Vencida",IF(K276-$B$3&lt;=7,"Por vencer","En plazo"))))))</f>
        <v/>
      </c>
      <c r="P276" s="24" t="n"/>
    </row>
    <row r="277">
      <c r="A277" s="22" t="n"/>
      <c r="B277" s="23" t="n"/>
      <c r="C277" s="23" t="n"/>
      <c r="D277" s="23" t="n"/>
      <c r="E277" s="23" t="n"/>
      <c r="F277" s="23" t="n"/>
      <c r="G277" s="24" t="n"/>
      <c r="H277" s="23" t="n"/>
      <c r="I277" s="23" t="n"/>
      <c r="J277" s="25" t="n"/>
      <c r="K277" s="25" t="n"/>
      <c r="L277" s="25" t="n"/>
      <c r="M277" s="23" t="n"/>
      <c r="N277" s="26">
        <f>IF(OR(B277="",K277=""),"",IF(M277="Cancelada",0,IF(M277="Liberada",IF(L277="",0,MAX(0,L277-K277)),MAX(0,$B$3-K277))))</f>
        <v/>
      </c>
      <c r="O277" s="27">
        <f>IF(B277="","",IF(M277="Cancelada","Cancelada",IF(M277="Liberada",IF(N277&gt;0,"Liberada con atraso","Liberada a tiempo"),IF(K277="","Sin fecha requerida",IF($B$3&gt;K277,"Vencida",IF(K277-$B$3&lt;=7,"Por vencer","En plazo"))))))</f>
        <v/>
      </c>
      <c r="P277" s="24" t="n"/>
    </row>
    <row r="278">
      <c r="A278" s="22" t="n"/>
      <c r="B278" s="23" t="n"/>
      <c r="C278" s="23" t="n"/>
      <c r="D278" s="23" t="n"/>
      <c r="E278" s="23" t="n"/>
      <c r="F278" s="23" t="n"/>
      <c r="G278" s="24" t="n"/>
      <c r="H278" s="23" t="n"/>
      <c r="I278" s="23" t="n"/>
      <c r="J278" s="25" t="n"/>
      <c r="K278" s="25" t="n"/>
      <c r="L278" s="25" t="n"/>
      <c r="M278" s="23" t="n"/>
      <c r="N278" s="26">
        <f>IF(OR(B278="",K278=""),"",IF(M278="Cancelada",0,IF(M278="Liberada",IF(L278="",0,MAX(0,L278-K278)),MAX(0,$B$3-K278))))</f>
        <v/>
      </c>
      <c r="O278" s="27">
        <f>IF(B278="","",IF(M278="Cancelada","Cancelada",IF(M278="Liberada",IF(N278&gt;0,"Liberada con atraso","Liberada a tiempo"),IF(K278="","Sin fecha requerida",IF($B$3&gt;K278,"Vencida",IF(K278-$B$3&lt;=7,"Por vencer","En plazo"))))))</f>
        <v/>
      </c>
      <c r="P278" s="24" t="n"/>
    </row>
    <row r="279">
      <c r="A279" s="22" t="n"/>
      <c r="B279" s="23" t="n"/>
      <c r="C279" s="23" t="n"/>
      <c r="D279" s="23" t="n"/>
      <c r="E279" s="23" t="n"/>
      <c r="F279" s="23" t="n"/>
      <c r="G279" s="24" t="n"/>
      <c r="H279" s="23" t="n"/>
      <c r="I279" s="23" t="n"/>
      <c r="J279" s="25" t="n"/>
      <c r="K279" s="25" t="n"/>
      <c r="L279" s="25" t="n"/>
      <c r="M279" s="23" t="n"/>
      <c r="N279" s="26">
        <f>IF(OR(B279="",K279=""),"",IF(M279="Cancelada",0,IF(M279="Liberada",IF(L279="",0,MAX(0,L279-K279)),MAX(0,$B$3-K279))))</f>
        <v/>
      </c>
      <c r="O279" s="27">
        <f>IF(B279="","",IF(M279="Cancelada","Cancelada",IF(M279="Liberada",IF(N279&gt;0,"Liberada con atraso","Liberada a tiempo"),IF(K279="","Sin fecha requerida",IF($B$3&gt;K279,"Vencida",IF(K279-$B$3&lt;=7,"Por vencer","En plazo"))))))</f>
        <v/>
      </c>
      <c r="P279" s="24" t="n"/>
    </row>
    <row r="280">
      <c r="A280" s="22" t="n"/>
      <c r="B280" s="23" t="n"/>
      <c r="C280" s="23" t="n"/>
      <c r="D280" s="23" t="n"/>
      <c r="E280" s="23" t="n"/>
      <c r="F280" s="23" t="n"/>
      <c r="G280" s="24" t="n"/>
      <c r="H280" s="23" t="n"/>
      <c r="I280" s="23" t="n"/>
      <c r="J280" s="25" t="n"/>
      <c r="K280" s="25" t="n"/>
      <c r="L280" s="25" t="n"/>
      <c r="M280" s="23" t="n"/>
      <c r="N280" s="26">
        <f>IF(OR(B280="",K280=""),"",IF(M280="Cancelada",0,IF(M280="Liberada",IF(L280="",0,MAX(0,L280-K280)),MAX(0,$B$3-K280))))</f>
        <v/>
      </c>
      <c r="O280" s="27">
        <f>IF(B280="","",IF(M280="Cancelada","Cancelada",IF(M280="Liberada",IF(N280&gt;0,"Liberada con atraso","Liberada a tiempo"),IF(K280="","Sin fecha requerida",IF($B$3&gt;K280,"Vencida",IF(K280-$B$3&lt;=7,"Por vencer","En plazo"))))))</f>
        <v/>
      </c>
      <c r="P280" s="24" t="n"/>
    </row>
    <row r="281">
      <c r="A281" s="22" t="n"/>
      <c r="B281" s="23" t="n"/>
      <c r="C281" s="23" t="n"/>
      <c r="D281" s="23" t="n"/>
      <c r="E281" s="23" t="n"/>
      <c r="F281" s="23" t="n"/>
      <c r="G281" s="24" t="n"/>
      <c r="H281" s="23" t="n"/>
      <c r="I281" s="23" t="n"/>
      <c r="J281" s="25" t="n"/>
      <c r="K281" s="25" t="n"/>
      <c r="L281" s="25" t="n"/>
      <c r="M281" s="23" t="n"/>
      <c r="N281" s="26">
        <f>IF(OR(B281="",K281=""),"",IF(M281="Cancelada",0,IF(M281="Liberada",IF(L281="",0,MAX(0,L281-K281)),MAX(0,$B$3-K281))))</f>
        <v/>
      </c>
      <c r="O281" s="27">
        <f>IF(B281="","",IF(M281="Cancelada","Cancelada",IF(M281="Liberada",IF(N281&gt;0,"Liberada con atraso","Liberada a tiempo"),IF(K281="","Sin fecha requerida",IF($B$3&gt;K281,"Vencida",IF(K281-$B$3&lt;=7,"Por vencer","En plazo"))))))</f>
        <v/>
      </c>
      <c r="P281" s="24" t="n"/>
    </row>
    <row r="282">
      <c r="A282" s="22" t="n"/>
      <c r="B282" s="23" t="n"/>
      <c r="C282" s="23" t="n"/>
      <c r="D282" s="23" t="n"/>
      <c r="E282" s="23" t="n"/>
      <c r="F282" s="23" t="n"/>
      <c r="G282" s="24" t="n"/>
      <c r="H282" s="23" t="n"/>
      <c r="I282" s="23" t="n"/>
      <c r="J282" s="25" t="n"/>
      <c r="K282" s="25" t="n"/>
      <c r="L282" s="25" t="n"/>
      <c r="M282" s="23" t="n"/>
      <c r="N282" s="26">
        <f>IF(OR(B282="",K282=""),"",IF(M282="Cancelada",0,IF(M282="Liberada",IF(L282="",0,MAX(0,L282-K282)),MAX(0,$B$3-K282))))</f>
        <v/>
      </c>
      <c r="O282" s="27">
        <f>IF(B282="","",IF(M282="Cancelada","Cancelada",IF(M282="Liberada",IF(N282&gt;0,"Liberada con atraso","Liberada a tiempo"),IF(K282="","Sin fecha requerida",IF($B$3&gt;K282,"Vencida",IF(K282-$B$3&lt;=7,"Por vencer","En plazo"))))))</f>
        <v/>
      </c>
      <c r="P282" s="24" t="n"/>
    </row>
    <row r="283">
      <c r="A283" s="22" t="n"/>
      <c r="B283" s="23" t="n"/>
      <c r="C283" s="23" t="n"/>
      <c r="D283" s="23" t="n"/>
      <c r="E283" s="23" t="n"/>
      <c r="F283" s="23" t="n"/>
      <c r="G283" s="24" t="n"/>
      <c r="H283" s="23" t="n"/>
      <c r="I283" s="23" t="n"/>
      <c r="J283" s="25" t="n"/>
      <c r="K283" s="25" t="n"/>
      <c r="L283" s="25" t="n"/>
      <c r="M283" s="23" t="n"/>
      <c r="N283" s="26">
        <f>IF(OR(B283="",K283=""),"",IF(M283="Cancelada",0,IF(M283="Liberada",IF(L283="",0,MAX(0,L283-K283)),MAX(0,$B$3-K283))))</f>
        <v/>
      </c>
      <c r="O283" s="27">
        <f>IF(B283="","",IF(M283="Cancelada","Cancelada",IF(M283="Liberada",IF(N283&gt;0,"Liberada con atraso","Liberada a tiempo"),IF(K283="","Sin fecha requerida",IF($B$3&gt;K283,"Vencida",IF(K283-$B$3&lt;=7,"Por vencer","En plazo"))))))</f>
        <v/>
      </c>
      <c r="P283" s="24" t="n"/>
    </row>
    <row r="284">
      <c r="A284" s="22" t="n"/>
      <c r="B284" s="23" t="n"/>
      <c r="C284" s="23" t="n"/>
      <c r="D284" s="23" t="n"/>
      <c r="E284" s="23" t="n"/>
      <c r="F284" s="23" t="n"/>
      <c r="G284" s="24" t="n"/>
      <c r="H284" s="23" t="n"/>
      <c r="I284" s="23" t="n"/>
      <c r="J284" s="25" t="n"/>
      <c r="K284" s="25" t="n"/>
      <c r="L284" s="25" t="n"/>
      <c r="M284" s="23" t="n"/>
      <c r="N284" s="26">
        <f>IF(OR(B284="",K284=""),"",IF(M284="Cancelada",0,IF(M284="Liberada",IF(L284="",0,MAX(0,L284-K284)),MAX(0,$B$3-K284))))</f>
        <v/>
      </c>
      <c r="O284" s="27">
        <f>IF(B284="","",IF(M284="Cancelada","Cancelada",IF(M284="Liberada",IF(N284&gt;0,"Liberada con atraso","Liberada a tiempo"),IF(K284="","Sin fecha requerida",IF($B$3&gt;K284,"Vencida",IF(K284-$B$3&lt;=7,"Por vencer","En plazo"))))))</f>
        <v/>
      </c>
      <c r="P284" s="24" t="n"/>
    </row>
    <row r="285">
      <c r="A285" s="22" t="n"/>
      <c r="B285" s="23" t="n"/>
      <c r="C285" s="23" t="n"/>
      <c r="D285" s="23" t="n"/>
      <c r="E285" s="23" t="n"/>
      <c r="F285" s="23" t="n"/>
      <c r="G285" s="24" t="n"/>
      <c r="H285" s="23" t="n"/>
      <c r="I285" s="23" t="n"/>
      <c r="J285" s="25" t="n"/>
      <c r="K285" s="25" t="n"/>
      <c r="L285" s="25" t="n"/>
      <c r="M285" s="23" t="n"/>
      <c r="N285" s="26">
        <f>IF(OR(B285="",K285=""),"",IF(M285="Cancelada",0,IF(M285="Liberada",IF(L285="",0,MAX(0,L285-K285)),MAX(0,$B$3-K285))))</f>
        <v/>
      </c>
      <c r="O285" s="27">
        <f>IF(B285="","",IF(M285="Cancelada","Cancelada",IF(M285="Liberada",IF(N285&gt;0,"Liberada con atraso","Liberada a tiempo"),IF(K285="","Sin fecha requerida",IF($B$3&gt;K285,"Vencida",IF(K285-$B$3&lt;=7,"Por vencer","En plazo"))))))</f>
        <v/>
      </c>
      <c r="P285" s="24" t="n"/>
    </row>
    <row r="286">
      <c r="A286" s="22" t="n"/>
      <c r="B286" s="23" t="n"/>
      <c r="C286" s="23" t="n"/>
      <c r="D286" s="23" t="n"/>
      <c r="E286" s="23" t="n"/>
      <c r="F286" s="23" t="n"/>
      <c r="G286" s="24" t="n"/>
      <c r="H286" s="23" t="n"/>
      <c r="I286" s="23" t="n"/>
      <c r="J286" s="25" t="n"/>
      <c r="K286" s="25" t="n"/>
      <c r="L286" s="25" t="n"/>
      <c r="M286" s="23" t="n"/>
      <c r="N286" s="26">
        <f>IF(OR(B286="",K286=""),"",IF(M286="Cancelada",0,IF(M286="Liberada",IF(L286="",0,MAX(0,L286-K286)),MAX(0,$B$3-K286))))</f>
        <v/>
      </c>
      <c r="O286" s="27">
        <f>IF(B286="","",IF(M286="Cancelada","Cancelada",IF(M286="Liberada",IF(N286&gt;0,"Liberada con atraso","Liberada a tiempo"),IF(K286="","Sin fecha requerida",IF($B$3&gt;K286,"Vencida",IF(K286-$B$3&lt;=7,"Por vencer","En plazo"))))))</f>
        <v/>
      </c>
      <c r="P286" s="24" t="n"/>
    </row>
    <row r="287">
      <c r="A287" s="22" t="n"/>
      <c r="B287" s="23" t="n"/>
      <c r="C287" s="23" t="n"/>
      <c r="D287" s="23" t="n"/>
      <c r="E287" s="23" t="n"/>
      <c r="F287" s="23" t="n"/>
      <c r="G287" s="24" t="n"/>
      <c r="H287" s="23" t="n"/>
      <c r="I287" s="23" t="n"/>
      <c r="J287" s="25" t="n"/>
      <c r="K287" s="25" t="n"/>
      <c r="L287" s="25" t="n"/>
      <c r="M287" s="23" t="n"/>
      <c r="N287" s="26">
        <f>IF(OR(B287="",K287=""),"",IF(M287="Cancelada",0,IF(M287="Liberada",IF(L287="",0,MAX(0,L287-K287)),MAX(0,$B$3-K287))))</f>
        <v/>
      </c>
      <c r="O287" s="27">
        <f>IF(B287="","",IF(M287="Cancelada","Cancelada",IF(M287="Liberada",IF(N287&gt;0,"Liberada con atraso","Liberada a tiempo"),IF(K287="","Sin fecha requerida",IF($B$3&gt;K287,"Vencida",IF(K287-$B$3&lt;=7,"Por vencer","En plazo"))))))</f>
        <v/>
      </c>
      <c r="P287" s="24" t="n"/>
    </row>
    <row r="288">
      <c r="A288" s="22" t="n"/>
      <c r="B288" s="23" t="n"/>
      <c r="C288" s="23" t="n"/>
      <c r="D288" s="23" t="n"/>
      <c r="E288" s="23" t="n"/>
      <c r="F288" s="23" t="n"/>
      <c r="G288" s="24" t="n"/>
      <c r="H288" s="23" t="n"/>
      <c r="I288" s="23" t="n"/>
      <c r="J288" s="25" t="n"/>
      <c r="K288" s="25" t="n"/>
      <c r="L288" s="25" t="n"/>
      <c r="M288" s="23" t="n"/>
      <c r="N288" s="26">
        <f>IF(OR(B288="",K288=""),"",IF(M288="Cancelada",0,IF(M288="Liberada",IF(L288="",0,MAX(0,L288-K288)),MAX(0,$B$3-K288))))</f>
        <v/>
      </c>
      <c r="O288" s="27">
        <f>IF(B288="","",IF(M288="Cancelada","Cancelada",IF(M288="Liberada",IF(N288&gt;0,"Liberada con atraso","Liberada a tiempo"),IF(K288="","Sin fecha requerida",IF($B$3&gt;K288,"Vencida",IF(K288-$B$3&lt;=7,"Por vencer","En plazo"))))))</f>
        <v/>
      </c>
      <c r="P288" s="24" t="n"/>
    </row>
    <row r="289">
      <c r="A289" s="22" t="n"/>
      <c r="B289" s="23" t="n"/>
      <c r="C289" s="23" t="n"/>
      <c r="D289" s="23" t="n"/>
      <c r="E289" s="23" t="n"/>
      <c r="F289" s="23" t="n"/>
      <c r="G289" s="24" t="n"/>
      <c r="H289" s="23" t="n"/>
      <c r="I289" s="23" t="n"/>
      <c r="J289" s="25" t="n"/>
      <c r="K289" s="25" t="n"/>
      <c r="L289" s="25" t="n"/>
      <c r="M289" s="23" t="n"/>
      <c r="N289" s="26">
        <f>IF(OR(B289="",K289=""),"",IF(M289="Cancelada",0,IF(M289="Liberada",IF(L289="",0,MAX(0,L289-K289)),MAX(0,$B$3-K289))))</f>
        <v/>
      </c>
      <c r="O289" s="27">
        <f>IF(B289="","",IF(M289="Cancelada","Cancelada",IF(M289="Liberada",IF(N289&gt;0,"Liberada con atraso","Liberada a tiempo"),IF(K289="","Sin fecha requerida",IF($B$3&gt;K289,"Vencida",IF(K289-$B$3&lt;=7,"Por vencer","En plazo"))))))</f>
        <v/>
      </c>
      <c r="P289" s="24" t="n"/>
    </row>
    <row r="290">
      <c r="A290" s="22" t="n"/>
      <c r="B290" s="23" t="n"/>
      <c r="C290" s="23" t="n"/>
      <c r="D290" s="23" t="n"/>
      <c r="E290" s="23" t="n"/>
      <c r="F290" s="23" t="n"/>
      <c r="G290" s="24" t="n"/>
      <c r="H290" s="23" t="n"/>
      <c r="I290" s="23" t="n"/>
      <c r="J290" s="25" t="n"/>
      <c r="K290" s="25" t="n"/>
      <c r="L290" s="25" t="n"/>
      <c r="M290" s="23" t="n"/>
      <c r="N290" s="26">
        <f>IF(OR(B290="",K290=""),"",IF(M290="Cancelada",0,IF(M290="Liberada",IF(L290="",0,MAX(0,L290-K290)),MAX(0,$B$3-K290))))</f>
        <v/>
      </c>
      <c r="O290" s="27">
        <f>IF(B290="","",IF(M290="Cancelada","Cancelada",IF(M290="Liberada",IF(N290&gt;0,"Liberada con atraso","Liberada a tiempo"),IF(K290="","Sin fecha requerida",IF($B$3&gt;K290,"Vencida",IF(K290-$B$3&lt;=7,"Por vencer","En plazo"))))))</f>
        <v/>
      </c>
      <c r="P290" s="24" t="n"/>
    </row>
    <row r="291">
      <c r="A291" s="22" t="n"/>
      <c r="B291" s="23" t="n"/>
      <c r="C291" s="23" t="n"/>
      <c r="D291" s="23" t="n"/>
      <c r="E291" s="23" t="n"/>
      <c r="F291" s="23" t="n"/>
      <c r="G291" s="24" t="n"/>
      <c r="H291" s="23" t="n"/>
      <c r="I291" s="23" t="n"/>
      <c r="J291" s="25" t="n"/>
      <c r="K291" s="25" t="n"/>
      <c r="L291" s="25" t="n"/>
      <c r="M291" s="23" t="n"/>
      <c r="N291" s="26">
        <f>IF(OR(B291="",K291=""),"",IF(M291="Cancelada",0,IF(M291="Liberada",IF(L291="",0,MAX(0,L291-K291)),MAX(0,$B$3-K291))))</f>
        <v/>
      </c>
      <c r="O291" s="27">
        <f>IF(B291="","",IF(M291="Cancelada","Cancelada",IF(M291="Liberada",IF(N291&gt;0,"Liberada con atraso","Liberada a tiempo"),IF(K291="","Sin fecha requerida",IF($B$3&gt;K291,"Vencida",IF(K291-$B$3&lt;=7,"Por vencer","En plazo"))))))</f>
        <v/>
      </c>
      <c r="P291" s="24" t="n"/>
    </row>
    <row r="292">
      <c r="A292" s="22" t="n"/>
      <c r="B292" s="23" t="n"/>
      <c r="C292" s="23" t="n"/>
      <c r="D292" s="23" t="n"/>
      <c r="E292" s="23" t="n"/>
      <c r="F292" s="23" t="n"/>
      <c r="G292" s="24" t="n"/>
      <c r="H292" s="23" t="n"/>
      <c r="I292" s="23" t="n"/>
      <c r="J292" s="25" t="n"/>
      <c r="K292" s="25" t="n"/>
      <c r="L292" s="25" t="n"/>
      <c r="M292" s="23" t="n"/>
      <c r="N292" s="26">
        <f>IF(OR(B292="",K292=""),"",IF(M292="Cancelada",0,IF(M292="Liberada",IF(L292="",0,MAX(0,L292-K292)),MAX(0,$B$3-K292))))</f>
        <v/>
      </c>
      <c r="O292" s="27">
        <f>IF(B292="","",IF(M292="Cancelada","Cancelada",IF(M292="Liberada",IF(N292&gt;0,"Liberada con atraso","Liberada a tiempo"),IF(K292="","Sin fecha requerida",IF($B$3&gt;K292,"Vencida",IF(K292-$B$3&lt;=7,"Por vencer","En plazo"))))))</f>
        <v/>
      </c>
      <c r="P292" s="24" t="n"/>
    </row>
    <row r="293">
      <c r="A293" s="22" t="n"/>
      <c r="B293" s="23" t="n"/>
      <c r="C293" s="23" t="n"/>
      <c r="D293" s="23" t="n"/>
      <c r="E293" s="23" t="n"/>
      <c r="F293" s="23" t="n"/>
      <c r="G293" s="24" t="n"/>
      <c r="H293" s="23" t="n"/>
      <c r="I293" s="23" t="n"/>
      <c r="J293" s="25" t="n"/>
      <c r="K293" s="25" t="n"/>
      <c r="L293" s="25" t="n"/>
      <c r="M293" s="23" t="n"/>
      <c r="N293" s="26">
        <f>IF(OR(B293="",K293=""),"",IF(M293="Cancelada",0,IF(M293="Liberada",IF(L293="",0,MAX(0,L293-K293)),MAX(0,$B$3-K293))))</f>
        <v/>
      </c>
      <c r="O293" s="27">
        <f>IF(B293="","",IF(M293="Cancelada","Cancelada",IF(M293="Liberada",IF(N293&gt;0,"Liberada con atraso","Liberada a tiempo"),IF(K293="","Sin fecha requerida",IF($B$3&gt;K293,"Vencida",IF(K293-$B$3&lt;=7,"Por vencer","En plazo"))))))</f>
        <v/>
      </c>
      <c r="P293" s="24" t="n"/>
    </row>
    <row r="294">
      <c r="A294" s="22" t="n"/>
      <c r="B294" s="23" t="n"/>
      <c r="C294" s="23" t="n"/>
      <c r="D294" s="23" t="n"/>
      <c r="E294" s="23" t="n"/>
      <c r="F294" s="23" t="n"/>
      <c r="G294" s="24" t="n"/>
      <c r="H294" s="23" t="n"/>
      <c r="I294" s="23" t="n"/>
      <c r="J294" s="25" t="n"/>
      <c r="K294" s="25" t="n"/>
      <c r="L294" s="25" t="n"/>
      <c r="M294" s="23" t="n"/>
      <c r="N294" s="26">
        <f>IF(OR(B294="",K294=""),"",IF(M294="Cancelada",0,IF(M294="Liberada",IF(L294="",0,MAX(0,L294-K294)),MAX(0,$B$3-K294))))</f>
        <v/>
      </c>
      <c r="O294" s="27">
        <f>IF(B294="","",IF(M294="Cancelada","Cancelada",IF(M294="Liberada",IF(N294&gt;0,"Liberada con atraso","Liberada a tiempo"),IF(K294="","Sin fecha requerida",IF($B$3&gt;K294,"Vencida",IF(K294-$B$3&lt;=7,"Por vencer","En plazo"))))))</f>
        <v/>
      </c>
      <c r="P294" s="24" t="n"/>
    </row>
    <row r="295">
      <c r="A295" s="22" t="n"/>
      <c r="B295" s="23" t="n"/>
      <c r="C295" s="23" t="n"/>
      <c r="D295" s="23" t="n"/>
      <c r="E295" s="23" t="n"/>
      <c r="F295" s="23" t="n"/>
      <c r="G295" s="24" t="n"/>
      <c r="H295" s="23" t="n"/>
      <c r="I295" s="23" t="n"/>
      <c r="J295" s="25" t="n"/>
      <c r="K295" s="25" t="n"/>
      <c r="L295" s="25" t="n"/>
      <c r="M295" s="23" t="n"/>
      <c r="N295" s="26">
        <f>IF(OR(B295="",K295=""),"",IF(M295="Cancelada",0,IF(M295="Liberada",IF(L295="",0,MAX(0,L295-K295)),MAX(0,$B$3-K295))))</f>
        <v/>
      </c>
      <c r="O295" s="27">
        <f>IF(B295="","",IF(M295="Cancelada","Cancelada",IF(M295="Liberada",IF(N295&gt;0,"Liberada con atraso","Liberada a tiempo"),IF(K295="","Sin fecha requerida",IF($B$3&gt;K295,"Vencida",IF(K295-$B$3&lt;=7,"Por vencer","En plazo"))))))</f>
        <v/>
      </c>
      <c r="P295" s="24" t="n"/>
    </row>
    <row r="296">
      <c r="A296" s="22" t="n"/>
      <c r="B296" s="23" t="n"/>
      <c r="C296" s="23" t="n"/>
      <c r="D296" s="23" t="n"/>
      <c r="E296" s="23" t="n"/>
      <c r="F296" s="23" t="n"/>
      <c r="G296" s="24" t="n"/>
      <c r="H296" s="23" t="n"/>
      <c r="I296" s="23" t="n"/>
      <c r="J296" s="25" t="n"/>
      <c r="K296" s="25" t="n"/>
      <c r="L296" s="25" t="n"/>
      <c r="M296" s="23" t="n"/>
      <c r="N296" s="26">
        <f>IF(OR(B296="",K296=""),"",IF(M296="Cancelada",0,IF(M296="Liberada",IF(L296="",0,MAX(0,L296-K296)),MAX(0,$B$3-K296))))</f>
        <v/>
      </c>
      <c r="O296" s="27">
        <f>IF(B296="","",IF(M296="Cancelada","Cancelada",IF(M296="Liberada",IF(N296&gt;0,"Liberada con atraso","Liberada a tiempo"),IF(K296="","Sin fecha requerida",IF($B$3&gt;K296,"Vencida",IF(K296-$B$3&lt;=7,"Por vencer","En plazo"))))))</f>
        <v/>
      </c>
      <c r="P296" s="24" t="n"/>
    </row>
    <row r="297">
      <c r="A297" s="22" t="n"/>
      <c r="B297" s="23" t="n"/>
      <c r="C297" s="23" t="n"/>
      <c r="D297" s="23" t="n"/>
      <c r="E297" s="23" t="n"/>
      <c r="F297" s="23" t="n"/>
      <c r="G297" s="24" t="n"/>
      <c r="H297" s="23" t="n"/>
      <c r="I297" s="23" t="n"/>
      <c r="J297" s="25" t="n"/>
      <c r="K297" s="25" t="n"/>
      <c r="L297" s="25" t="n"/>
      <c r="M297" s="23" t="n"/>
      <c r="N297" s="26">
        <f>IF(OR(B297="",K297=""),"",IF(M297="Cancelada",0,IF(M297="Liberada",IF(L297="",0,MAX(0,L297-K297)),MAX(0,$B$3-K297))))</f>
        <v/>
      </c>
      <c r="O297" s="27">
        <f>IF(B297="","",IF(M297="Cancelada","Cancelada",IF(M297="Liberada",IF(N297&gt;0,"Liberada con atraso","Liberada a tiempo"),IF(K297="","Sin fecha requerida",IF($B$3&gt;K297,"Vencida",IF(K297-$B$3&lt;=7,"Por vencer","En plazo"))))))</f>
        <v/>
      </c>
      <c r="P297" s="24" t="n"/>
    </row>
    <row r="298">
      <c r="A298" s="22" t="n"/>
      <c r="B298" s="23" t="n"/>
      <c r="C298" s="23" t="n"/>
      <c r="D298" s="23" t="n"/>
      <c r="E298" s="23" t="n"/>
      <c r="F298" s="23" t="n"/>
      <c r="G298" s="24" t="n"/>
      <c r="H298" s="23" t="n"/>
      <c r="I298" s="23" t="n"/>
      <c r="J298" s="25" t="n"/>
      <c r="K298" s="25" t="n"/>
      <c r="L298" s="25" t="n"/>
      <c r="M298" s="23" t="n"/>
      <c r="N298" s="26">
        <f>IF(OR(B298="",K298=""),"",IF(M298="Cancelada",0,IF(M298="Liberada",IF(L298="",0,MAX(0,L298-K298)),MAX(0,$B$3-K298))))</f>
        <v/>
      </c>
      <c r="O298" s="27">
        <f>IF(B298="","",IF(M298="Cancelada","Cancelada",IF(M298="Liberada",IF(N298&gt;0,"Liberada con atraso","Liberada a tiempo"),IF(K298="","Sin fecha requerida",IF($B$3&gt;K298,"Vencida",IF(K298-$B$3&lt;=7,"Por vencer","En plazo"))))))</f>
        <v/>
      </c>
      <c r="P298" s="24" t="n"/>
    </row>
    <row r="299">
      <c r="A299" s="22" t="n"/>
      <c r="B299" s="23" t="n"/>
      <c r="C299" s="23" t="n"/>
      <c r="D299" s="23" t="n"/>
      <c r="E299" s="23" t="n"/>
      <c r="F299" s="23" t="n"/>
      <c r="G299" s="24" t="n"/>
      <c r="H299" s="23" t="n"/>
      <c r="I299" s="23" t="n"/>
      <c r="J299" s="25" t="n"/>
      <c r="K299" s="25" t="n"/>
      <c r="L299" s="25" t="n"/>
      <c r="M299" s="23" t="n"/>
      <c r="N299" s="26">
        <f>IF(OR(B299="",K299=""),"",IF(M299="Cancelada",0,IF(M299="Liberada",IF(L299="",0,MAX(0,L299-K299)),MAX(0,$B$3-K299))))</f>
        <v/>
      </c>
      <c r="O299" s="27">
        <f>IF(B299="","",IF(M299="Cancelada","Cancelada",IF(M299="Liberada",IF(N299&gt;0,"Liberada con atraso","Liberada a tiempo"),IF(K299="","Sin fecha requerida",IF($B$3&gt;K299,"Vencida",IF(K299-$B$3&lt;=7,"Por vencer","En plazo"))))))</f>
        <v/>
      </c>
      <c r="P299" s="24" t="n"/>
    </row>
    <row r="300">
      <c r="A300" s="22" t="n"/>
      <c r="B300" s="23" t="n"/>
      <c r="C300" s="23" t="n"/>
      <c r="D300" s="23" t="n"/>
      <c r="E300" s="23" t="n"/>
      <c r="F300" s="23" t="n"/>
      <c r="G300" s="24" t="n"/>
      <c r="H300" s="23" t="n"/>
      <c r="I300" s="23" t="n"/>
      <c r="J300" s="25" t="n"/>
      <c r="K300" s="25" t="n"/>
      <c r="L300" s="25" t="n"/>
      <c r="M300" s="23" t="n"/>
      <c r="N300" s="26">
        <f>IF(OR(B300="",K300=""),"",IF(M300="Cancelada",0,IF(M300="Liberada",IF(L300="",0,MAX(0,L300-K300)),MAX(0,$B$3-K300))))</f>
        <v/>
      </c>
      <c r="O300" s="27">
        <f>IF(B300="","",IF(M300="Cancelada","Cancelada",IF(M300="Liberada",IF(N300&gt;0,"Liberada con atraso","Liberada a tiempo"),IF(K300="","Sin fecha requerida",IF($B$3&gt;K300,"Vencida",IF(K300-$B$3&lt;=7,"Por vencer","En plazo"))))))</f>
        <v/>
      </c>
      <c r="P300" s="24" t="n"/>
    </row>
    <row r="301">
      <c r="A301" s="22" t="n"/>
      <c r="B301" s="23" t="n"/>
      <c r="C301" s="23" t="n"/>
      <c r="D301" s="23" t="n"/>
      <c r="E301" s="23" t="n"/>
      <c r="F301" s="23" t="n"/>
      <c r="G301" s="24" t="n"/>
      <c r="H301" s="23" t="n"/>
      <c r="I301" s="23" t="n"/>
      <c r="J301" s="25" t="n"/>
      <c r="K301" s="25" t="n"/>
      <c r="L301" s="25" t="n"/>
      <c r="M301" s="23" t="n"/>
      <c r="N301" s="26">
        <f>IF(OR(B301="",K301=""),"",IF(M301="Cancelada",0,IF(M301="Liberada",IF(L301="",0,MAX(0,L301-K301)),MAX(0,$B$3-K301))))</f>
        <v/>
      </c>
      <c r="O301" s="27">
        <f>IF(B301="","",IF(M301="Cancelada","Cancelada",IF(M301="Liberada",IF(N301&gt;0,"Liberada con atraso","Liberada a tiempo"),IF(K301="","Sin fecha requerida",IF($B$3&gt;K301,"Vencida",IF(K301-$B$3&lt;=7,"Por vencer","En plazo"))))))</f>
        <v/>
      </c>
      <c r="P301" s="24" t="n"/>
    </row>
    <row r="302">
      <c r="A302" s="22" t="n"/>
      <c r="B302" s="23" t="n"/>
      <c r="C302" s="23" t="n"/>
      <c r="D302" s="23" t="n"/>
      <c r="E302" s="23" t="n"/>
      <c r="F302" s="23" t="n"/>
      <c r="G302" s="24" t="n"/>
      <c r="H302" s="23" t="n"/>
      <c r="I302" s="23" t="n"/>
      <c r="J302" s="25" t="n"/>
      <c r="K302" s="25" t="n"/>
      <c r="L302" s="25" t="n"/>
      <c r="M302" s="23" t="n"/>
      <c r="N302" s="26">
        <f>IF(OR(B302="",K302=""),"",IF(M302="Cancelada",0,IF(M302="Liberada",IF(L302="",0,MAX(0,L302-K302)),MAX(0,$B$3-K302))))</f>
        <v/>
      </c>
      <c r="O302" s="27">
        <f>IF(B302="","",IF(M302="Cancelada","Cancelada",IF(M302="Liberada",IF(N302&gt;0,"Liberada con atraso","Liberada a tiempo"),IF(K302="","Sin fecha requerida",IF($B$3&gt;K302,"Vencida",IF(K302-$B$3&lt;=7,"Por vencer","En plazo"))))))</f>
        <v/>
      </c>
      <c r="P302" s="24" t="n"/>
    </row>
    <row r="303">
      <c r="A303" s="22" t="n"/>
      <c r="B303" s="23" t="n"/>
      <c r="C303" s="23" t="n"/>
      <c r="D303" s="23" t="n"/>
      <c r="E303" s="23" t="n"/>
      <c r="F303" s="23" t="n"/>
      <c r="G303" s="24" t="n"/>
      <c r="H303" s="23" t="n"/>
      <c r="I303" s="23" t="n"/>
      <c r="J303" s="25" t="n"/>
      <c r="K303" s="25" t="n"/>
      <c r="L303" s="25" t="n"/>
      <c r="M303" s="23" t="n"/>
      <c r="N303" s="26">
        <f>IF(OR(B303="",K303=""),"",IF(M303="Cancelada",0,IF(M303="Liberada",IF(L303="",0,MAX(0,L303-K303)),MAX(0,$B$3-K303))))</f>
        <v/>
      </c>
      <c r="O303" s="27">
        <f>IF(B303="","",IF(M303="Cancelada","Cancelada",IF(M303="Liberada",IF(N303&gt;0,"Liberada con atraso","Liberada a tiempo"),IF(K303="","Sin fecha requerida",IF($B$3&gt;K303,"Vencida",IF(K303-$B$3&lt;=7,"Por vencer","En plazo"))))))</f>
        <v/>
      </c>
      <c r="P303" s="24" t="n"/>
    </row>
    <row r="304">
      <c r="A304" s="22" t="n"/>
      <c r="B304" s="23" t="n"/>
      <c r="C304" s="23" t="n"/>
      <c r="D304" s="23" t="n"/>
      <c r="E304" s="23" t="n"/>
      <c r="F304" s="23" t="n"/>
      <c r="G304" s="24" t="n"/>
      <c r="H304" s="23" t="n"/>
      <c r="I304" s="23" t="n"/>
      <c r="J304" s="25" t="n"/>
      <c r="K304" s="25" t="n"/>
      <c r="L304" s="25" t="n"/>
      <c r="M304" s="23" t="n"/>
      <c r="N304" s="26">
        <f>IF(OR(B304="",K304=""),"",IF(M304="Cancelada",0,IF(M304="Liberada",IF(L304="",0,MAX(0,L304-K304)),MAX(0,$B$3-K304))))</f>
        <v/>
      </c>
      <c r="O304" s="27">
        <f>IF(B304="","",IF(M304="Cancelada","Cancelada",IF(M304="Liberada",IF(N304&gt;0,"Liberada con atraso","Liberada a tiempo"),IF(K304="","Sin fecha requerida",IF($B$3&gt;K304,"Vencida",IF(K304-$B$3&lt;=7,"Por vencer","En plazo"))))))</f>
        <v/>
      </c>
      <c r="P304" s="24" t="n"/>
    </row>
    <row r="305">
      <c r="A305" s="22" t="n"/>
      <c r="B305" s="23" t="n"/>
      <c r="C305" s="23" t="n"/>
      <c r="D305" s="23" t="n"/>
      <c r="E305" s="23" t="n"/>
      <c r="F305" s="23" t="n"/>
      <c r="G305" s="24" t="n"/>
      <c r="H305" s="23" t="n"/>
      <c r="I305" s="23" t="n"/>
      <c r="J305" s="25" t="n"/>
      <c r="K305" s="25" t="n"/>
      <c r="L305" s="25" t="n"/>
      <c r="M305" s="23" t="n"/>
      <c r="N305" s="26">
        <f>IF(OR(B305="",K305=""),"",IF(M305="Cancelada",0,IF(M305="Liberada",IF(L305="",0,MAX(0,L305-K305)),MAX(0,$B$3-K305))))</f>
        <v/>
      </c>
      <c r="O305" s="27">
        <f>IF(B305="","",IF(M305="Cancelada","Cancelada",IF(M305="Liberada",IF(N305&gt;0,"Liberada con atraso","Liberada a tiempo"),IF(K305="","Sin fecha requerida",IF($B$3&gt;K305,"Vencida",IF(K305-$B$3&lt;=7,"Por vencer","En plazo"))))))</f>
        <v/>
      </c>
      <c r="P305" s="24" t="n"/>
    </row>
  </sheetData>
  <autoFilter ref="A5:P305"/>
  <conditionalFormatting sqref="A6:P305">
    <cfRule type="expression" priority="1" dxfId="0" stopIfTrue="1">
      <formula>$O6="Vencida"</formula>
    </cfRule>
    <cfRule type="expression" priority="2" dxfId="1" stopIfTrue="1">
      <formula>$O6="Por vencer"</formula>
    </cfRule>
  </conditionalFormatting>
  <conditionalFormatting sqref="O6:O305">
    <cfRule type="expression" priority="3" dxfId="2" stopIfTrue="1">
      <formula>OR($O6="Liberada a tiempo",$O6="Liberada con atraso")</formula>
    </cfRule>
  </conditionalFormatting>
  <dataValidations count="4">
    <dataValidation sqref="C6:C305" showDropDown="0" showInputMessage="0" showErrorMessage="1" allowBlank="1" errorTitle="Valor no válido" error="Seleccione un valor de la lista." prompt="Seleccione fase del proyecto" type="list">
      <formula1>=Fases</formula1>
    </dataValidation>
    <dataValidation sqref="F6:F305" showDropDown="0" showInputMessage="0" showErrorMessage="1" allowBlank="1" errorTitle="Valor no válido" error="Seleccione un valor de la lista." prompt="Seleccione tipo de restricción" type="list">
      <formula1>=TiposRestriccion</formula1>
    </dataValidation>
    <dataValidation sqref="H6:H305" showDropDown="0" showInputMessage="0" showErrorMessage="1" allowBlank="1" errorTitle="Valor no válido" error="Seleccione un valor de la lista." prompt="Seleccione responsable (rol)" type="list">
      <formula1>=Roles</formula1>
    </dataValidation>
    <dataValidation sqref="M6:M305" showDropDown="0" showInputMessage="0" showErrorMessage="1" allowBlank="1" errorTitle="Valor no válido" error="Seleccione un valor de la lista." prompt="Seleccione estado" type="list">
      <formula1>=EstadosRestriccion</formula1>
    </dataValidation>
  </dataValidations>
  <printOptions horizontalCentered="1"/>
  <pageMargins left="0.4" right="0.4" top="0.6" bottom="0.6" header="0.5" footer="0.5"/>
  <pageSetup orientation="landscape" paperSize="9" fitToHeight="0" fitToWidth="1"/>
  <headerFooter>
    <oddHeader>&amp;L&amp;8 Kit de implementación AWP&amp;R&amp;8 Registro de restricciones</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4"/>
  <sheetViews>
    <sheetView tabSelected="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4" customHeight="1">
      <c r="A1" s="11" t="inlineStr">
        <is>
          <t>Resumen de restricciones</t>
        </is>
      </c>
    </row>
    <row r="2">
      <c r="A2" s="2" t="inlineStr">
        <is>
          <t>Proyecto Tipo (PT) – Complejo de instalaciones en tres fases. Se calcula automáticamente a partir de la hoja «Registro».</t>
        </is>
      </c>
    </row>
    <row r="4">
      <c r="A4" s="5" t="inlineStr">
        <is>
          <t>Por fase del proyecto</t>
        </is>
      </c>
    </row>
    <row r="5" ht="32" customHeight="1">
      <c r="A5" s="14" t="inlineStr"/>
      <c r="B5" s="14" t="inlineStr">
        <is>
          <t>Abierta</t>
        </is>
      </c>
      <c r="C5" s="14" t="inlineStr">
        <is>
          <t>En gestión</t>
        </is>
      </c>
      <c r="D5" s="14" t="inlineStr">
        <is>
          <t>Liberada</t>
        </is>
      </c>
      <c r="E5" s="14" t="inlineStr">
        <is>
          <t>Cancelada</t>
        </is>
      </c>
      <c r="F5" s="14" t="inlineStr">
        <is>
          <t>Total</t>
        </is>
      </c>
      <c r="G5" s="14" t="inlineStr">
        <is>
          <t>Vencidas</t>
        </is>
      </c>
      <c r="H5" s="14" t="inlineStr">
        <is>
          <t>Por vencer (≤ 7 días)</t>
        </is>
      </c>
      <c r="I5" s="14" t="inlineStr">
        <is>
          <t>Atraso promedio de vencidas (días)</t>
        </is>
      </c>
      <c r="J5" s="14" t="inlineStr">
        <is>
          <t>% liberadas a tiempo</t>
        </is>
      </c>
    </row>
    <row r="6">
      <c r="A6" s="28" t="inlineStr">
        <is>
          <t>Fase 1</t>
        </is>
      </c>
      <c r="B6" s="29">
        <f>COUNTIFS(Registro!$C$6:$C$305,$A6,Registro!$M$6:$M$305,"Abierta")</f>
        <v/>
      </c>
      <c r="C6" s="29">
        <f>COUNTIFS(Registro!$C$6:$C$305,$A6,Registro!$M$6:$M$305,"En gestión")</f>
        <v/>
      </c>
      <c r="D6" s="29">
        <f>COUNTIFS(Registro!$C$6:$C$305,$A6,Registro!$M$6:$M$305,"Liberada")</f>
        <v/>
      </c>
      <c r="E6" s="29">
        <f>COUNTIFS(Registro!$C$6:$C$305,$A6,Registro!$M$6:$M$305,"Cancelada")</f>
        <v/>
      </c>
      <c r="F6" s="29">
        <f>COUNTIFS(Registro!$C$6:$C$305,$A6,Registro!$B$6:$B$305,"&lt;&gt;")</f>
        <v/>
      </c>
      <c r="G6" s="29">
        <f>COUNTIFS(Registro!$C$6:$C$305,$A6,Registro!$O$6:$O$305,"Vencida")</f>
        <v/>
      </c>
      <c r="H6" s="29">
        <f>COUNTIFS(Registro!$C$6:$C$305,$A6,Registro!$O$6:$O$305,"Por vencer")</f>
        <v/>
      </c>
      <c r="I6" s="30">
        <f>IFERROR(AVERAGEIFS(Registro!$N$6:$N$305,Registro!$C$6:$C$305,$A6,Registro!$O$6:$O$305,"Vencida"),0)</f>
        <v/>
      </c>
      <c r="J6" s="31">
        <f>IFERROR(COUNTIFS(Registro!$C$6:$C$305,$A6,Registro!$O$6:$O$305,"Liberada a tiempo")/COUNTIFS(Registro!$C$6:$C$305,$A6,Registro!$M$6:$M$305,"Liberada"),"")</f>
        <v/>
      </c>
    </row>
    <row r="7">
      <c r="A7" s="28" t="inlineStr">
        <is>
          <t>Fase 2</t>
        </is>
      </c>
      <c r="B7" s="29">
        <f>COUNTIFS(Registro!$C$6:$C$305,$A7,Registro!$M$6:$M$305,"Abierta")</f>
        <v/>
      </c>
      <c r="C7" s="29">
        <f>COUNTIFS(Registro!$C$6:$C$305,$A7,Registro!$M$6:$M$305,"En gestión")</f>
        <v/>
      </c>
      <c r="D7" s="29">
        <f>COUNTIFS(Registro!$C$6:$C$305,$A7,Registro!$M$6:$M$305,"Liberada")</f>
        <v/>
      </c>
      <c r="E7" s="29">
        <f>COUNTIFS(Registro!$C$6:$C$305,$A7,Registro!$M$6:$M$305,"Cancelada")</f>
        <v/>
      </c>
      <c r="F7" s="29">
        <f>COUNTIFS(Registro!$C$6:$C$305,$A7,Registro!$B$6:$B$305,"&lt;&gt;")</f>
        <v/>
      </c>
      <c r="G7" s="29">
        <f>COUNTIFS(Registro!$C$6:$C$305,$A7,Registro!$O$6:$O$305,"Vencida")</f>
        <v/>
      </c>
      <c r="H7" s="29">
        <f>COUNTIFS(Registro!$C$6:$C$305,$A7,Registro!$O$6:$O$305,"Por vencer")</f>
        <v/>
      </c>
      <c r="I7" s="30">
        <f>IFERROR(AVERAGEIFS(Registro!$N$6:$N$305,Registro!$C$6:$C$305,$A7,Registro!$O$6:$O$305,"Vencida"),0)</f>
        <v/>
      </c>
      <c r="J7" s="31">
        <f>IFERROR(COUNTIFS(Registro!$C$6:$C$305,$A7,Registro!$O$6:$O$305,"Liberada a tiempo")/COUNTIFS(Registro!$C$6:$C$305,$A7,Registro!$M$6:$M$305,"Liberada"),"")</f>
        <v/>
      </c>
    </row>
    <row r="8">
      <c r="A8" s="28" t="inlineStr">
        <is>
          <t>Fase 3</t>
        </is>
      </c>
      <c r="B8" s="29">
        <f>COUNTIFS(Registro!$C$6:$C$305,$A8,Registro!$M$6:$M$305,"Abierta")</f>
        <v/>
      </c>
      <c r="C8" s="29">
        <f>COUNTIFS(Registro!$C$6:$C$305,$A8,Registro!$M$6:$M$305,"En gestión")</f>
        <v/>
      </c>
      <c r="D8" s="29">
        <f>COUNTIFS(Registro!$C$6:$C$305,$A8,Registro!$M$6:$M$305,"Liberada")</f>
        <v/>
      </c>
      <c r="E8" s="29">
        <f>COUNTIFS(Registro!$C$6:$C$305,$A8,Registro!$M$6:$M$305,"Cancelada")</f>
        <v/>
      </c>
      <c r="F8" s="29">
        <f>COUNTIFS(Registro!$C$6:$C$305,$A8,Registro!$B$6:$B$305,"&lt;&gt;")</f>
        <v/>
      </c>
      <c r="G8" s="29">
        <f>COUNTIFS(Registro!$C$6:$C$305,$A8,Registro!$O$6:$O$305,"Vencida")</f>
        <v/>
      </c>
      <c r="H8" s="29">
        <f>COUNTIFS(Registro!$C$6:$C$305,$A8,Registro!$O$6:$O$305,"Por vencer")</f>
        <v/>
      </c>
      <c r="I8" s="30">
        <f>IFERROR(AVERAGEIFS(Registro!$N$6:$N$305,Registro!$C$6:$C$305,$A8,Registro!$O$6:$O$305,"Vencida"),0)</f>
        <v/>
      </c>
      <c r="J8" s="31">
        <f>IFERROR(COUNTIFS(Registro!$C$6:$C$305,$A8,Registro!$O$6:$O$305,"Liberada a tiempo")/COUNTIFS(Registro!$C$6:$C$305,$A8,Registro!$M$6:$M$305,"Liberada"),"")</f>
        <v/>
      </c>
    </row>
    <row r="11">
      <c r="A11" s="5" t="inlineStr">
        <is>
          <t>Por tipo de restricción</t>
        </is>
      </c>
    </row>
    <row r="12" ht="32" customHeight="1">
      <c r="A12" s="14" t="inlineStr"/>
      <c r="B12" s="14" t="inlineStr">
        <is>
          <t>Abiertas + en gestión</t>
        </is>
      </c>
      <c r="C12" s="14" t="inlineStr">
        <is>
          <t>Vencidas</t>
        </is>
      </c>
      <c r="D12" s="14" t="inlineStr">
        <is>
          <t>Liberadas</t>
        </is>
      </c>
      <c r="E12" s="14" t="inlineStr">
        <is>
          <t>Fase 1</t>
        </is>
      </c>
      <c r="F12" s="14" t="inlineStr">
        <is>
          <t>Fase 2</t>
        </is>
      </c>
      <c r="G12" s="14" t="inlineStr">
        <is>
          <t>Fase 3</t>
        </is>
      </c>
    </row>
    <row r="13">
      <c r="A13" s="28" t="inlineStr">
        <is>
          <t>Ingeniería</t>
        </is>
      </c>
      <c r="B13" s="29">
        <f>COUNTIFS(Registro!$F$6:$F$305,$A13,Registro!$M$6:$M$305,"Abierta")+COUNTIFS(Registro!$F$6:$F$305,$A13,Registro!$M$6:$M$305,"En gestión")</f>
        <v/>
      </c>
      <c r="C13" s="29">
        <f>COUNTIFS(Registro!$F$6:$F$305,$A13,Registro!$O$6:$O$305,"Vencida")</f>
        <v/>
      </c>
      <c r="D13" s="29">
        <f>COUNTIFS(Registro!$F$6:$F$305,$A13,Registro!$M$6:$M$305,"Liberada")</f>
        <v/>
      </c>
      <c r="E13" s="29">
        <f>COUNTIFS(Registro!$F$6:$F$305,$A13,Registro!$C$6:$C$305,"Fase 1")</f>
        <v/>
      </c>
      <c r="F13" s="29">
        <f>COUNTIFS(Registro!$F$6:$F$305,$A13,Registro!$C$6:$C$305,"Fase 2")</f>
        <v/>
      </c>
      <c r="G13" s="29">
        <f>COUNTIFS(Registro!$F$6:$F$305,$A13,Registro!$C$6:$C$305,"Fase 3")</f>
        <v/>
      </c>
    </row>
    <row r="14">
      <c r="A14" s="28" t="inlineStr">
        <is>
          <t>Materiales</t>
        </is>
      </c>
      <c r="B14" s="29">
        <f>COUNTIFS(Registro!$F$6:$F$305,$A14,Registro!$M$6:$M$305,"Abierta")+COUNTIFS(Registro!$F$6:$F$305,$A14,Registro!$M$6:$M$305,"En gestión")</f>
        <v/>
      </c>
      <c r="C14" s="29">
        <f>COUNTIFS(Registro!$F$6:$F$305,$A14,Registro!$O$6:$O$305,"Vencida")</f>
        <v/>
      </c>
      <c r="D14" s="29">
        <f>COUNTIFS(Registro!$F$6:$F$305,$A14,Registro!$M$6:$M$305,"Liberada")</f>
        <v/>
      </c>
      <c r="E14" s="29">
        <f>COUNTIFS(Registro!$F$6:$F$305,$A14,Registro!$C$6:$C$305,"Fase 1")</f>
        <v/>
      </c>
      <c r="F14" s="29">
        <f>COUNTIFS(Registro!$F$6:$F$305,$A14,Registro!$C$6:$C$305,"Fase 2")</f>
        <v/>
      </c>
      <c r="G14" s="29">
        <f>COUNTIFS(Registro!$F$6:$F$305,$A14,Registro!$C$6:$C$305,"Fase 3")</f>
        <v/>
      </c>
    </row>
    <row r="15">
      <c r="A15" s="28" t="inlineStr">
        <is>
          <t>Equipos de construcción</t>
        </is>
      </c>
      <c r="B15" s="29">
        <f>COUNTIFS(Registro!$F$6:$F$305,$A15,Registro!$M$6:$M$305,"Abierta")+COUNTIFS(Registro!$F$6:$F$305,$A15,Registro!$M$6:$M$305,"En gestión")</f>
        <v/>
      </c>
      <c r="C15" s="29">
        <f>COUNTIFS(Registro!$F$6:$F$305,$A15,Registro!$O$6:$O$305,"Vencida")</f>
        <v/>
      </c>
      <c r="D15" s="29">
        <f>COUNTIFS(Registro!$F$6:$F$305,$A15,Registro!$M$6:$M$305,"Liberada")</f>
        <v/>
      </c>
      <c r="E15" s="29">
        <f>COUNTIFS(Registro!$F$6:$F$305,$A15,Registro!$C$6:$C$305,"Fase 1")</f>
        <v/>
      </c>
      <c r="F15" s="29">
        <f>COUNTIFS(Registro!$F$6:$F$305,$A15,Registro!$C$6:$C$305,"Fase 2")</f>
        <v/>
      </c>
      <c r="G15" s="29">
        <f>COUNTIFS(Registro!$F$6:$F$305,$A15,Registro!$C$6:$C$305,"Fase 3")</f>
        <v/>
      </c>
    </row>
    <row r="16">
      <c r="A16" s="28" t="inlineStr">
        <is>
          <t>Permisos</t>
        </is>
      </c>
      <c r="B16" s="29">
        <f>COUNTIFS(Registro!$F$6:$F$305,$A16,Registro!$M$6:$M$305,"Abierta")+COUNTIFS(Registro!$F$6:$F$305,$A16,Registro!$M$6:$M$305,"En gestión")</f>
        <v/>
      </c>
      <c r="C16" s="29">
        <f>COUNTIFS(Registro!$F$6:$F$305,$A16,Registro!$O$6:$O$305,"Vencida")</f>
        <v/>
      </c>
      <c r="D16" s="29">
        <f>COUNTIFS(Registro!$F$6:$F$305,$A16,Registro!$M$6:$M$305,"Liberada")</f>
        <v/>
      </c>
      <c r="E16" s="29">
        <f>COUNTIFS(Registro!$F$6:$F$305,$A16,Registro!$C$6:$C$305,"Fase 1")</f>
        <v/>
      </c>
      <c r="F16" s="29">
        <f>COUNTIFS(Registro!$F$6:$F$305,$A16,Registro!$C$6:$C$305,"Fase 2")</f>
        <v/>
      </c>
      <c r="G16" s="29">
        <f>COUNTIFS(Registro!$F$6:$F$305,$A16,Registro!$C$6:$C$305,"Fase 3")</f>
        <v/>
      </c>
    </row>
    <row r="17">
      <c r="A17" s="28" t="inlineStr">
        <is>
          <t>Mano de obra</t>
        </is>
      </c>
      <c r="B17" s="29">
        <f>COUNTIFS(Registro!$F$6:$F$305,$A17,Registro!$M$6:$M$305,"Abierta")+COUNTIFS(Registro!$F$6:$F$305,$A17,Registro!$M$6:$M$305,"En gestión")</f>
        <v/>
      </c>
      <c r="C17" s="29">
        <f>COUNTIFS(Registro!$F$6:$F$305,$A17,Registro!$O$6:$O$305,"Vencida")</f>
        <v/>
      </c>
      <c r="D17" s="29">
        <f>COUNTIFS(Registro!$F$6:$F$305,$A17,Registro!$M$6:$M$305,"Liberada")</f>
        <v/>
      </c>
      <c r="E17" s="29">
        <f>COUNTIFS(Registro!$F$6:$F$305,$A17,Registro!$C$6:$C$305,"Fase 1")</f>
        <v/>
      </c>
      <c r="F17" s="29">
        <f>COUNTIFS(Registro!$F$6:$F$305,$A17,Registro!$C$6:$C$305,"Fase 2")</f>
        <v/>
      </c>
      <c r="G17" s="29">
        <f>COUNTIFS(Registro!$F$6:$F$305,$A17,Registro!$C$6:$C$305,"Fase 3")</f>
        <v/>
      </c>
    </row>
    <row r="18">
      <c r="A18" s="28" t="inlineStr">
        <is>
          <t>Andamios</t>
        </is>
      </c>
      <c r="B18" s="29">
        <f>COUNTIFS(Registro!$F$6:$F$305,$A18,Registro!$M$6:$M$305,"Abierta")+COUNTIFS(Registro!$F$6:$F$305,$A18,Registro!$M$6:$M$305,"En gestión")</f>
        <v/>
      </c>
      <c r="C18" s="29">
        <f>COUNTIFS(Registro!$F$6:$F$305,$A18,Registro!$O$6:$O$305,"Vencida")</f>
        <v/>
      </c>
      <c r="D18" s="29">
        <f>COUNTIFS(Registro!$F$6:$F$305,$A18,Registro!$M$6:$M$305,"Liberada")</f>
        <v/>
      </c>
      <c r="E18" s="29">
        <f>COUNTIFS(Registro!$F$6:$F$305,$A18,Registro!$C$6:$C$305,"Fase 1")</f>
        <v/>
      </c>
      <c r="F18" s="29">
        <f>COUNTIFS(Registro!$F$6:$F$305,$A18,Registro!$C$6:$C$305,"Fase 2")</f>
        <v/>
      </c>
      <c r="G18" s="29">
        <f>COUNTIFS(Registro!$F$6:$F$305,$A18,Registro!$C$6:$C$305,"Fase 3")</f>
        <v/>
      </c>
    </row>
    <row r="19">
      <c r="A19" s="28" t="inlineStr">
        <is>
          <t>Acceso / interferencias</t>
        </is>
      </c>
      <c r="B19" s="29">
        <f>COUNTIFS(Registro!$F$6:$F$305,$A19,Registro!$M$6:$M$305,"Abierta")+COUNTIFS(Registro!$F$6:$F$305,$A19,Registro!$M$6:$M$305,"En gestión")</f>
        <v/>
      </c>
      <c r="C19" s="29">
        <f>COUNTIFS(Registro!$F$6:$F$305,$A19,Registro!$O$6:$O$305,"Vencida")</f>
        <v/>
      </c>
      <c r="D19" s="29">
        <f>COUNTIFS(Registro!$F$6:$F$305,$A19,Registro!$M$6:$M$305,"Liberada")</f>
        <v/>
      </c>
      <c r="E19" s="29">
        <f>COUNTIFS(Registro!$F$6:$F$305,$A19,Registro!$C$6:$C$305,"Fase 1")</f>
        <v/>
      </c>
      <c r="F19" s="29">
        <f>COUNTIFS(Registro!$F$6:$F$305,$A19,Registro!$C$6:$C$305,"Fase 2")</f>
        <v/>
      </c>
      <c r="G19" s="29">
        <f>COUNTIFS(Registro!$F$6:$F$305,$A19,Registro!$C$6:$C$305,"Fase 3")</f>
        <v/>
      </c>
    </row>
    <row r="20">
      <c r="A20" s="28" t="inlineStr">
        <is>
          <t>Trabajos predecesores</t>
        </is>
      </c>
      <c r="B20" s="29">
        <f>COUNTIFS(Registro!$F$6:$F$305,$A20,Registro!$M$6:$M$305,"Abierta")+COUNTIFS(Registro!$F$6:$F$305,$A20,Registro!$M$6:$M$305,"En gestión")</f>
        <v/>
      </c>
      <c r="C20" s="29">
        <f>COUNTIFS(Registro!$F$6:$F$305,$A20,Registro!$O$6:$O$305,"Vencida")</f>
        <v/>
      </c>
      <c r="D20" s="29">
        <f>COUNTIFS(Registro!$F$6:$F$305,$A20,Registro!$M$6:$M$305,"Liberada")</f>
        <v/>
      </c>
      <c r="E20" s="29">
        <f>COUNTIFS(Registro!$F$6:$F$305,$A20,Registro!$C$6:$C$305,"Fase 1")</f>
        <v/>
      </c>
      <c r="F20" s="29">
        <f>COUNTIFS(Registro!$F$6:$F$305,$A20,Registro!$C$6:$C$305,"Fase 2")</f>
        <v/>
      </c>
      <c r="G20" s="29">
        <f>COUNTIFS(Registro!$F$6:$F$305,$A20,Registro!$C$6:$C$305,"Fase 3")</f>
        <v/>
      </c>
    </row>
    <row r="21">
      <c r="A21" s="28" t="inlineStr">
        <is>
          <t>Calidad</t>
        </is>
      </c>
      <c r="B21" s="29">
        <f>COUNTIFS(Registro!$F$6:$F$305,$A21,Registro!$M$6:$M$305,"Abierta")+COUNTIFS(Registro!$F$6:$F$305,$A21,Registro!$M$6:$M$305,"En gestión")</f>
        <v/>
      </c>
      <c r="C21" s="29">
        <f>COUNTIFS(Registro!$F$6:$F$305,$A21,Registro!$O$6:$O$305,"Vencida")</f>
        <v/>
      </c>
      <c r="D21" s="29">
        <f>COUNTIFS(Registro!$F$6:$F$305,$A21,Registro!$M$6:$M$305,"Liberada")</f>
        <v/>
      </c>
      <c r="E21" s="29">
        <f>COUNTIFS(Registro!$F$6:$F$305,$A21,Registro!$C$6:$C$305,"Fase 1")</f>
        <v/>
      </c>
      <c r="F21" s="29">
        <f>COUNTIFS(Registro!$F$6:$F$305,$A21,Registro!$C$6:$C$305,"Fase 2")</f>
        <v/>
      </c>
      <c r="G21" s="29">
        <f>COUNTIFS(Registro!$F$6:$F$305,$A21,Registro!$C$6:$C$305,"Fase 3")</f>
        <v/>
      </c>
    </row>
    <row r="22">
      <c r="A22" s="28" t="inlineStr">
        <is>
          <t>HSE</t>
        </is>
      </c>
      <c r="B22" s="29">
        <f>COUNTIFS(Registro!$F$6:$F$305,$A22,Registro!$M$6:$M$305,"Abierta")+COUNTIFS(Registro!$F$6:$F$305,$A22,Registro!$M$6:$M$305,"En gestión")</f>
        <v/>
      </c>
      <c r="C22" s="29">
        <f>COUNTIFS(Registro!$F$6:$F$305,$A22,Registro!$O$6:$O$305,"Vencida")</f>
        <v/>
      </c>
      <c r="D22" s="29">
        <f>COUNTIFS(Registro!$F$6:$F$305,$A22,Registro!$M$6:$M$305,"Liberada")</f>
        <v/>
      </c>
      <c r="E22" s="29">
        <f>COUNTIFS(Registro!$F$6:$F$305,$A22,Registro!$C$6:$C$305,"Fase 1")</f>
        <v/>
      </c>
      <c r="F22" s="29">
        <f>COUNTIFS(Registro!$F$6:$F$305,$A22,Registro!$C$6:$C$305,"Fase 2")</f>
        <v/>
      </c>
      <c r="G22" s="29">
        <f>COUNTIFS(Registro!$F$6:$F$305,$A22,Registro!$C$6:$C$305,"Fase 3")</f>
        <v/>
      </c>
    </row>
    <row r="23">
      <c r="A23" s="28" t="inlineStr">
        <is>
          <t>Documentación del proveedor</t>
        </is>
      </c>
      <c r="B23" s="29">
        <f>COUNTIFS(Registro!$F$6:$F$305,$A23,Registro!$M$6:$M$305,"Abierta")+COUNTIFS(Registro!$F$6:$F$305,$A23,Registro!$M$6:$M$305,"En gestión")</f>
        <v/>
      </c>
      <c r="C23" s="29">
        <f>COUNTIFS(Registro!$F$6:$F$305,$A23,Registro!$O$6:$O$305,"Vencida")</f>
        <v/>
      </c>
      <c r="D23" s="29">
        <f>COUNTIFS(Registro!$F$6:$F$305,$A23,Registro!$M$6:$M$305,"Liberada")</f>
        <v/>
      </c>
      <c r="E23" s="29">
        <f>COUNTIFS(Registro!$F$6:$F$305,$A23,Registro!$C$6:$C$305,"Fase 1")</f>
        <v/>
      </c>
      <c r="F23" s="29">
        <f>COUNTIFS(Registro!$F$6:$F$305,$A23,Registro!$C$6:$C$305,"Fase 2")</f>
        <v/>
      </c>
      <c r="G23" s="29">
        <f>COUNTIFS(Registro!$F$6:$F$305,$A23,Registro!$C$6:$C$305,"Fase 3")</f>
        <v/>
      </c>
    </row>
    <row r="24">
      <c r="A24" s="28" t="inlineStr">
        <is>
          <t>Interfaz entre fases</t>
        </is>
      </c>
      <c r="B24" s="29">
        <f>COUNTIFS(Registro!$F$6:$F$305,$A24,Registro!$M$6:$M$305,"Abierta")+COUNTIFS(Registro!$F$6:$F$305,$A24,Registro!$M$6:$M$305,"En gestión")</f>
        <v/>
      </c>
      <c r="C24" s="29">
        <f>COUNTIFS(Registro!$F$6:$F$305,$A24,Registro!$O$6:$O$305,"Vencida")</f>
        <v/>
      </c>
      <c r="D24" s="29">
        <f>COUNTIFS(Registro!$F$6:$F$305,$A24,Registro!$M$6:$M$305,"Liberada")</f>
        <v/>
      </c>
      <c r="E24" s="29">
        <f>COUNTIFS(Registro!$F$6:$F$305,$A24,Registro!$C$6:$C$305,"Fase 1")</f>
        <v/>
      </c>
      <c r="F24" s="29">
        <f>COUNTIFS(Registro!$F$6:$F$305,$A24,Registro!$C$6:$C$305,"Fase 2")</f>
        <v/>
      </c>
      <c r="G24" s="29">
        <f>COUNTIFS(Registro!$F$6:$F$305,$A24,Registro!$C$6:$C$305,"Fase 3")</f>
        <v/>
      </c>
    </row>
  </sheetData>
  <printOptions horizontalCentered="1"/>
  <pageMargins left="0.4" right="0.4" top="0.6" bottom="0.6" header="0.5" footer="0.5"/>
  <pageSetup orientation="landscape" paperSize="9" fitToHeight="0" fitToWidth="1"/>
  <headerFooter>
    <oddHeader>&amp;L&amp;8 Kit de implementación AWP&amp;R&amp;8 Resumen de restricciones</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7F7F7F"/>
    <outlinePr summaryBelow="1" summaryRight="1"/>
    <pageSetUpPr/>
  </sheetPr>
  <dimension ref="A1:D18"/>
  <sheetViews>
    <sheetView tabSelected="0" workbookViewId="0">
      <pane ySplit="2" topLeftCell="A3" activePane="bottomLeft" state="frozen"/>
      <selection pane="bottomLeft" activeCell="A1" sqref="A1"/>
    </sheetView>
  </sheetViews>
  <sheetFormatPr baseColWidth="8" defaultRowHeight="15"/>
  <cols>
    <col width="14" customWidth="1" min="1" max="1"/>
    <col width="29" customWidth="1" min="2" max="2"/>
    <col width="14" customWidth="1" min="3" max="3"/>
    <col width="39" customWidth="1" min="4" max="4"/>
  </cols>
  <sheetData>
    <row r="1">
      <c r="A1" s="32" t="inlineStr">
        <is>
          <t>Valores de las listas desplegables. Puede ampliarlas agregando valores al final de cada columna y ajustando el rango con nombre (Fórmulas &gt; Administrador de nombres).</t>
        </is>
      </c>
    </row>
    <row r="2">
      <c r="A2" s="33" t="inlineStr">
        <is>
          <t>Fases</t>
        </is>
      </c>
      <c r="B2" s="33" t="inlineStr">
        <is>
          <t>TiposRestriccion</t>
        </is>
      </c>
      <c r="C2" s="33" t="inlineStr">
        <is>
          <t>EstadosRestriccion</t>
        </is>
      </c>
      <c r="D2" s="33" t="inlineStr">
        <is>
          <t>Roles</t>
        </is>
      </c>
    </row>
    <row r="3">
      <c r="A3" s="34" t="inlineStr">
        <is>
          <t>Fase 1</t>
        </is>
      </c>
      <c r="B3" s="34" t="inlineStr">
        <is>
          <t>Ingeniería</t>
        </is>
      </c>
      <c r="C3" s="34" t="inlineStr">
        <is>
          <t>Abierta</t>
        </is>
      </c>
      <c r="D3" s="34" t="inlineStr">
        <is>
          <t>Gerente del proyecto del cliente</t>
        </is>
      </c>
    </row>
    <row r="4">
      <c r="A4" s="34" t="inlineStr">
        <is>
          <t>Fase 2</t>
        </is>
      </c>
      <c r="B4" s="34" t="inlineStr">
        <is>
          <t>Materiales</t>
        </is>
      </c>
      <c r="C4" s="34" t="inlineStr">
        <is>
          <t>En gestión</t>
        </is>
      </c>
      <c r="D4" s="34" t="inlineStr">
        <is>
          <t>Gerente de Proyecto</t>
        </is>
      </c>
    </row>
    <row r="5">
      <c r="A5" s="34" t="inlineStr">
        <is>
          <t>Fase 3</t>
        </is>
      </c>
      <c r="B5" s="34" t="inlineStr">
        <is>
          <t>Equipos de construcción</t>
        </is>
      </c>
      <c r="C5" s="34" t="inlineStr">
        <is>
          <t>Liberada</t>
        </is>
      </c>
      <c r="D5" s="34" t="inlineStr">
        <is>
          <t>AWP Champion</t>
        </is>
      </c>
    </row>
    <row r="6">
      <c r="B6" s="34" t="inlineStr">
        <is>
          <t>Permisos</t>
        </is>
      </c>
      <c r="C6" s="34" t="inlineStr">
        <is>
          <t>Cancelada</t>
        </is>
      </c>
      <c r="D6" s="34" t="inlineStr">
        <is>
          <t>Líder de WFP</t>
        </is>
      </c>
    </row>
    <row r="7">
      <c r="B7" s="34" t="inlineStr">
        <is>
          <t>Mano de obra</t>
        </is>
      </c>
      <c r="D7" s="34" t="inlineStr">
        <is>
          <t>Planificador de frente de trabajo</t>
        </is>
      </c>
    </row>
    <row r="8">
      <c r="B8" s="34" t="inlineStr">
        <is>
          <t>Andamios</t>
        </is>
      </c>
      <c r="D8" s="34" t="inlineStr">
        <is>
          <t>Líder de Ingeniería</t>
        </is>
      </c>
    </row>
    <row r="9">
      <c r="B9" s="34" t="inlineStr">
        <is>
          <t>Acceso / interferencias</t>
        </is>
      </c>
      <c r="D9" s="34" t="inlineStr">
        <is>
          <t>Líder de Procura</t>
        </is>
      </c>
    </row>
    <row r="10">
      <c r="B10" s="34" t="inlineStr">
        <is>
          <t>Trabajos predecesores</t>
        </is>
      </c>
      <c r="D10" s="34" t="inlineStr">
        <is>
          <t>Gestor de materiales</t>
        </is>
      </c>
    </row>
    <row r="11">
      <c r="B11" s="34" t="inlineStr">
        <is>
          <t>Calidad</t>
        </is>
      </c>
      <c r="D11" s="34" t="inlineStr">
        <is>
          <t>Gerente de Construcción</t>
        </is>
      </c>
    </row>
    <row r="12">
      <c r="B12" s="34" t="inlineStr">
        <is>
          <t>HSE</t>
        </is>
      </c>
      <c r="D12" s="34" t="inlineStr">
        <is>
          <t>Superintendente / capataz general</t>
        </is>
      </c>
    </row>
    <row r="13">
      <c r="B13" s="34" t="inlineStr">
        <is>
          <t>Documentación del proveedor</t>
        </is>
      </c>
      <c r="D13" s="34" t="inlineStr">
        <is>
          <t>Controles del proyecto</t>
        </is>
      </c>
    </row>
    <row r="14">
      <c r="B14" s="34" t="inlineStr">
        <is>
          <t>Interfaz entre fases</t>
        </is>
      </c>
      <c r="D14" s="34" t="inlineStr">
        <is>
          <t>Coordinador de gestión de información</t>
        </is>
      </c>
    </row>
    <row r="15">
      <c r="D15" s="34" t="inlineStr">
        <is>
          <t>Líder de HSE</t>
        </is>
      </c>
    </row>
    <row r="16">
      <c r="D16" s="34" t="inlineStr">
        <is>
          <t>Líder de calidad (QA/QC)</t>
        </is>
      </c>
    </row>
    <row r="17">
      <c r="D17" s="34" t="inlineStr">
        <is>
          <t>Líder de comisionamiento</t>
        </is>
      </c>
    </row>
    <row r="18">
      <c r="D18" s="34" t="inlineStr">
        <is>
          <t>Subcontratista de especialidad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Registro de restricciones</dc:title>
  <dc:subject xmlns:dc="http://purl.org/dc/elements/1.1/">Proyecto Tipo (PT) – Complejo de instalaciones en tres fases</dc:subject>
  <dcterms:created xmlns:dcterms="http://purl.org/dc/terms/" xmlns:xsi="http://www.w3.org/2001/XMLSchema-instance" xsi:type="dcterms:W3CDTF">2026-09-25T03:31:51Z</dcterms:created>
  <dcterms:modified xmlns:dcterms="http://purl.org/dc/terms/" xmlns:xsi="http://www.w3.org/2001/XMLSchema-instance" xsi:type="dcterms:W3CDTF">2026-09-25T03:31:51Z</dcterms:modified>
</cp:coreProperties>
</file>