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Programa" sheetId="2" state="visible" r:id="rId2"/>
    <sheet xmlns:r="http://schemas.openxmlformats.org/officeDocument/2006/relationships" name="Plazos" sheetId="3" state="visible" r:id="rId3"/>
    <sheet xmlns:r="http://schemas.openxmlformats.org/officeDocument/2006/relationships" name="Listas" sheetId="4" state="visible" r:id="rId4"/>
  </sheets>
  <definedNames>
    <definedName name="Fases">Listas!$A$3:$A$5</definedName>
    <definedName name="EstadosPaquete">Listas!$B$3:$B$10</definedName>
    <definedName name="Roles">Listas!$C$3:$C$18</definedName>
    <definedName name="_xlnm.Print_Area" localSheetId="0">'Instrucciones'!$A$1:$C$35</definedName>
    <definedName name="_xlnm._FilterDatabase" localSheetId="1" hidden="1">'Programa'!$A$5:$S$305</definedName>
    <definedName name="_xlnm.Print_Titles" localSheetId="1">'Programa'!$5:$5</definedName>
    <definedName name="_xlnm.Print_Area" localSheetId="1">'Programa'!$A$1:$S$55</definedName>
    <definedName name="_xlnm.Print_Area" localSheetId="2">'Plazos'!$A$1:$F$8</definedName>
  </definedNames>
  <calcPr calcId="124519" fullCalcOnLoad="1"/>
</workbook>
</file>

<file path=xl/styles.xml><?xml version="1.0" encoding="utf-8"?>
<styleSheet xmlns="http://schemas.openxmlformats.org/spreadsheetml/2006/main">
  <numFmts count="2">
    <numFmt numFmtId="164" formatCode="yyyy-mm-dd"/>
    <numFmt numFmtId="165" formatCode="DD/MM/YYYY"/>
  </numFmts>
  <fonts count="13">
    <font>
      <name val="Calibri"/>
      <family val="2"/>
      <color theme="1"/>
      <sz val="11"/>
      <scheme val="minor"/>
    </font>
    <font>
      <name val="Calibri"/>
      <b val="1"/>
      <color rgb="001F3864"/>
      <sz val="15"/>
    </font>
    <font>
      <name val="Calibri"/>
      <i val="1"/>
      <color rgb="00595959"/>
      <sz val="10"/>
    </font>
    <font>
      <name val="Calibri"/>
      <b val="1"/>
      <sz val="10"/>
    </font>
    <font>
      <name val="Calibri"/>
      <b val="1"/>
      <color rgb="00FFFFFF"/>
      <sz val="10"/>
    </font>
    <font>
      <name val="Calibri"/>
      <color rgb="00000000"/>
      <sz val="10"/>
    </font>
    <font>
      <name val="Calibri"/>
      <color rgb="00404040"/>
      <sz val="10"/>
    </font>
    <font>
      <name val="Calibri"/>
      <b val="1"/>
      <color rgb="00FFFFFF"/>
    </font>
    <font>
      <name val="Calibri"/>
      <b val="1"/>
      <color rgb="001F3864"/>
      <sz val="16"/>
    </font>
    <font>
      <name val="Calibri"/>
      <b val="1"/>
      <color rgb="001F3864"/>
      <sz val="11"/>
    </font>
    <font>
      <name val="Calibri"/>
      <sz val="10"/>
    </font>
    <font>
      <name val="Calibri"/>
      <b val="1"/>
      <color rgb="001F3864"/>
      <sz val="12"/>
    </font>
    <font>
      <name val="Calibri"/>
      <i val="1"/>
      <sz val="9"/>
    </font>
  </fonts>
  <fills count="7">
    <fill>
      <patternFill/>
    </fill>
    <fill>
      <patternFill patternType="gray125"/>
    </fill>
    <fill>
      <patternFill patternType="solid">
        <fgColor rgb="00DCE6F2"/>
        <bgColor rgb="00DCE6F2"/>
      </patternFill>
    </fill>
    <fill>
      <patternFill patternType="solid">
        <fgColor rgb="001F3864"/>
        <bgColor rgb="001F3864"/>
      </patternFill>
    </fill>
    <fill>
      <patternFill patternType="solid">
        <fgColor rgb="002F5597"/>
        <bgColor rgb="002F5597"/>
      </patternFill>
    </fill>
    <fill>
      <patternFill patternType="solid">
        <fgColor rgb="00FFF2CC"/>
        <bgColor rgb="00FFF2CC"/>
      </patternFill>
    </fill>
    <fill>
      <patternFill patternType="solid">
        <fgColor rgb="00F2F2F2"/>
        <b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8">
    <xf numFmtId="0" fontId="0" fillId="0" borderId="0" pivotButton="0" quotePrefix="0" xfId="0"/>
    <xf numFmtId="0" fontId="8" fillId="0" borderId="0" pivotButton="0" quotePrefix="0" xfId="0"/>
    <xf numFmtId="0" fontId="2" fillId="0" borderId="0" pivotButton="0" quotePrefix="0" xfId="0"/>
    <xf numFmtId="0" fontId="9" fillId="0" borderId="0" applyAlignment="1" pivotButton="0" quotePrefix="0" xfId="0">
      <alignment vertical="top"/>
    </xf>
    <xf numFmtId="0" fontId="10" fillId="0" borderId="0" applyAlignment="1" pivotButton="0" quotePrefix="0" xfId="0">
      <alignment vertical="top" wrapText="1"/>
    </xf>
    <xf numFmtId="0" fontId="11" fillId="0" borderId="0" pivotButton="0" quotePrefix="0" xfId="0"/>
    <xf numFmtId="0" fontId="7" fillId="3" borderId="1" pivotButton="0" quotePrefix="0" xfId="0"/>
    <xf numFmtId="0" fontId="3" fillId="0" borderId="1" applyAlignment="1" pivotButton="0" quotePrefix="0" xfId="0">
      <alignment vertical="top" wrapText="1"/>
    </xf>
    <xf numFmtId="0" fontId="10" fillId="0" borderId="1" applyAlignment="1" pivotButton="0" quotePrefix="0" xfId="0">
      <alignment vertical="top" wrapText="1"/>
    </xf>
    <xf numFmtId="0" fontId="3" fillId="6" borderId="1" applyAlignment="1" pivotButton="0" quotePrefix="0" xfId="0">
      <alignment vertical="top" wrapText="1"/>
    </xf>
    <xf numFmtId="0" fontId="10" fillId="6" borderId="1" applyAlignment="1" pivotButton="0" quotePrefix="0" xfId="0">
      <alignment vertical="top" wrapText="1"/>
    </xf>
    <xf numFmtId="0" fontId="1" fillId="0" borderId="0" pivotButton="0" quotePrefix="0" xfId="0"/>
    <xf numFmtId="0" fontId="3" fillId="0" borderId="0" applyAlignment="1" pivotButton="0" quotePrefix="0" xfId="0">
      <alignment horizontal="right"/>
    </xf>
    <xf numFmtId="165" fontId="3" fillId="2" borderId="1" pivotButton="0" quotePrefix="0" xfId="0"/>
    <xf numFmtId="0" fontId="4"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5" fillId="5" borderId="1" applyAlignment="1" pivotButton="0" quotePrefix="0" xfId="0">
      <alignment horizontal="center" vertical="top"/>
    </xf>
    <xf numFmtId="0" fontId="5" fillId="5" borderId="1" applyAlignment="1" pivotButton="0" quotePrefix="0" xfId="0">
      <alignment vertical="top"/>
    </xf>
    <xf numFmtId="0" fontId="6" fillId="5" borderId="1" applyAlignment="1" pivotButton="0" quotePrefix="0" xfId="0">
      <alignment vertical="top"/>
    </xf>
    <xf numFmtId="0" fontId="5" fillId="5" borderId="1" applyAlignment="1" pivotButton="0" quotePrefix="0" xfId="0">
      <alignment vertical="top" wrapText="1"/>
    </xf>
    <xf numFmtId="3" fontId="5" fillId="5" borderId="1" applyAlignment="1" pivotButton="0" quotePrefix="0" xfId="0">
      <alignment vertical="top"/>
    </xf>
    <xf numFmtId="165" fontId="5" fillId="5" borderId="1" applyAlignment="1" pivotButton="0" quotePrefix="0" xfId="0">
      <alignment horizontal="center" vertical="top"/>
    </xf>
    <xf numFmtId="165" fontId="6" fillId="5" borderId="1" applyAlignment="1" pivotButton="0" quotePrefix="0" xfId="0">
      <alignment horizontal="center" vertical="top"/>
    </xf>
    <xf numFmtId="3" fontId="6" fillId="5" borderId="1" applyAlignment="1" pivotButton="0" quotePrefix="0" xfId="0">
      <alignment vertical="top"/>
    </xf>
    <xf numFmtId="0" fontId="5" fillId="0" borderId="1" applyAlignment="1" pivotButton="0" quotePrefix="0" xfId="0">
      <alignment horizontal="center" vertical="top"/>
    </xf>
    <xf numFmtId="0" fontId="5" fillId="0" borderId="1" applyAlignment="1" pivotButton="0" quotePrefix="0" xfId="0">
      <alignment vertical="top"/>
    </xf>
    <xf numFmtId="0" fontId="6" fillId="6" borderId="1" applyAlignment="1" pivotButton="0" quotePrefix="0" xfId="0">
      <alignment vertical="top"/>
    </xf>
    <xf numFmtId="0" fontId="5" fillId="0" borderId="1" applyAlignment="1" pivotButton="0" quotePrefix="0" xfId="0">
      <alignment vertical="top" wrapText="1"/>
    </xf>
    <xf numFmtId="3" fontId="5" fillId="0" borderId="1" applyAlignment="1" pivotButton="0" quotePrefix="0" xfId="0">
      <alignment vertical="top"/>
    </xf>
    <xf numFmtId="165" fontId="5" fillId="0" borderId="1" applyAlignment="1" pivotButton="0" quotePrefix="0" xfId="0">
      <alignment horizontal="center" vertical="top"/>
    </xf>
    <xf numFmtId="165" fontId="6" fillId="6" borderId="1" applyAlignment="1" pivotButton="0" quotePrefix="0" xfId="0">
      <alignment horizontal="center" vertical="top"/>
    </xf>
    <xf numFmtId="3" fontId="6" fillId="6" borderId="1" applyAlignment="1" pivotButton="0" quotePrefix="0" xfId="0">
      <alignment vertical="top"/>
    </xf>
    <xf numFmtId="0" fontId="7" fillId="3" borderId="1" applyAlignment="1" pivotButton="0" quotePrefix="0" xfId="0">
      <alignment horizontal="center" vertical="center" wrapText="1"/>
    </xf>
    <xf numFmtId="0" fontId="0" fillId="0" borderId="1" applyAlignment="1" pivotButton="0" quotePrefix="0" xfId="0">
      <alignment horizontal="center"/>
    </xf>
    <xf numFmtId="0" fontId="0" fillId="2" borderId="1" applyAlignment="1" pivotButton="0" quotePrefix="0" xfId="0">
      <alignment horizontal="center"/>
    </xf>
    <xf numFmtId="0" fontId="12" fillId="0" borderId="0" pivotButton="0" quotePrefix="0" xfId="0"/>
    <xf numFmtId="0" fontId="7" fillId="3" borderId="0" pivotButton="0" quotePrefix="0" xfId="0"/>
    <xf numFmtId="0" fontId="10" fillId="0" borderId="0" pivotButton="0" quotePrefix="0" xfId="0"/>
  </cellXfs>
  <cellStyles count="1">
    <cellStyle name="Normal" xfId="0" builtinId="0" hidden="0"/>
  </cellStyles>
  <dxfs count="3">
    <dxf>
      <font>
        <color rgb="009C0006"/>
      </font>
      <fill>
        <patternFill patternType="solid">
          <fgColor rgb="00F8CBAD"/>
          <bgColor rgb="00F8CBAD"/>
        </patternFill>
      </fill>
    </dxf>
    <dxf>
      <fill>
        <patternFill patternType="solid">
          <fgColor rgb="00FFE699"/>
          <bgColor rgb="00FFE699"/>
        </patternFill>
      </fill>
    </dxf>
    <dxf>
      <font>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548235"/>
    <outlinePr summaryBelow="1" summaryRight="1"/>
    <pageSetUpPr fitToPage="1"/>
  </sheetPr>
  <dimension ref="A1:C33"/>
  <sheetViews>
    <sheetView tabSelected="1" workbookViewId="0">
      <pane ySplit="3" topLeftCell="A4" activePane="bottomLeft" state="frozen"/>
      <selection pane="bottomLeft" activeCell="A1" sqref="A1"/>
    </sheetView>
  </sheetViews>
  <sheetFormatPr baseColWidth="8" defaultRowHeight="15"/>
  <cols>
    <col width="30" customWidth="1" min="1" max="1"/>
    <col width="70" customWidth="1" min="2" max="2"/>
    <col width="14" customWidth="1" min="3" max="3"/>
  </cols>
  <sheetData>
    <row r="1">
      <c r="A1" s="1" t="inlineStr">
        <is>
          <t>Programa de liberación de IWP</t>
        </is>
      </c>
    </row>
    <row r="2">
      <c r="A2" s="2" t="inlineStr">
        <is>
          <t>Kit de implementación AWP · Proyecto Tipo (PT) – Complejo de instalaciones en tres fases</t>
        </is>
      </c>
    </row>
    <row r="4" ht="42" customHeight="1">
      <c r="A4" s="3" t="inlineStr">
        <is>
          <t>Propósito</t>
        </is>
      </c>
      <c r="B4" s="4" t="inlineStr">
        <is>
          <t>Programar hacia atrás, para cada IWP, las fechas en que debe iniciarse, en que deben identificarse, asignarse y levantarse sus restricciones, y en que debe liberarse, según los plazos de su fase. Permite ver con anticipación qué IWP no llegarán liberados a tiempo.</t>
        </is>
      </c>
    </row>
    <row r="5" ht="42" customHeight="1">
      <c r="A5" s="3" t="inlineStr">
        <is>
          <t>Por qué se incluye</t>
        </is>
      </c>
      <c r="B5" s="4" t="inlineStr">
        <is>
          <t>El procedimiento 3.0 (Pack Track) y el marco educativo del CII definen hitos de preparación del IWP en semanas antes de la ejecución. Esta plantilla aplica esos plazos a cada fase del proyecto tipo.</t>
        </is>
      </c>
    </row>
    <row r="6" ht="28" customHeight="1">
      <c r="A6" s="3" t="inlineStr">
        <is>
          <t>Cuándo se usa</t>
        </is>
      </c>
      <c r="B6" s="4" t="inlineStr">
        <is>
          <t>Cada semana, para los IWP que entran en la ventana de planificación (8 semanas en las fases 1 y 3, 12 semanas en la fase 2).</t>
        </is>
      </c>
    </row>
    <row r="7" ht="28" customHeight="1">
      <c r="A7" s="3" t="inlineStr">
        <is>
          <t>Quién la llena</t>
        </is>
      </c>
      <c r="B7" s="4" t="inlineStr">
        <is>
          <t>Los planificadores de frente de trabajo; el Líder de WFP revisa y usa la situación en la reunión de restricciones.</t>
        </is>
      </c>
    </row>
    <row r="8" ht="112" customHeight="1">
      <c r="A8" s="3" t="inlineStr">
        <is>
          <t>Cómo llenarla</t>
        </is>
      </c>
      <c r="B8" s="4" t="inlineStr">
        <is>
          <t>1. Actualice la fecha de corte (B3).
2. Revise los plazos por fase en la hoja «Plazos».
3. Borre las filas amarillas de ejemplo y registre los IWP con su fecha de inicio de ejecución planificada.
4. Las fechas intermedias se calculan solas; registre la liberación real cuando el checklist esté firmado.
5. Copie las restricciones abiertas del registro de restricciones (o de Seguimiento_Paquetes).
6. Filtre por «Situación» para preparar la reunión semanal.</t>
        </is>
      </c>
    </row>
    <row r="9" ht="42" customHeight="1">
      <c r="A9" s="3" t="inlineStr">
        <is>
          <t>Colores</t>
        </is>
      </c>
      <c r="B9" s="4" t="inlineStr">
        <is>
          <t>Amarillo: fila de ejemplo (bórrela o reemplácela). Encabezado azul oscuro: dato que se ingresa. Encabezado azul medio y celda gris: columna calculada con fórmula (no la sobrescriba). Rojo: vencido o fuera de meta. Ámbar: por vencer o cerca del límite. Verde: cumplido.</t>
        </is>
      </c>
    </row>
    <row r="10" ht="42" customHeight="1">
      <c r="A10" s="3" t="inlineStr">
        <is>
          <t>Impresión</t>
        </is>
      </c>
      <c r="B10" s="4" t="inlineStr">
        <is>
          <t>Cada hoja está configurada en A4, ajustada al ancho de la página, con el encabezado repetido en cada página. El área de impresión de las hojas de datos cubre las primeras 50 filas: si usa más, amplíela en Diseño de página &gt; Área de impresión.</t>
        </is>
      </c>
    </row>
    <row r="11" ht="28" customHeight="1">
      <c r="A11" s="3" t="inlineStr">
        <is>
          <t>Formato condicional</t>
        </is>
      </c>
      <c r="B11" s="4" t="inlineStr">
        <is>
          <t>Rojo: IWP con liberación objetivo vencida y sin liberar. Ámbar: liberación objetivo en 14 días o menos. Verde: liberado.</t>
        </is>
      </c>
    </row>
    <row r="13">
      <c r="A13" s="5" t="inlineStr">
        <is>
          <t>Columnas de la hoja «Programa»</t>
        </is>
      </c>
    </row>
    <row r="14">
      <c r="A14" s="6" t="inlineStr">
        <is>
          <t>Columna</t>
        </is>
      </c>
      <c r="B14" s="6" t="inlineStr">
        <is>
          <t>Significado</t>
        </is>
      </c>
      <c r="C14" s="6" t="inlineStr">
        <is>
          <t>Tipo de dato</t>
        </is>
      </c>
    </row>
    <row r="15" ht="15" customHeight="1">
      <c r="A15" s="7" t="inlineStr">
        <is>
          <t>Ejemplo</t>
        </is>
      </c>
      <c r="B15" s="8" t="inlineStr">
        <is>
          <t>Contiene «EJEMPLO» en las filas de ejemplo. Déjela vacía en las filas reales.</t>
        </is>
      </c>
      <c r="C15" s="8" t="inlineStr">
        <is>
          <t>Manual</t>
        </is>
      </c>
    </row>
    <row r="16" ht="15" customHeight="1">
      <c r="A16" s="7" t="inlineStr">
        <is>
          <t>IWP</t>
        </is>
      </c>
      <c r="B16" s="8" t="inlineStr">
        <is>
          <t>Código del IWP.</t>
        </is>
      </c>
      <c r="C16" s="8" t="inlineStr">
        <is>
          <t>Manual</t>
        </is>
      </c>
    </row>
    <row r="17" ht="15" customHeight="1">
      <c r="A17" s="7" t="inlineStr">
        <is>
          <t>Fase del proyecto</t>
        </is>
      </c>
      <c r="B17" s="8" t="inlineStr">
        <is>
          <t>Fase del proyecto (define los plazos de la hoja «Plazos»).</t>
        </is>
      </c>
      <c r="C17" s="8" t="inlineStr">
        <is>
          <t>Lista</t>
        </is>
      </c>
    </row>
    <row r="18" ht="15" customHeight="1">
      <c r="A18" s="9" t="inlineStr">
        <is>
          <t>CWP</t>
        </is>
      </c>
      <c r="B18" s="10" t="inlineStr">
        <is>
          <t>Calculado a partir del código del IWP.</t>
        </is>
      </c>
      <c r="C18" s="10" t="inlineStr">
        <is>
          <t>Calculado</t>
        </is>
      </c>
    </row>
    <row r="19" ht="15" customHeight="1">
      <c r="A19" s="7" t="inlineStr">
        <is>
          <t>Descripción</t>
        </is>
      </c>
      <c r="B19" s="8" t="inlineStr">
        <is>
          <t>Alcance del IWP.</t>
        </is>
      </c>
      <c r="C19" s="8" t="inlineStr">
        <is>
          <t>Manual</t>
        </is>
      </c>
    </row>
    <row r="20" ht="15" customHeight="1">
      <c r="A20" s="7" t="inlineStr">
        <is>
          <t>Cuadrilla / capataz</t>
        </is>
      </c>
      <c r="B20" s="8" t="inlineStr">
        <is>
          <t>Cuadrilla o capataz asignado.</t>
        </is>
      </c>
      <c r="C20" s="8" t="inlineStr">
        <is>
          <t>Manual</t>
        </is>
      </c>
    </row>
    <row r="21" ht="15" customHeight="1">
      <c r="A21" s="7" t="inlineStr">
        <is>
          <t>HH estimadas</t>
        </is>
      </c>
      <c r="B21" s="8" t="inlineStr">
        <is>
          <t>Horas-hombre del IWP (300 a 600 HH).</t>
        </is>
      </c>
      <c r="C21" s="8" t="inlineStr">
        <is>
          <t>Manual</t>
        </is>
      </c>
    </row>
    <row r="22" ht="15" customHeight="1">
      <c r="A22" s="7" t="inlineStr">
        <is>
          <t>Inicio de ejecución plan</t>
        </is>
      </c>
      <c r="B22" s="8" t="inlineStr">
        <is>
          <t>Fecha planificada de inicio en campo (cronograma de nivel 5).</t>
        </is>
      </c>
      <c r="C22" s="8" t="inlineStr">
        <is>
          <t>Manual</t>
        </is>
      </c>
    </row>
    <row r="23" ht="15" customHeight="1">
      <c r="A23" s="9" t="inlineStr">
        <is>
          <t>IWP iniciado</t>
        </is>
      </c>
      <c r="B23" s="10" t="inlineStr">
        <is>
          <t>Calculado: fecha en que debe definirse el alcance del IWP.</t>
        </is>
      </c>
      <c r="C23" s="10" t="inlineStr">
        <is>
          <t>Calculado</t>
        </is>
      </c>
    </row>
    <row r="24" ht="15" customHeight="1">
      <c r="A24" s="9" t="inlineStr">
        <is>
          <t>Restricciones identificadas</t>
        </is>
      </c>
      <c r="B24" s="10" t="inlineStr">
        <is>
          <t>Calculado: fecha límite para identificar restricciones.</t>
        </is>
      </c>
      <c r="C24" s="10" t="inlineStr">
        <is>
          <t>Calculado</t>
        </is>
      </c>
    </row>
    <row r="25" ht="15" customHeight="1">
      <c r="A25" s="9" t="inlineStr">
        <is>
          <t>Restricciones asignadas</t>
        </is>
      </c>
      <c r="B25" s="10" t="inlineStr">
        <is>
          <t>Calculado: fecha límite para asignar responsables.</t>
        </is>
      </c>
      <c r="C25" s="10" t="inlineStr">
        <is>
          <t>Calculado</t>
        </is>
      </c>
    </row>
    <row r="26" ht="15" customHeight="1">
      <c r="A26" s="9" t="inlineStr">
        <is>
          <t>Restricciones levantadas</t>
        </is>
      </c>
      <c r="B26" s="10" t="inlineStr">
        <is>
          <t>Calculado: fecha límite para levantar todas las restricciones.</t>
        </is>
      </c>
      <c r="C26" s="10" t="inlineStr">
        <is>
          <t>Calculado</t>
        </is>
      </c>
    </row>
    <row r="27" ht="15" customHeight="1">
      <c r="A27" s="9" t="inlineStr">
        <is>
          <t>Liberación objetivo</t>
        </is>
      </c>
      <c r="B27" s="10" t="inlineStr">
        <is>
          <t>Calculado: fecha objetivo de liberación (ingreso al backlog).</t>
        </is>
      </c>
      <c r="C27" s="10" t="inlineStr">
        <is>
          <t>Calculado</t>
        </is>
      </c>
    </row>
    <row r="28" ht="15" customHeight="1">
      <c r="A28" s="7" t="inlineStr">
        <is>
          <t>Liberación real</t>
        </is>
      </c>
      <c r="B28" s="8" t="inlineStr">
        <is>
          <t>Fecha real de liberación con checklist firmado.</t>
        </is>
      </c>
      <c r="C28" s="8" t="inlineStr">
        <is>
          <t>Manual</t>
        </is>
      </c>
    </row>
    <row r="29" ht="15" customHeight="1">
      <c r="A29" s="7" t="inlineStr">
        <is>
          <t>Restricciones abiertas</t>
        </is>
      </c>
      <c r="B29" s="8" t="inlineStr">
        <is>
          <t>Restricciones abiertas o en gestión (del registro de restricciones).</t>
        </is>
      </c>
      <c r="C29" s="8" t="inlineStr">
        <is>
          <t>Manual</t>
        </is>
      </c>
    </row>
    <row r="30" ht="15" customHeight="1">
      <c r="A30" s="7" t="inlineStr">
        <is>
          <t>Estado</t>
        </is>
      </c>
      <c r="B30" s="8" t="inlineStr">
        <is>
          <t>Estado del IWP.</t>
        </is>
      </c>
      <c r="C30" s="8" t="inlineStr">
        <is>
          <t>Lista</t>
        </is>
      </c>
    </row>
    <row r="31" ht="15" customHeight="1">
      <c r="A31" s="9" t="inlineStr">
        <is>
          <t>Días de atraso en liberación</t>
        </is>
      </c>
      <c r="B31" s="10" t="inlineStr">
        <is>
          <t>Calculado: días de atraso respecto de la liberación objetivo.</t>
        </is>
      </c>
      <c r="C31" s="10" t="inlineStr">
        <is>
          <t>Calculado</t>
        </is>
      </c>
    </row>
    <row r="32" ht="28" customHeight="1">
      <c r="A32" s="9" t="inlineStr">
        <is>
          <t>Situación</t>
        </is>
      </c>
      <c r="B32" s="10" t="inlineStr">
        <is>
          <t>Calculado: Liberado a tiempo, Liberado con atraso, Vencido sin liberar, Próximo a liberar (≤ 14 días) o En plazo.</t>
        </is>
      </c>
      <c r="C32" s="10" t="inlineStr">
        <is>
          <t>Calculado</t>
        </is>
      </c>
    </row>
    <row r="33" ht="15" customHeight="1">
      <c r="A33" s="7" t="inlineStr">
        <is>
          <t>Observaciones</t>
        </is>
      </c>
      <c r="B33" s="8" t="inlineStr">
        <is>
          <t>Comentarios.</t>
        </is>
      </c>
      <c r="C33" s="8" t="inlineStr">
        <is>
          <t>Manual</t>
        </is>
      </c>
    </row>
  </sheetData>
  <mergeCells count="8">
    <mergeCell ref="B6:C6"/>
    <mergeCell ref="B7:C7"/>
    <mergeCell ref="B11:C11"/>
    <mergeCell ref="B5:C5"/>
    <mergeCell ref="B10:C10"/>
    <mergeCell ref="B9:C9"/>
    <mergeCell ref="B8:C8"/>
    <mergeCell ref="B4:C4"/>
  </mergeCells>
  <printOptions horizontalCentered="1"/>
  <pageMargins left="0.4" right="0.4" top="0.6" bottom="0.6" header="0.5" footer="0.5"/>
  <pageSetup orientation="portrait" paperSize="9" fitToHeight="0" fitToWidth="1"/>
  <headerFooter>
    <oddHeader>&amp;L&amp;8 Kit de implementación AWP&amp;R&amp;8 Programa de liberación de IWP</oddHeader>
    <oddFooter>&amp;L&amp;8 Proyecto Tipo (PT) – Complejo de instalaciones en tres fases&amp;R&amp;8 Página &amp;P de &amp;N</oddFooter>
    <evenHeader/>
    <evenFooter/>
    <firstHeader/>
    <firstFooter/>
  </headerFooter>
</worksheet>
</file>

<file path=xl/worksheets/sheet2.xml><?xml version="1.0" encoding="utf-8"?>
<worksheet xmlns="http://schemas.openxmlformats.org/spreadsheetml/2006/main">
  <sheetPr>
    <tabColor rgb="001F3864"/>
    <outlinePr summaryBelow="1" summaryRight="1"/>
    <pageSetUpPr fitToPage="1"/>
  </sheetPr>
  <dimension ref="A1:S305"/>
  <sheetViews>
    <sheetView tabSelected="0" workbookViewId="0">
      <pane xSplit="2" ySplit="5" topLeftCell="C6" activePane="bottomRight" state="frozen"/>
      <selection pane="topRight"/>
      <selection pane="bottomLeft"/>
      <selection pane="bottomRight" activeCell="A1" sqref="A1"/>
    </sheetView>
  </sheetViews>
  <sheetFormatPr baseColWidth="8" defaultRowHeight="15"/>
  <cols>
    <col width="10" customWidth="1" min="1" max="1"/>
    <col width="21" customWidth="1" min="2" max="2"/>
    <col width="11" customWidth="1" min="3" max="3"/>
    <col width="17" customWidth="1" min="4" max="4"/>
    <col width="30" customWidth="1" min="5" max="5"/>
    <col width="14" customWidth="1" min="6" max="6"/>
    <col width="9" customWidth="1" min="7" max="7"/>
    <col width="12" customWidth="1" min="8" max="8"/>
    <col width="11" customWidth="1" min="9" max="9"/>
    <col width="11" customWidth="1" min="10" max="10"/>
    <col width="11" customWidth="1" min="11" max="11"/>
    <col width="11" customWidth="1" min="12" max="12"/>
    <col width="11" customWidth="1" min="13" max="13"/>
    <col width="11" customWidth="1" min="14" max="14"/>
    <col width="10" customWidth="1" min="15" max="15"/>
    <col width="12" customWidth="1" min="16" max="16"/>
    <col width="10" customWidth="1" min="17" max="17"/>
    <col width="18" customWidth="1" min="18" max="18"/>
    <col width="26" customWidth="1" min="19" max="19"/>
  </cols>
  <sheetData>
    <row r="1" ht="24" customHeight="1">
      <c r="A1" s="11" t="inlineStr">
        <is>
          <t>Programa de liberación de IWP</t>
        </is>
      </c>
    </row>
    <row r="2">
      <c r="A2" s="2" t="inlineStr">
        <is>
          <t>Proyecto Tipo (PT) – Complejo de instalaciones en tres fases. Las filas en amarillo marcadas «EJEMPLO» son de ejemplo: bórrelas o reemplácelas.</t>
        </is>
      </c>
    </row>
    <row r="3">
      <c r="A3" s="12" t="inlineStr">
        <is>
          <t>Fecha de corte:</t>
        </is>
      </c>
      <c r="B3" s="13" t="n">
        <v>46919</v>
      </c>
    </row>
    <row r="5" ht="42" customHeight="1">
      <c r="A5" s="14" t="inlineStr">
        <is>
          <t>Ejemplo</t>
        </is>
      </c>
      <c r="B5" s="14" t="inlineStr">
        <is>
          <t>IWP</t>
        </is>
      </c>
      <c r="C5" s="14" t="inlineStr">
        <is>
          <t>Fase del proyecto</t>
        </is>
      </c>
      <c r="D5" s="15" t="inlineStr">
        <is>
          <t>CWP</t>
        </is>
      </c>
      <c r="E5" s="14" t="inlineStr">
        <is>
          <t>Descripción</t>
        </is>
      </c>
      <c r="F5" s="14" t="inlineStr">
        <is>
          <t>Cuadrilla / capataz</t>
        </is>
      </c>
      <c r="G5" s="14" t="inlineStr">
        <is>
          <t>HH estimadas</t>
        </is>
      </c>
      <c r="H5" s="14" t="inlineStr">
        <is>
          <t>Inicio de ejecución plan</t>
        </is>
      </c>
      <c r="I5" s="15" t="inlineStr">
        <is>
          <t>IWP iniciado</t>
        </is>
      </c>
      <c r="J5" s="15" t="inlineStr">
        <is>
          <t>Restricciones identificadas</t>
        </is>
      </c>
      <c r="K5" s="15" t="inlineStr">
        <is>
          <t>Restricciones asignadas</t>
        </is>
      </c>
      <c r="L5" s="15" t="inlineStr">
        <is>
          <t>Restricciones levantadas</t>
        </is>
      </c>
      <c r="M5" s="15" t="inlineStr">
        <is>
          <t>Liberación objetivo</t>
        </is>
      </c>
      <c r="N5" s="14" t="inlineStr">
        <is>
          <t>Liberación real</t>
        </is>
      </c>
      <c r="O5" s="14" t="inlineStr">
        <is>
          <t>Restricciones abiertas</t>
        </is>
      </c>
      <c r="P5" s="14" t="inlineStr">
        <is>
          <t>Estado</t>
        </is>
      </c>
      <c r="Q5" s="15" t="inlineStr">
        <is>
          <t>Días de atraso en liberación</t>
        </is>
      </c>
      <c r="R5" s="15" t="inlineStr">
        <is>
          <t>Situación</t>
        </is>
      </c>
      <c r="S5" s="14" t="inlineStr">
        <is>
          <t>Observaciones</t>
        </is>
      </c>
    </row>
    <row r="6">
      <c r="A6" s="16" t="inlineStr">
        <is>
          <t>EJEMPLO</t>
        </is>
      </c>
      <c r="B6" s="17" t="inlineStr">
        <is>
          <t>IWP-1.01-CIV-01-001</t>
        </is>
      </c>
      <c r="C6" s="17" t="inlineStr">
        <is>
          <t>Fase 1</t>
        </is>
      </c>
      <c r="D6" s="18">
        <f>IF(B6="","","CWP"&amp;MID(B6,4,12))</f>
        <v/>
      </c>
      <c r="E6" s="19" t="inlineStr">
        <is>
          <t>Excavación masiva ejes 1–5</t>
        </is>
      </c>
      <c r="F6" s="17" t="inlineStr">
        <is>
          <t>Cuadrilla C-01</t>
        </is>
      </c>
      <c r="G6" s="20" t="n">
        <v>480</v>
      </c>
      <c r="H6" s="21" t="n">
        <v>46545</v>
      </c>
      <c r="I6" s="22">
        <f>IF(OR(B6="",H6="",C6=""),"",H6-7*VLOOKUP(C6,Plazos!$A$6:$F$8,2,FALSE))</f>
        <v/>
      </c>
      <c r="J6" s="22">
        <f>IF(OR(B6="",H6="",C6=""),"",H6-7*VLOOKUP(C6,Plazos!$A$6:$F$8,3,FALSE))</f>
        <v/>
      </c>
      <c r="K6" s="22">
        <f>IF(OR(B6="",H6="",C6=""),"",H6-7*VLOOKUP(C6,Plazos!$A$6:$F$8,4,FALSE))</f>
        <v/>
      </c>
      <c r="L6" s="22">
        <f>IF(OR(B6="",H6="",C6=""),"",H6-7*VLOOKUP(C6,Plazos!$A$6:$F$8,5,FALSE))</f>
        <v/>
      </c>
      <c r="M6" s="22">
        <f>IF(OR(B6="",H6="",C6=""),"",H6-7*VLOOKUP(C6,Plazos!$A$6:$F$8,6,FALSE))</f>
        <v/>
      </c>
      <c r="N6" s="21" t="n">
        <v>46549</v>
      </c>
      <c r="O6" s="20" t="n">
        <v>0</v>
      </c>
      <c r="P6" s="17" t="inlineStr">
        <is>
          <t>Cerrado</t>
        </is>
      </c>
      <c r="Q6" s="23">
        <f>IF(OR(B6="",M6=""),"",IF(N6&lt;&gt;"",MAX(0,N6-M6),MAX(0,$B$3-M6)))</f>
        <v/>
      </c>
      <c r="R6" s="18">
        <f>IF(OR(B6="",M6=""),"",IF(N6&lt;&gt;"",IF(Q6&gt;0,"Liberado con atraso","Liberado a tiempo"),IF($B$3&gt;M6,"Vencido sin liberar",IF(M6-$B$3&lt;=14,"Próximo a liberar","En plazo"))))</f>
        <v/>
      </c>
      <c r="S6" s="19" t="n"/>
    </row>
    <row r="7">
      <c r="A7" s="16" t="inlineStr">
        <is>
          <t>EJEMPLO</t>
        </is>
      </c>
      <c r="B7" s="17" t="inlineStr">
        <is>
          <t>IWP-1.02-TUB-01-001</t>
        </is>
      </c>
      <c r="C7" s="17" t="inlineStr">
        <is>
          <t>Fase 1</t>
        </is>
      </c>
      <c r="D7" s="18">
        <f>IF(B7="","","CWP"&amp;MID(B7,4,12))</f>
        <v/>
      </c>
      <c r="E7" s="19" t="inlineStr">
        <is>
          <t>Tubería de agua tramo T1</t>
        </is>
      </c>
      <c r="F7" s="17" t="inlineStr">
        <is>
          <t>Cuadrilla T-02</t>
        </is>
      </c>
      <c r="G7" s="20" t="n">
        <v>360</v>
      </c>
      <c r="H7" s="21" t="n">
        <v>46601</v>
      </c>
      <c r="I7" s="22">
        <f>IF(OR(B7="",H7="",C7=""),"",H7-7*VLOOKUP(C7,Plazos!$A$6:$F$8,2,FALSE))</f>
        <v/>
      </c>
      <c r="J7" s="22">
        <f>IF(OR(B7="",H7="",C7=""),"",H7-7*VLOOKUP(C7,Plazos!$A$6:$F$8,3,FALSE))</f>
        <v/>
      </c>
      <c r="K7" s="22">
        <f>IF(OR(B7="",H7="",C7=""),"",H7-7*VLOOKUP(C7,Plazos!$A$6:$F$8,4,FALSE))</f>
        <v/>
      </c>
      <c r="L7" s="22">
        <f>IF(OR(B7="",H7="",C7=""),"",H7-7*VLOOKUP(C7,Plazos!$A$6:$F$8,5,FALSE))</f>
        <v/>
      </c>
      <c r="M7" s="22">
        <f>IF(OR(B7="",H7="",C7=""),"",H7-7*VLOOKUP(C7,Plazos!$A$6:$F$8,6,FALSE))</f>
        <v/>
      </c>
      <c r="N7" s="21" t="n">
        <v>46587</v>
      </c>
      <c r="O7" s="20" t="n">
        <v>0</v>
      </c>
      <c r="P7" s="17" t="inlineStr">
        <is>
          <t>Cerrado</t>
        </is>
      </c>
      <c r="Q7" s="23">
        <f>IF(OR(B7="",M7=""),"",IF(N7&lt;&gt;"",MAX(0,N7-M7),MAX(0,$B$3-M7)))</f>
        <v/>
      </c>
      <c r="R7" s="18">
        <f>IF(OR(B7="",M7=""),"",IF(N7&lt;&gt;"",IF(Q7&gt;0,"Liberado con atraso","Liberado a tiempo"),IF($B$3&gt;M7,"Vencido sin liberar",IF(M7-$B$3&lt;=14,"Próximo a liberar","En plazo"))))</f>
        <v/>
      </c>
      <c r="S7" s="19" t="n"/>
    </row>
    <row r="8">
      <c r="A8" s="16" t="inlineStr">
        <is>
          <t>EJEMPLO</t>
        </is>
      </c>
      <c r="B8" s="17" t="inlineStr">
        <is>
          <t>IWP-1.02-ELE-01-001</t>
        </is>
      </c>
      <c r="C8" s="17" t="inlineStr">
        <is>
          <t>Fase 1</t>
        </is>
      </c>
      <c r="D8" s="18">
        <f>IF(B8="","","CWP"&amp;MID(B8,4,12))</f>
        <v/>
      </c>
      <c r="E8" s="19" t="inlineStr">
        <is>
          <t>Banco de ductos BD-01 a BD-04</t>
        </is>
      </c>
      <c r="F8" s="17" t="inlineStr">
        <is>
          <t>Cuadrilla E-01</t>
        </is>
      </c>
      <c r="G8" s="20" t="n">
        <v>400</v>
      </c>
      <c r="H8" s="21" t="n">
        <v>46615</v>
      </c>
      <c r="I8" s="22">
        <f>IF(OR(B8="",H8="",C8=""),"",H8-7*VLOOKUP(C8,Plazos!$A$6:$F$8,2,FALSE))</f>
        <v/>
      </c>
      <c r="J8" s="22">
        <f>IF(OR(B8="",H8="",C8=""),"",H8-7*VLOOKUP(C8,Plazos!$A$6:$F$8,3,FALSE))</f>
        <v/>
      </c>
      <c r="K8" s="22">
        <f>IF(OR(B8="",H8="",C8=""),"",H8-7*VLOOKUP(C8,Plazos!$A$6:$F$8,4,FALSE))</f>
        <v/>
      </c>
      <c r="L8" s="22">
        <f>IF(OR(B8="",H8="",C8=""),"",H8-7*VLOOKUP(C8,Plazos!$A$6:$F$8,5,FALSE))</f>
        <v/>
      </c>
      <c r="M8" s="22">
        <f>IF(OR(B8="",H8="",C8=""),"",H8-7*VLOOKUP(C8,Plazos!$A$6:$F$8,6,FALSE))</f>
        <v/>
      </c>
      <c r="N8" s="21" t="n">
        <v>46605</v>
      </c>
      <c r="O8" s="20" t="n">
        <v>0</v>
      </c>
      <c r="P8" s="17" t="inlineStr">
        <is>
          <t>Cerrado</t>
        </is>
      </c>
      <c r="Q8" s="23">
        <f>IF(OR(B8="",M8=""),"",IF(N8&lt;&gt;"",MAX(0,N8-M8),MAX(0,$B$3-M8)))</f>
        <v/>
      </c>
      <c r="R8" s="18">
        <f>IF(OR(B8="",M8=""),"",IF(N8&lt;&gt;"",IF(Q8&gt;0,"Liberado con atraso","Liberado a tiempo"),IF($B$3&gt;M8,"Vencido sin liberar",IF(M8-$B$3&lt;=14,"Próximo a liberar","En plazo"))))</f>
        <v/>
      </c>
      <c r="S8" s="19" t="n"/>
    </row>
    <row r="9">
      <c r="A9" s="16" t="inlineStr">
        <is>
          <t>EJEMPLO</t>
        </is>
      </c>
      <c r="B9" s="17" t="inlineStr">
        <is>
          <t>IWP-2.01-CIV-01-001</t>
        </is>
      </c>
      <c r="C9" s="17" t="inlineStr">
        <is>
          <t>Fase 2</t>
        </is>
      </c>
      <c r="D9" s="18">
        <f>IF(B9="","","CWP"&amp;MID(B9,4,12))</f>
        <v/>
      </c>
      <c r="E9" s="19" t="inlineStr">
        <is>
          <t>Zapatas ejes A1–A4</t>
        </is>
      </c>
      <c r="F9" s="17" t="inlineStr">
        <is>
          <t>Cuadrilla C-05</t>
        </is>
      </c>
      <c r="G9" s="20" t="n">
        <v>520</v>
      </c>
      <c r="H9" s="21" t="n">
        <v>46790</v>
      </c>
      <c r="I9" s="22">
        <f>IF(OR(B9="",H9="",C9=""),"",H9-7*VLOOKUP(C9,Plazos!$A$6:$F$8,2,FALSE))</f>
        <v/>
      </c>
      <c r="J9" s="22">
        <f>IF(OR(B9="",H9="",C9=""),"",H9-7*VLOOKUP(C9,Plazos!$A$6:$F$8,3,FALSE))</f>
        <v/>
      </c>
      <c r="K9" s="22">
        <f>IF(OR(B9="",H9="",C9=""),"",H9-7*VLOOKUP(C9,Plazos!$A$6:$F$8,4,FALSE))</f>
        <v/>
      </c>
      <c r="L9" s="22">
        <f>IF(OR(B9="",H9="",C9=""),"",H9-7*VLOOKUP(C9,Plazos!$A$6:$F$8,5,FALSE))</f>
        <v/>
      </c>
      <c r="M9" s="22">
        <f>IF(OR(B9="",H9="",C9=""),"",H9-7*VLOOKUP(C9,Plazos!$A$6:$F$8,6,FALSE))</f>
        <v/>
      </c>
      <c r="N9" s="21" t="n">
        <v>46778</v>
      </c>
      <c r="O9" s="20" t="n">
        <v>0</v>
      </c>
      <c r="P9" s="17" t="inlineStr">
        <is>
          <t>Cerrado</t>
        </is>
      </c>
      <c r="Q9" s="23">
        <f>IF(OR(B9="",M9=""),"",IF(N9&lt;&gt;"",MAX(0,N9-M9),MAX(0,$B$3-M9)))</f>
        <v/>
      </c>
      <c r="R9" s="18">
        <f>IF(OR(B9="",M9=""),"",IF(N9&lt;&gt;"",IF(Q9&gt;0,"Liberado con atraso","Liberado a tiempo"),IF($B$3&gt;M9,"Vencido sin liberar",IF(M9-$B$3&lt;=14,"Próximo a liberar","En plazo"))))</f>
        <v/>
      </c>
      <c r="S9" s="19" t="n"/>
    </row>
    <row r="10">
      <c r="A10" s="16" t="inlineStr">
        <is>
          <t>EJEMPLO</t>
        </is>
      </c>
      <c r="B10" s="17" t="inlineStr">
        <is>
          <t>IWP-2.01-EST-01-001</t>
        </is>
      </c>
      <c r="C10" s="17" t="inlineStr">
        <is>
          <t>Fase 2</t>
        </is>
      </c>
      <c r="D10" s="18">
        <f>IF(B10="","","CWP"&amp;MID(B10,4,12))</f>
        <v/>
      </c>
      <c r="E10" s="19" t="inlineStr">
        <is>
          <t>Montaje de columnas nivel 1 ejes A1–A4</t>
        </is>
      </c>
      <c r="F10" s="17" t="inlineStr">
        <is>
          <t>Cuadrilla M-01</t>
        </is>
      </c>
      <c r="G10" s="20" t="n">
        <v>420</v>
      </c>
      <c r="H10" s="21" t="n">
        <v>46868</v>
      </c>
      <c r="I10" s="22">
        <f>IF(OR(B10="",H10="",C10=""),"",H10-7*VLOOKUP(C10,Plazos!$A$6:$F$8,2,FALSE))</f>
        <v/>
      </c>
      <c r="J10" s="22">
        <f>IF(OR(B10="",H10="",C10=""),"",H10-7*VLOOKUP(C10,Plazos!$A$6:$F$8,3,FALSE))</f>
        <v/>
      </c>
      <c r="K10" s="22">
        <f>IF(OR(B10="",H10="",C10=""),"",H10-7*VLOOKUP(C10,Plazos!$A$6:$F$8,4,FALSE))</f>
        <v/>
      </c>
      <c r="L10" s="22">
        <f>IF(OR(B10="",H10="",C10=""),"",H10-7*VLOOKUP(C10,Plazos!$A$6:$F$8,5,FALSE))</f>
        <v/>
      </c>
      <c r="M10" s="22">
        <f>IF(OR(B10="",H10="",C10=""),"",H10-7*VLOOKUP(C10,Plazos!$A$6:$F$8,6,FALSE))</f>
        <v/>
      </c>
      <c r="N10" s="21" t="n"/>
      <c r="O10" s="20" t="n">
        <v>2</v>
      </c>
      <c r="P10" s="17" t="inlineStr">
        <is>
          <t>En desarrollo</t>
        </is>
      </c>
      <c r="Q10" s="23">
        <f>IF(OR(B10="",M10=""),"",IF(N10&lt;&gt;"",MAX(0,N10-M10),MAX(0,$B$3-M10)))</f>
        <v/>
      </c>
      <c r="R10" s="18">
        <f>IF(OR(B10="",M10=""),"",IF(N10&lt;&gt;"",IF(Q10&gt;0,"Liberado con atraso","Liberado a tiempo"),IF($B$3&gt;M10,"Vencido sin liberar",IF(M10-$B$3&lt;=14,"Próximo a liberar","En plazo"))))</f>
        <v/>
      </c>
      <c r="S10" s="19" t="n"/>
    </row>
    <row r="11">
      <c r="A11" s="16" t="inlineStr">
        <is>
          <t>EJEMPLO</t>
        </is>
      </c>
      <c r="B11" s="17" t="inlineStr">
        <is>
          <t>IWP-2.03-ELE-01-001</t>
        </is>
      </c>
      <c r="C11" s="17" t="inlineStr">
        <is>
          <t>Fase 2</t>
        </is>
      </c>
      <c r="D11" s="18">
        <f>IF(B11="","","CWP"&amp;MID(B11,4,12))</f>
        <v/>
      </c>
      <c r="E11" s="19" t="inlineStr">
        <is>
          <t>Montaje de tableros de media tensión</t>
        </is>
      </c>
      <c r="F11" s="17" t="inlineStr">
        <is>
          <t>Cuadrilla E-04</t>
        </is>
      </c>
      <c r="G11" s="20" t="n">
        <v>380</v>
      </c>
      <c r="H11" s="21" t="n">
        <v>46937</v>
      </c>
      <c r="I11" s="22">
        <f>IF(OR(B11="",H11="",C11=""),"",H11-7*VLOOKUP(C11,Plazos!$A$6:$F$8,2,FALSE))</f>
        <v/>
      </c>
      <c r="J11" s="22">
        <f>IF(OR(B11="",H11="",C11=""),"",H11-7*VLOOKUP(C11,Plazos!$A$6:$F$8,3,FALSE))</f>
        <v/>
      </c>
      <c r="K11" s="22">
        <f>IF(OR(B11="",H11="",C11=""),"",H11-7*VLOOKUP(C11,Plazos!$A$6:$F$8,4,FALSE))</f>
        <v/>
      </c>
      <c r="L11" s="22">
        <f>IF(OR(B11="",H11="",C11=""),"",H11-7*VLOOKUP(C11,Plazos!$A$6:$F$8,5,FALSE))</f>
        <v/>
      </c>
      <c r="M11" s="22">
        <f>IF(OR(B11="",H11="",C11=""),"",H11-7*VLOOKUP(C11,Plazos!$A$6:$F$8,6,FALSE))</f>
        <v/>
      </c>
      <c r="N11" s="21" t="n"/>
      <c r="O11" s="20" t="n">
        <v>1</v>
      </c>
      <c r="P11" s="17" t="inlineStr">
        <is>
          <t>En desarrollo</t>
        </is>
      </c>
      <c r="Q11" s="23">
        <f>IF(OR(B11="",M11=""),"",IF(N11&lt;&gt;"",MAX(0,N11-M11),MAX(0,$B$3-M11)))</f>
        <v/>
      </c>
      <c r="R11" s="18">
        <f>IF(OR(B11="",M11=""),"",IF(N11&lt;&gt;"",IF(Q11&gt;0,"Liberado con atraso","Liberado a tiempo"),IF($B$3&gt;M11,"Vencido sin liberar",IF(M11-$B$3&lt;=14,"Próximo a liberar","En plazo"))))</f>
        <v/>
      </c>
      <c r="S11" s="19" t="n"/>
    </row>
    <row r="12">
      <c r="A12" s="16" t="inlineStr">
        <is>
          <t>EJEMPLO</t>
        </is>
      </c>
      <c r="B12" s="17" t="inlineStr">
        <is>
          <t>IWP-2.01-TUB-01-001</t>
        </is>
      </c>
      <c r="C12" s="17" t="inlineStr">
        <is>
          <t>Fase 2</t>
        </is>
      </c>
      <c r="D12" s="18">
        <f>IF(B12="","","CWP"&amp;MID(B12,4,12))</f>
        <v/>
      </c>
      <c r="E12" s="19" t="inlineStr">
        <is>
          <t>Tubería de agua de servicio nivel 1</t>
        </is>
      </c>
      <c r="F12" s="17" t="inlineStr">
        <is>
          <t>Cuadrilla T-06</t>
        </is>
      </c>
      <c r="G12" s="20" t="n">
        <v>450</v>
      </c>
      <c r="H12" s="21" t="n">
        <v>46993</v>
      </c>
      <c r="I12" s="22">
        <f>IF(OR(B12="",H12="",C12=""),"",H12-7*VLOOKUP(C12,Plazos!$A$6:$F$8,2,FALSE))</f>
        <v/>
      </c>
      <c r="J12" s="22">
        <f>IF(OR(B12="",H12="",C12=""),"",H12-7*VLOOKUP(C12,Plazos!$A$6:$F$8,3,FALSE))</f>
        <v/>
      </c>
      <c r="K12" s="22">
        <f>IF(OR(B12="",H12="",C12=""),"",H12-7*VLOOKUP(C12,Plazos!$A$6:$F$8,4,FALSE))</f>
        <v/>
      </c>
      <c r="L12" s="22">
        <f>IF(OR(B12="",H12="",C12=""),"",H12-7*VLOOKUP(C12,Plazos!$A$6:$F$8,5,FALSE))</f>
        <v/>
      </c>
      <c r="M12" s="22">
        <f>IF(OR(B12="",H12="",C12=""),"",H12-7*VLOOKUP(C12,Plazos!$A$6:$F$8,6,FALSE))</f>
        <v/>
      </c>
      <c r="N12" s="21" t="n"/>
      <c r="O12" s="20" t="n">
        <v>1</v>
      </c>
      <c r="P12" s="17" t="inlineStr">
        <is>
          <t>En desarrollo</t>
        </is>
      </c>
      <c r="Q12" s="23">
        <f>IF(OR(B12="",M12=""),"",IF(N12&lt;&gt;"",MAX(0,N12-M12),MAX(0,$B$3-M12)))</f>
        <v/>
      </c>
      <c r="R12" s="18">
        <f>IF(OR(B12="",M12=""),"",IF(N12&lt;&gt;"",IF(Q12&gt;0,"Liberado con atraso","Liberado a tiempo"),IF($B$3&gt;M12,"Vencido sin liberar",IF(M12-$B$3&lt;=14,"Próximo a liberar","En plazo"))))</f>
        <v/>
      </c>
      <c r="S12" s="19" t="n"/>
    </row>
    <row r="13">
      <c r="A13" s="16" t="inlineStr">
        <is>
          <t>EJEMPLO</t>
        </is>
      </c>
      <c r="B13" s="17" t="inlineStr">
        <is>
          <t>IWP-3.02-CIV-01-001</t>
        </is>
      </c>
      <c r="C13" s="17" t="inlineStr">
        <is>
          <t>Fase 3</t>
        </is>
      </c>
      <c r="D13" s="18">
        <f>IF(B13="","","CWP"&amp;MID(B13,4,12))</f>
        <v/>
      </c>
      <c r="E13" s="19" t="inlineStr">
        <is>
          <t>Zapatas ejes C1–C3</t>
        </is>
      </c>
      <c r="F13" s="17" t="inlineStr">
        <is>
          <t>Por asignar</t>
        </is>
      </c>
      <c r="G13" s="20" t="n">
        <v>500</v>
      </c>
      <c r="H13" s="21" t="n">
        <v>47154</v>
      </c>
      <c r="I13" s="22">
        <f>IF(OR(B13="",H13="",C13=""),"",H13-7*VLOOKUP(C13,Plazos!$A$6:$F$8,2,FALSE))</f>
        <v/>
      </c>
      <c r="J13" s="22">
        <f>IF(OR(B13="",H13="",C13=""),"",H13-7*VLOOKUP(C13,Plazos!$A$6:$F$8,3,FALSE))</f>
        <v/>
      </c>
      <c r="K13" s="22">
        <f>IF(OR(B13="",H13="",C13=""),"",H13-7*VLOOKUP(C13,Plazos!$A$6:$F$8,4,FALSE))</f>
        <v/>
      </c>
      <c r="L13" s="22">
        <f>IF(OR(B13="",H13="",C13=""),"",H13-7*VLOOKUP(C13,Plazos!$A$6:$F$8,5,FALSE))</f>
        <v/>
      </c>
      <c r="M13" s="22">
        <f>IF(OR(B13="",H13="",C13=""),"",H13-7*VLOOKUP(C13,Plazos!$A$6:$F$8,6,FALSE))</f>
        <v/>
      </c>
      <c r="N13" s="21" t="n"/>
      <c r="O13" s="20" t="n">
        <v>0</v>
      </c>
      <c r="P13" s="17" t="inlineStr">
        <is>
          <t>Planificado</t>
        </is>
      </c>
      <c r="Q13" s="23">
        <f>IF(OR(B13="",M13=""),"",IF(N13&lt;&gt;"",MAX(0,N13-M13),MAX(0,$B$3-M13)))</f>
        <v/>
      </c>
      <c r="R13" s="18">
        <f>IF(OR(B13="",M13=""),"",IF(N13&lt;&gt;"",IF(Q13&gt;0,"Liberado con atraso","Liberado a tiempo"),IF($B$3&gt;M13,"Vencido sin liberar",IF(M13-$B$3&lt;=14,"Próximo a liberar","En plazo"))))</f>
        <v/>
      </c>
      <c r="S13" s="19" t="n"/>
    </row>
    <row r="14">
      <c r="A14" s="16" t="inlineStr">
        <is>
          <t>EJEMPLO</t>
        </is>
      </c>
      <c r="B14" s="17" t="inlineStr">
        <is>
          <t>IWP-3.01-ARQ-01-001</t>
        </is>
      </c>
      <c r="C14" s="17" t="inlineStr">
        <is>
          <t>Fase 3</t>
        </is>
      </c>
      <c r="D14" s="18">
        <f>IF(B14="","","CWP"&amp;MID(B14,4,12))</f>
        <v/>
      </c>
      <c r="E14" s="19" t="inlineStr">
        <is>
          <t>Tabiquería nivel 1</t>
        </is>
      </c>
      <c r="F14" s="17" t="inlineStr">
        <is>
          <t>Por asignar</t>
        </is>
      </c>
      <c r="G14" s="20" t="n">
        <v>350</v>
      </c>
      <c r="H14" s="21" t="n">
        <v>47182</v>
      </c>
      <c r="I14" s="22">
        <f>IF(OR(B14="",H14="",C14=""),"",H14-7*VLOOKUP(C14,Plazos!$A$6:$F$8,2,FALSE))</f>
        <v/>
      </c>
      <c r="J14" s="22">
        <f>IF(OR(B14="",H14="",C14=""),"",H14-7*VLOOKUP(C14,Plazos!$A$6:$F$8,3,FALSE))</f>
        <v/>
      </c>
      <c r="K14" s="22">
        <f>IF(OR(B14="",H14="",C14=""),"",H14-7*VLOOKUP(C14,Plazos!$A$6:$F$8,4,FALSE))</f>
        <v/>
      </c>
      <c r="L14" s="22">
        <f>IF(OR(B14="",H14="",C14=""),"",H14-7*VLOOKUP(C14,Plazos!$A$6:$F$8,5,FALSE))</f>
        <v/>
      </c>
      <c r="M14" s="22">
        <f>IF(OR(B14="",H14="",C14=""),"",H14-7*VLOOKUP(C14,Plazos!$A$6:$F$8,6,FALSE))</f>
        <v/>
      </c>
      <c r="N14" s="21" t="n"/>
      <c r="O14" s="20" t="n">
        <v>1</v>
      </c>
      <c r="P14" s="17" t="inlineStr">
        <is>
          <t>Planificado</t>
        </is>
      </c>
      <c r="Q14" s="23">
        <f>IF(OR(B14="",M14=""),"",IF(N14&lt;&gt;"",MAX(0,N14-M14),MAX(0,$B$3-M14)))</f>
        <v/>
      </c>
      <c r="R14" s="18">
        <f>IF(OR(B14="",M14=""),"",IF(N14&lt;&gt;"",IF(Q14&gt;0,"Liberado con atraso","Liberado a tiempo"),IF($B$3&gt;M14,"Vencido sin liberar",IF(M14-$B$3&lt;=14,"Próximo a liberar","En plazo"))))</f>
        <v/>
      </c>
      <c r="S14" s="19" t="n"/>
    </row>
    <row r="15">
      <c r="A15" s="24" t="n"/>
      <c r="B15" s="25" t="n"/>
      <c r="C15" s="25" t="n"/>
      <c r="D15" s="26">
        <f>IF(B15="","","CWP"&amp;MID(B15,4,12))</f>
        <v/>
      </c>
      <c r="E15" s="27" t="n"/>
      <c r="F15" s="25" t="n"/>
      <c r="G15" s="28" t="n"/>
      <c r="H15" s="29" t="n"/>
      <c r="I15" s="30">
        <f>IF(OR(B15="",H15="",C15=""),"",H15-7*VLOOKUP(C15,Plazos!$A$6:$F$8,2,FALSE))</f>
        <v/>
      </c>
      <c r="J15" s="30">
        <f>IF(OR(B15="",H15="",C15=""),"",H15-7*VLOOKUP(C15,Plazos!$A$6:$F$8,3,FALSE))</f>
        <v/>
      </c>
      <c r="K15" s="30">
        <f>IF(OR(B15="",H15="",C15=""),"",H15-7*VLOOKUP(C15,Plazos!$A$6:$F$8,4,FALSE))</f>
        <v/>
      </c>
      <c r="L15" s="30">
        <f>IF(OR(B15="",H15="",C15=""),"",H15-7*VLOOKUP(C15,Plazos!$A$6:$F$8,5,FALSE))</f>
        <v/>
      </c>
      <c r="M15" s="30">
        <f>IF(OR(B15="",H15="",C15=""),"",H15-7*VLOOKUP(C15,Plazos!$A$6:$F$8,6,FALSE))</f>
        <v/>
      </c>
      <c r="N15" s="29" t="n"/>
      <c r="O15" s="28" t="n"/>
      <c r="P15" s="25" t="n"/>
      <c r="Q15" s="31">
        <f>IF(OR(B15="",M15=""),"",IF(N15&lt;&gt;"",MAX(0,N15-M15),MAX(0,$B$3-M15)))</f>
        <v/>
      </c>
      <c r="R15" s="26">
        <f>IF(OR(B15="",M15=""),"",IF(N15&lt;&gt;"",IF(Q15&gt;0,"Liberado con atraso","Liberado a tiempo"),IF($B$3&gt;M15,"Vencido sin liberar",IF(M15-$B$3&lt;=14,"Próximo a liberar","En plazo"))))</f>
        <v/>
      </c>
      <c r="S15" s="27" t="n"/>
    </row>
    <row r="16">
      <c r="A16" s="24" t="n"/>
      <c r="B16" s="25" t="n"/>
      <c r="C16" s="25" t="n"/>
      <c r="D16" s="26">
        <f>IF(B16="","","CWP"&amp;MID(B16,4,12))</f>
        <v/>
      </c>
      <c r="E16" s="27" t="n"/>
      <c r="F16" s="25" t="n"/>
      <c r="G16" s="28" t="n"/>
      <c r="H16" s="29" t="n"/>
      <c r="I16" s="30">
        <f>IF(OR(B16="",H16="",C16=""),"",H16-7*VLOOKUP(C16,Plazos!$A$6:$F$8,2,FALSE))</f>
        <v/>
      </c>
      <c r="J16" s="30">
        <f>IF(OR(B16="",H16="",C16=""),"",H16-7*VLOOKUP(C16,Plazos!$A$6:$F$8,3,FALSE))</f>
        <v/>
      </c>
      <c r="K16" s="30">
        <f>IF(OR(B16="",H16="",C16=""),"",H16-7*VLOOKUP(C16,Plazos!$A$6:$F$8,4,FALSE))</f>
        <v/>
      </c>
      <c r="L16" s="30">
        <f>IF(OR(B16="",H16="",C16=""),"",H16-7*VLOOKUP(C16,Plazos!$A$6:$F$8,5,FALSE))</f>
        <v/>
      </c>
      <c r="M16" s="30">
        <f>IF(OR(B16="",H16="",C16=""),"",H16-7*VLOOKUP(C16,Plazos!$A$6:$F$8,6,FALSE))</f>
        <v/>
      </c>
      <c r="N16" s="29" t="n"/>
      <c r="O16" s="28" t="n"/>
      <c r="P16" s="25" t="n"/>
      <c r="Q16" s="31">
        <f>IF(OR(B16="",M16=""),"",IF(N16&lt;&gt;"",MAX(0,N16-M16),MAX(0,$B$3-M16)))</f>
        <v/>
      </c>
      <c r="R16" s="26">
        <f>IF(OR(B16="",M16=""),"",IF(N16&lt;&gt;"",IF(Q16&gt;0,"Liberado con atraso","Liberado a tiempo"),IF($B$3&gt;M16,"Vencido sin liberar",IF(M16-$B$3&lt;=14,"Próximo a liberar","En plazo"))))</f>
        <v/>
      </c>
      <c r="S16" s="27" t="n"/>
    </row>
    <row r="17">
      <c r="A17" s="24" t="n"/>
      <c r="B17" s="25" t="n"/>
      <c r="C17" s="25" t="n"/>
      <c r="D17" s="26">
        <f>IF(B17="","","CWP"&amp;MID(B17,4,12))</f>
        <v/>
      </c>
      <c r="E17" s="27" t="n"/>
      <c r="F17" s="25" t="n"/>
      <c r="G17" s="28" t="n"/>
      <c r="H17" s="29" t="n"/>
      <c r="I17" s="30">
        <f>IF(OR(B17="",H17="",C17=""),"",H17-7*VLOOKUP(C17,Plazos!$A$6:$F$8,2,FALSE))</f>
        <v/>
      </c>
      <c r="J17" s="30">
        <f>IF(OR(B17="",H17="",C17=""),"",H17-7*VLOOKUP(C17,Plazos!$A$6:$F$8,3,FALSE))</f>
        <v/>
      </c>
      <c r="K17" s="30">
        <f>IF(OR(B17="",H17="",C17=""),"",H17-7*VLOOKUP(C17,Plazos!$A$6:$F$8,4,FALSE))</f>
        <v/>
      </c>
      <c r="L17" s="30">
        <f>IF(OR(B17="",H17="",C17=""),"",H17-7*VLOOKUP(C17,Plazos!$A$6:$F$8,5,FALSE))</f>
        <v/>
      </c>
      <c r="M17" s="30">
        <f>IF(OR(B17="",H17="",C17=""),"",H17-7*VLOOKUP(C17,Plazos!$A$6:$F$8,6,FALSE))</f>
        <v/>
      </c>
      <c r="N17" s="29" t="n"/>
      <c r="O17" s="28" t="n"/>
      <c r="P17" s="25" t="n"/>
      <c r="Q17" s="31">
        <f>IF(OR(B17="",M17=""),"",IF(N17&lt;&gt;"",MAX(0,N17-M17),MAX(0,$B$3-M17)))</f>
        <v/>
      </c>
      <c r="R17" s="26">
        <f>IF(OR(B17="",M17=""),"",IF(N17&lt;&gt;"",IF(Q17&gt;0,"Liberado con atraso","Liberado a tiempo"),IF($B$3&gt;M17,"Vencido sin liberar",IF(M17-$B$3&lt;=14,"Próximo a liberar","En plazo"))))</f>
        <v/>
      </c>
      <c r="S17" s="27" t="n"/>
    </row>
    <row r="18">
      <c r="A18" s="24" t="n"/>
      <c r="B18" s="25" t="n"/>
      <c r="C18" s="25" t="n"/>
      <c r="D18" s="26">
        <f>IF(B18="","","CWP"&amp;MID(B18,4,12))</f>
        <v/>
      </c>
      <c r="E18" s="27" t="n"/>
      <c r="F18" s="25" t="n"/>
      <c r="G18" s="28" t="n"/>
      <c r="H18" s="29" t="n"/>
      <c r="I18" s="30">
        <f>IF(OR(B18="",H18="",C18=""),"",H18-7*VLOOKUP(C18,Plazos!$A$6:$F$8,2,FALSE))</f>
        <v/>
      </c>
      <c r="J18" s="30">
        <f>IF(OR(B18="",H18="",C18=""),"",H18-7*VLOOKUP(C18,Plazos!$A$6:$F$8,3,FALSE))</f>
        <v/>
      </c>
      <c r="K18" s="30">
        <f>IF(OR(B18="",H18="",C18=""),"",H18-7*VLOOKUP(C18,Plazos!$A$6:$F$8,4,FALSE))</f>
        <v/>
      </c>
      <c r="L18" s="30">
        <f>IF(OR(B18="",H18="",C18=""),"",H18-7*VLOOKUP(C18,Plazos!$A$6:$F$8,5,FALSE))</f>
        <v/>
      </c>
      <c r="M18" s="30">
        <f>IF(OR(B18="",H18="",C18=""),"",H18-7*VLOOKUP(C18,Plazos!$A$6:$F$8,6,FALSE))</f>
        <v/>
      </c>
      <c r="N18" s="29" t="n"/>
      <c r="O18" s="28" t="n"/>
      <c r="P18" s="25" t="n"/>
      <c r="Q18" s="31">
        <f>IF(OR(B18="",M18=""),"",IF(N18&lt;&gt;"",MAX(0,N18-M18),MAX(0,$B$3-M18)))</f>
        <v/>
      </c>
      <c r="R18" s="26">
        <f>IF(OR(B18="",M18=""),"",IF(N18&lt;&gt;"",IF(Q18&gt;0,"Liberado con atraso","Liberado a tiempo"),IF($B$3&gt;M18,"Vencido sin liberar",IF(M18-$B$3&lt;=14,"Próximo a liberar","En plazo"))))</f>
        <v/>
      </c>
      <c r="S18" s="27" t="n"/>
    </row>
    <row r="19">
      <c r="A19" s="24" t="n"/>
      <c r="B19" s="25" t="n"/>
      <c r="C19" s="25" t="n"/>
      <c r="D19" s="26">
        <f>IF(B19="","","CWP"&amp;MID(B19,4,12))</f>
        <v/>
      </c>
      <c r="E19" s="27" t="n"/>
      <c r="F19" s="25" t="n"/>
      <c r="G19" s="28" t="n"/>
      <c r="H19" s="29" t="n"/>
      <c r="I19" s="30">
        <f>IF(OR(B19="",H19="",C19=""),"",H19-7*VLOOKUP(C19,Plazos!$A$6:$F$8,2,FALSE))</f>
        <v/>
      </c>
      <c r="J19" s="30">
        <f>IF(OR(B19="",H19="",C19=""),"",H19-7*VLOOKUP(C19,Plazos!$A$6:$F$8,3,FALSE))</f>
        <v/>
      </c>
      <c r="K19" s="30">
        <f>IF(OR(B19="",H19="",C19=""),"",H19-7*VLOOKUP(C19,Plazos!$A$6:$F$8,4,FALSE))</f>
        <v/>
      </c>
      <c r="L19" s="30">
        <f>IF(OR(B19="",H19="",C19=""),"",H19-7*VLOOKUP(C19,Plazos!$A$6:$F$8,5,FALSE))</f>
        <v/>
      </c>
      <c r="M19" s="30">
        <f>IF(OR(B19="",H19="",C19=""),"",H19-7*VLOOKUP(C19,Plazos!$A$6:$F$8,6,FALSE))</f>
        <v/>
      </c>
      <c r="N19" s="29" t="n"/>
      <c r="O19" s="28" t="n"/>
      <c r="P19" s="25" t="n"/>
      <c r="Q19" s="31">
        <f>IF(OR(B19="",M19=""),"",IF(N19&lt;&gt;"",MAX(0,N19-M19),MAX(0,$B$3-M19)))</f>
        <v/>
      </c>
      <c r="R19" s="26">
        <f>IF(OR(B19="",M19=""),"",IF(N19&lt;&gt;"",IF(Q19&gt;0,"Liberado con atraso","Liberado a tiempo"),IF($B$3&gt;M19,"Vencido sin liberar",IF(M19-$B$3&lt;=14,"Próximo a liberar","En plazo"))))</f>
        <v/>
      </c>
      <c r="S19" s="27" t="n"/>
    </row>
    <row r="20">
      <c r="A20" s="24" t="n"/>
      <c r="B20" s="25" t="n"/>
      <c r="C20" s="25" t="n"/>
      <c r="D20" s="26">
        <f>IF(B20="","","CWP"&amp;MID(B20,4,12))</f>
        <v/>
      </c>
      <c r="E20" s="27" t="n"/>
      <c r="F20" s="25" t="n"/>
      <c r="G20" s="28" t="n"/>
      <c r="H20" s="29" t="n"/>
      <c r="I20" s="30">
        <f>IF(OR(B20="",H20="",C20=""),"",H20-7*VLOOKUP(C20,Plazos!$A$6:$F$8,2,FALSE))</f>
        <v/>
      </c>
      <c r="J20" s="30">
        <f>IF(OR(B20="",H20="",C20=""),"",H20-7*VLOOKUP(C20,Plazos!$A$6:$F$8,3,FALSE))</f>
        <v/>
      </c>
      <c r="K20" s="30">
        <f>IF(OR(B20="",H20="",C20=""),"",H20-7*VLOOKUP(C20,Plazos!$A$6:$F$8,4,FALSE))</f>
        <v/>
      </c>
      <c r="L20" s="30">
        <f>IF(OR(B20="",H20="",C20=""),"",H20-7*VLOOKUP(C20,Plazos!$A$6:$F$8,5,FALSE))</f>
        <v/>
      </c>
      <c r="M20" s="30">
        <f>IF(OR(B20="",H20="",C20=""),"",H20-7*VLOOKUP(C20,Plazos!$A$6:$F$8,6,FALSE))</f>
        <v/>
      </c>
      <c r="N20" s="29" t="n"/>
      <c r="O20" s="28" t="n"/>
      <c r="P20" s="25" t="n"/>
      <c r="Q20" s="31">
        <f>IF(OR(B20="",M20=""),"",IF(N20&lt;&gt;"",MAX(0,N20-M20),MAX(0,$B$3-M20)))</f>
        <v/>
      </c>
      <c r="R20" s="26">
        <f>IF(OR(B20="",M20=""),"",IF(N20&lt;&gt;"",IF(Q20&gt;0,"Liberado con atraso","Liberado a tiempo"),IF($B$3&gt;M20,"Vencido sin liberar",IF(M20-$B$3&lt;=14,"Próximo a liberar","En plazo"))))</f>
        <v/>
      </c>
      <c r="S20" s="27" t="n"/>
    </row>
    <row r="21">
      <c r="A21" s="24" t="n"/>
      <c r="B21" s="25" t="n"/>
      <c r="C21" s="25" t="n"/>
      <c r="D21" s="26">
        <f>IF(B21="","","CWP"&amp;MID(B21,4,12))</f>
        <v/>
      </c>
      <c r="E21" s="27" t="n"/>
      <c r="F21" s="25" t="n"/>
      <c r="G21" s="28" t="n"/>
      <c r="H21" s="29" t="n"/>
      <c r="I21" s="30">
        <f>IF(OR(B21="",H21="",C21=""),"",H21-7*VLOOKUP(C21,Plazos!$A$6:$F$8,2,FALSE))</f>
        <v/>
      </c>
      <c r="J21" s="30">
        <f>IF(OR(B21="",H21="",C21=""),"",H21-7*VLOOKUP(C21,Plazos!$A$6:$F$8,3,FALSE))</f>
        <v/>
      </c>
      <c r="K21" s="30">
        <f>IF(OR(B21="",H21="",C21=""),"",H21-7*VLOOKUP(C21,Plazos!$A$6:$F$8,4,FALSE))</f>
        <v/>
      </c>
      <c r="L21" s="30">
        <f>IF(OR(B21="",H21="",C21=""),"",H21-7*VLOOKUP(C21,Plazos!$A$6:$F$8,5,FALSE))</f>
        <v/>
      </c>
      <c r="M21" s="30">
        <f>IF(OR(B21="",H21="",C21=""),"",H21-7*VLOOKUP(C21,Plazos!$A$6:$F$8,6,FALSE))</f>
        <v/>
      </c>
      <c r="N21" s="29" t="n"/>
      <c r="O21" s="28" t="n"/>
      <c r="P21" s="25" t="n"/>
      <c r="Q21" s="31">
        <f>IF(OR(B21="",M21=""),"",IF(N21&lt;&gt;"",MAX(0,N21-M21),MAX(0,$B$3-M21)))</f>
        <v/>
      </c>
      <c r="R21" s="26">
        <f>IF(OR(B21="",M21=""),"",IF(N21&lt;&gt;"",IF(Q21&gt;0,"Liberado con atraso","Liberado a tiempo"),IF($B$3&gt;M21,"Vencido sin liberar",IF(M21-$B$3&lt;=14,"Próximo a liberar","En plazo"))))</f>
        <v/>
      </c>
      <c r="S21" s="27" t="n"/>
    </row>
    <row r="22">
      <c r="A22" s="24" t="n"/>
      <c r="B22" s="25" t="n"/>
      <c r="C22" s="25" t="n"/>
      <c r="D22" s="26">
        <f>IF(B22="","","CWP"&amp;MID(B22,4,12))</f>
        <v/>
      </c>
      <c r="E22" s="27" t="n"/>
      <c r="F22" s="25" t="n"/>
      <c r="G22" s="28" t="n"/>
      <c r="H22" s="29" t="n"/>
      <c r="I22" s="30">
        <f>IF(OR(B22="",H22="",C22=""),"",H22-7*VLOOKUP(C22,Plazos!$A$6:$F$8,2,FALSE))</f>
        <v/>
      </c>
      <c r="J22" s="30">
        <f>IF(OR(B22="",H22="",C22=""),"",H22-7*VLOOKUP(C22,Plazos!$A$6:$F$8,3,FALSE))</f>
        <v/>
      </c>
      <c r="K22" s="30">
        <f>IF(OR(B22="",H22="",C22=""),"",H22-7*VLOOKUP(C22,Plazos!$A$6:$F$8,4,FALSE))</f>
        <v/>
      </c>
      <c r="L22" s="30">
        <f>IF(OR(B22="",H22="",C22=""),"",H22-7*VLOOKUP(C22,Plazos!$A$6:$F$8,5,FALSE))</f>
        <v/>
      </c>
      <c r="M22" s="30">
        <f>IF(OR(B22="",H22="",C22=""),"",H22-7*VLOOKUP(C22,Plazos!$A$6:$F$8,6,FALSE))</f>
        <v/>
      </c>
      <c r="N22" s="29" t="n"/>
      <c r="O22" s="28" t="n"/>
      <c r="P22" s="25" t="n"/>
      <c r="Q22" s="31">
        <f>IF(OR(B22="",M22=""),"",IF(N22&lt;&gt;"",MAX(0,N22-M22),MAX(0,$B$3-M22)))</f>
        <v/>
      </c>
      <c r="R22" s="26">
        <f>IF(OR(B22="",M22=""),"",IF(N22&lt;&gt;"",IF(Q22&gt;0,"Liberado con atraso","Liberado a tiempo"),IF($B$3&gt;M22,"Vencido sin liberar",IF(M22-$B$3&lt;=14,"Próximo a liberar","En plazo"))))</f>
        <v/>
      </c>
      <c r="S22" s="27" t="n"/>
    </row>
    <row r="23">
      <c r="A23" s="24" t="n"/>
      <c r="B23" s="25" t="n"/>
      <c r="C23" s="25" t="n"/>
      <c r="D23" s="26">
        <f>IF(B23="","","CWP"&amp;MID(B23,4,12))</f>
        <v/>
      </c>
      <c r="E23" s="27" t="n"/>
      <c r="F23" s="25" t="n"/>
      <c r="G23" s="28" t="n"/>
      <c r="H23" s="29" t="n"/>
      <c r="I23" s="30">
        <f>IF(OR(B23="",H23="",C23=""),"",H23-7*VLOOKUP(C23,Plazos!$A$6:$F$8,2,FALSE))</f>
        <v/>
      </c>
      <c r="J23" s="30">
        <f>IF(OR(B23="",H23="",C23=""),"",H23-7*VLOOKUP(C23,Plazos!$A$6:$F$8,3,FALSE))</f>
        <v/>
      </c>
      <c r="K23" s="30">
        <f>IF(OR(B23="",H23="",C23=""),"",H23-7*VLOOKUP(C23,Plazos!$A$6:$F$8,4,FALSE))</f>
        <v/>
      </c>
      <c r="L23" s="30">
        <f>IF(OR(B23="",H23="",C23=""),"",H23-7*VLOOKUP(C23,Plazos!$A$6:$F$8,5,FALSE))</f>
        <v/>
      </c>
      <c r="M23" s="30">
        <f>IF(OR(B23="",H23="",C23=""),"",H23-7*VLOOKUP(C23,Plazos!$A$6:$F$8,6,FALSE))</f>
        <v/>
      </c>
      <c r="N23" s="29" t="n"/>
      <c r="O23" s="28" t="n"/>
      <c r="P23" s="25" t="n"/>
      <c r="Q23" s="31">
        <f>IF(OR(B23="",M23=""),"",IF(N23&lt;&gt;"",MAX(0,N23-M23),MAX(0,$B$3-M23)))</f>
        <v/>
      </c>
      <c r="R23" s="26">
        <f>IF(OR(B23="",M23=""),"",IF(N23&lt;&gt;"",IF(Q23&gt;0,"Liberado con atraso","Liberado a tiempo"),IF($B$3&gt;M23,"Vencido sin liberar",IF(M23-$B$3&lt;=14,"Próximo a liberar","En plazo"))))</f>
        <v/>
      </c>
      <c r="S23" s="27" t="n"/>
    </row>
    <row r="24">
      <c r="A24" s="24" t="n"/>
      <c r="B24" s="25" t="n"/>
      <c r="C24" s="25" t="n"/>
      <c r="D24" s="26">
        <f>IF(B24="","","CWP"&amp;MID(B24,4,12))</f>
        <v/>
      </c>
      <c r="E24" s="27" t="n"/>
      <c r="F24" s="25" t="n"/>
      <c r="G24" s="28" t="n"/>
      <c r="H24" s="29" t="n"/>
      <c r="I24" s="30">
        <f>IF(OR(B24="",H24="",C24=""),"",H24-7*VLOOKUP(C24,Plazos!$A$6:$F$8,2,FALSE))</f>
        <v/>
      </c>
      <c r="J24" s="30">
        <f>IF(OR(B24="",H24="",C24=""),"",H24-7*VLOOKUP(C24,Plazos!$A$6:$F$8,3,FALSE))</f>
        <v/>
      </c>
      <c r="K24" s="30">
        <f>IF(OR(B24="",H24="",C24=""),"",H24-7*VLOOKUP(C24,Plazos!$A$6:$F$8,4,FALSE))</f>
        <v/>
      </c>
      <c r="L24" s="30">
        <f>IF(OR(B24="",H24="",C24=""),"",H24-7*VLOOKUP(C24,Plazos!$A$6:$F$8,5,FALSE))</f>
        <v/>
      </c>
      <c r="M24" s="30">
        <f>IF(OR(B24="",H24="",C24=""),"",H24-7*VLOOKUP(C24,Plazos!$A$6:$F$8,6,FALSE))</f>
        <v/>
      </c>
      <c r="N24" s="29" t="n"/>
      <c r="O24" s="28" t="n"/>
      <c r="P24" s="25" t="n"/>
      <c r="Q24" s="31">
        <f>IF(OR(B24="",M24=""),"",IF(N24&lt;&gt;"",MAX(0,N24-M24),MAX(0,$B$3-M24)))</f>
        <v/>
      </c>
      <c r="R24" s="26">
        <f>IF(OR(B24="",M24=""),"",IF(N24&lt;&gt;"",IF(Q24&gt;0,"Liberado con atraso","Liberado a tiempo"),IF($B$3&gt;M24,"Vencido sin liberar",IF(M24-$B$3&lt;=14,"Próximo a liberar","En plazo"))))</f>
        <v/>
      </c>
      <c r="S24" s="27" t="n"/>
    </row>
    <row r="25">
      <c r="A25" s="24" t="n"/>
      <c r="B25" s="25" t="n"/>
      <c r="C25" s="25" t="n"/>
      <c r="D25" s="26">
        <f>IF(B25="","","CWP"&amp;MID(B25,4,12))</f>
        <v/>
      </c>
      <c r="E25" s="27" t="n"/>
      <c r="F25" s="25" t="n"/>
      <c r="G25" s="28" t="n"/>
      <c r="H25" s="29" t="n"/>
      <c r="I25" s="30">
        <f>IF(OR(B25="",H25="",C25=""),"",H25-7*VLOOKUP(C25,Plazos!$A$6:$F$8,2,FALSE))</f>
        <v/>
      </c>
      <c r="J25" s="30">
        <f>IF(OR(B25="",H25="",C25=""),"",H25-7*VLOOKUP(C25,Plazos!$A$6:$F$8,3,FALSE))</f>
        <v/>
      </c>
      <c r="K25" s="30">
        <f>IF(OR(B25="",H25="",C25=""),"",H25-7*VLOOKUP(C25,Plazos!$A$6:$F$8,4,FALSE))</f>
        <v/>
      </c>
      <c r="L25" s="30">
        <f>IF(OR(B25="",H25="",C25=""),"",H25-7*VLOOKUP(C25,Plazos!$A$6:$F$8,5,FALSE))</f>
        <v/>
      </c>
      <c r="M25" s="30">
        <f>IF(OR(B25="",H25="",C25=""),"",H25-7*VLOOKUP(C25,Plazos!$A$6:$F$8,6,FALSE))</f>
        <v/>
      </c>
      <c r="N25" s="29" t="n"/>
      <c r="O25" s="28" t="n"/>
      <c r="P25" s="25" t="n"/>
      <c r="Q25" s="31">
        <f>IF(OR(B25="",M25=""),"",IF(N25&lt;&gt;"",MAX(0,N25-M25),MAX(0,$B$3-M25)))</f>
        <v/>
      </c>
      <c r="R25" s="26">
        <f>IF(OR(B25="",M25=""),"",IF(N25&lt;&gt;"",IF(Q25&gt;0,"Liberado con atraso","Liberado a tiempo"),IF($B$3&gt;M25,"Vencido sin liberar",IF(M25-$B$3&lt;=14,"Próximo a liberar","En plazo"))))</f>
        <v/>
      </c>
      <c r="S25" s="27" t="n"/>
    </row>
    <row r="26">
      <c r="A26" s="24" t="n"/>
      <c r="B26" s="25" t="n"/>
      <c r="C26" s="25" t="n"/>
      <c r="D26" s="26">
        <f>IF(B26="","","CWP"&amp;MID(B26,4,12))</f>
        <v/>
      </c>
      <c r="E26" s="27" t="n"/>
      <c r="F26" s="25" t="n"/>
      <c r="G26" s="28" t="n"/>
      <c r="H26" s="29" t="n"/>
      <c r="I26" s="30">
        <f>IF(OR(B26="",H26="",C26=""),"",H26-7*VLOOKUP(C26,Plazos!$A$6:$F$8,2,FALSE))</f>
        <v/>
      </c>
      <c r="J26" s="30">
        <f>IF(OR(B26="",H26="",C26=""),"",H26-7*VLOOKUP(C26,Plazos!$A$6:$F$8,3,FALSE))</f>
        <v/>
      </c>
      <c r="K26" s="30">
        <f>IF(OR(B26="",H26="",C26=""),"",H26-7*VLOOKUP(C26,Plazos!$A$6:$F$8,4,FALSE))</f>
        <v/>
      </c>
      <c r="L26" s="30">
        <f>IF(OR(B26="",H26="",C26=""),"",H26-7*VLOOKUP(C26,Plazos!$A$6:$F$8,5,FALSE))</f>
        <v/>
      </c>
      <c r="M26" s="30">
        <f>IF(OR(B26="",H26="",C26=""),"",H26-7*VLOOKUP(C26,Plazos!$A$6:$F$8,6,FALSE))</f>
        <v/>
      </c>
      <c r="N26" s="29" t="n"/>
      <c r="O26" s="28" t="n"/>
      <c r="P26" s="25" t="n"/>
      <c r="Q26" s="31">
        <f>IF(OR(B26="",M26=""),"",IF(N26&lt;&gt;"",MAX(0,N26-M26),MAX(0,$B$3-M26)))</f>
        <v/>
      </c>
      <c r="R26" s="26">
        <f>IF(OR(B26="",M26=""),"",IF(N26&lt;&gt;"",IF(Q26&gt;0,"Liberado con atraso","Liberado a tiempo"),IF($B$3&gt;M26,"Vencido sin liberar",IF(M26-$B$3&lt;=14,"Próximo a liberar","En plazo"))))</f>
        <v/>
      </c>
      <c r="S26" s="27" t="n"/>
    </row>
    <row r="27">
      <c r="A27" s="24" t="n"/>
      <c r="B27" s="25" t="n"/>
      <c r="C27" s="25" t="n"/>
      <c r="D27" s="26">
        <f>IF(B27="","","CWP"&amp;MID(B27,4,12))</f>
        <v/>
      </c>
      <c r="E27" s="27" t="n"/>
      <c r="F27" s="25" t="n"/>
      <c r="G27" s="28" t="n"/>
      <c r="H27" s="29" t="n"/>
      <c r="I27" s="30">
        <f>IF(OR(B27="",H27="",C27=""),"",H27-7*VLOOKUP(C27,Plazos!$A$6:$F$8,2,FALSE))</f>
        <v/>
      </c>
      <c r="J27" s="30">
        <f>IF(OR(B27="",H27="",C27=""),"",H27-7*VLOOKUP(C27,Plazos!$A$6:$F$8,3,FALSE))</f>
        <v/>
      </c>
      <c r="K27" s="30">
        <f>IF(OR(B27="",H27="",C27=""),"",H27-7*VLOOKUP(C27,Plazos!$A$6:$F$8,4,FALSE))</f>
        <v/>
      </c>
      <c r="L27" s="30">
        <f>IF(OR(B27="",H27="",C27=""),"",H27-7*VLOOKUP(C27,Plazos!$A$6:$F$8,5,FALSE))</f>
        <v/>
      </c>
      <c r="M27" s="30">
        <f>IF(OR(B27="",H27="",C27=""),"",H27-7*VLOOKUP(C27,Plazos!$A$6:$F$8,6,FALSE))</f>
        <v/>
      </c>
      <c r="N27" s="29" t="n"/>
      <c r="O27" s="28" t="n"/>
      <c r="P27" s="25" t="n"/>
      <c r="Q27" s="31">
        <f>IF(OR(B27="",M27=""),"",IF(N27&lt;&gt;"",MAX(0,N27-M27),MAX(0,$B$3-M27)))</f>
        <v/>
      </c>
      <c r="R27" s="26">
        <f>IF(OR(B27="",M27=""),"",IF(N27&lt;&gt;"",IF(Q27&gt;0,"Liberado con atraso","Liberado a tiempo"),IF($B$3&gt;M27,"Vencido sin liberar",IF(M27-$B$3&lt;=14,"Próximo a liberar","En plazo"))))</f>
        <v/>
      </c>
      <c r="S27" s="27" t="n"/>
    </row>
    <row r="28">
      <c r="A28" s="24" t="n"/>
      <c r="B28" s="25" t="n"/>
      <c r="C28" s="25" t="n"/>
      <c r="D28" s="26">
        <f>IF(B28="","","CWP"&amp;MID(B28,4,12))</f>
        <v/>
      </c>
      <c r="E28" s="27" t="n"/>
      <c r="F28" s="25" t="n"/>
      <c r="G28" s="28" t="n"/>
      <c r="H28" s="29" t="n"/>
      <c r="I28" s="30">
        <f>IF(OR(B28="",H28="",C28=""),"",H28-7*VLOOKUP(C28,Plazos!$A$6:$F$8,2,FALSE))</f>
        <v/>
      </c>
      <c r="J28" s="30">
        <f>IF(OR(B28="",H28="",C28=""),"",H28-7*VLOOKUP(C28,Plazos!$A$6:$F$8,3,FALSE))</f>
        <v/>
      </c>
      <c r="K28" s="30">
        <f>IF(OR(B28="",H28="",C28=""),"",H28-7*VLOOKUP(C28,Plazos!$A$6:$F$8,4,FALSE))</f>
        <v/>
      </c>
      <c r="L28" s="30">
        <f>IF(OR(B28="",H28="",C28=""),"",H28-7*VLOOKUP(C28,Plazos!$A$6:$F$8,5,FALSE))</f>
        <v/>
      </c>
      <c r="M28" s="30">
        <f>IF(OR(B28="",H28="",C28=""),"",H28-7*VLOOKUP(C28,Plazos!$A$6:$F$8,6,FALSE))</f>
        <v/>
      </c>
      <c r="N28" s="29" t="n"/>
      <c r="O28" s="28" t="n"/>
      <c r="P28" s="25" t="n"/>
      <c r="Q28" s="31">
        <f>IF(OR(B28="",M28=""),"",IF(N28&lt;&gt;"",MAX(0,N28-M28),MAX(0,$B$3-M28)))</f>
        <v/>
      </c>
      <c r="R28" s="26">
        <f>IF(OR(B28="",M28=""),"",IF(N28&lt;&gt;"",IF(Q28&gt;0,"Liberado con atraso","Liberado a tiempo"),IF($B$3&gt;M28,"Vencido sin liberar",IF(M28-$B$3&lt;=14,"Próximo a liberar","En plazo"))))</f>
        <v/>
      </c>
      <c r="S28" s="27" t="n"/>
    </row>
    <row r="29">
      <c r="A29" s="24" t="n"/>
      <c r="B29" s="25" t="n"/>
      <c r="C29" s="25" t="n"/>
      <c r="D29" s="26">
        <f>IF(B29="","","CWP"&amp;MID(B29,4,12))</f>
        <v/>
      </c>
      <c r="E29" s="27" t="n"/>
      <c r="F29" s="25" t="n"/>
      <c r="G29" s="28" t="n"/>
      <c r="H29" s="29" t="n"/>
      <c r="I29" s="30">
        <f>IF(OR(B29="",H29="",C29=""),"",H29-7*VLOOKUP(C29,Plazos!$A$6:$F$8,2,FALSE))</f>
        <v/>
      </c>
      <c r="J29" s="30">
        <f>IF(OR(B29="",H29="",C29=""),"",H29-7*VLOOKUP(C29,Plazos!$A$6:$F$8,3,FALSE))</f>
        <v/>
      </c>
      <c r="K29" s="30">
        <f>IF(OR(B29="",H29="",C29=""),"",H29-7*VLOOKUP(C29,Plazos!$A$6:$F$8,4,FALSE))</f>
        <v/>
      </c>
      <c r="L29" s="30">
        <f>IF(OR(B29="",H29="",C29=""),"",H29-7*VLOOKUP(C29,Plazos!$A$6:$F$8,5,FALSE))</f>
        <v/>
      </c>
      <c r="M29" s="30">
        <f>IF(OR(B29="",H29="",C29=""),"",H29-7*VLOOKUP(C29,Plazos!$A$6:$F$8,6,FALSE))</f>
        <v/>
      </c>
      <c r="N29" s="29" t="n"/>
      <c r="O29" s="28" t="n"/>
      <c r="P29" s="25" t="n"/>
      <c r="Q29" s="31">
        <f>IF(OR(B29="",M29=""),"",IF(N29&lt;&gt;"",MAX(0,N29-M29),MAX(0,$B$3-M29)))</f>
        <v/>
      </c>
      <c r="R29" s="26">
        <f>IF(OR(B29="",M29=""),"",IF(N29&lt;&gt;"",IF(Q29&gt;0,"Liberado con atraso","Liberado a tiempo"),IF($B$3&gt;M29,"Vencido sin liberar",IF(M29-$B$3&lt;=14,"Próximo a liberar","En plazo"))))</f>
        <v/>
      </c>
      <c r="S29" s="27" t="n"/>
    </row>
    <row r="30">
      <c r="A30" s="24" t="n"/>
      <c r="B30" s="25" t="n"/>
      <c r="C30" s="25" t="n"/>
      <c r="D30" s="26">
        <f>IF(B30="","","CWP"&amp;MID(B30,4,12))</f>
        <v/>
      </c>
      <c r="E30" s="27" t="n"/>
      <c r="F30" s="25" t="n"/>
      <c r="G30" s="28" t="n"/>
      <c r="H30" s="29" t="n"/>
      <c r="I30" s="30">
        <f>IF(OR(B30="",H30="",C30=""),"",H30-7*VLOOKUP(C30,Plazos!$A$6:$F$8,2,FALSE))</f>
        <v/>
      </c>
      <c r="J30" s="30">
        <f>IF(OR(B30="",H30="",C30=""),"",H30-7*VLOOKUP(C30,Plazos!$A$6:$F$8,3,FALSE))</f>
        <v/>
      </c>
      <c r="K30" s="30">
        <f>IF(OR(B30="",H30="",C30=""),"",H30-7*VLOOKUP(C30,Plazos!$A$6:$F$8,4,FALSE))</f>
        <v/>
      </c>
      <c r="L30" s="30">
        <f>IF(OR(B30="",H30="",C30=""),"",H30-7*VLOOKUP(C30,Plazos!$A$6:$F$8,5,FALSE))</f>
        <v/>
      </c>
      <c r="M30" s="30">
        <f>IF(OR(B30="",H30="",C30=""),"",H30-7*VLOOKUP(C30,Plazos!$A$6:$F$8,6,FALSE))</f>
        <v/>
      </c>
      <c r="N30" s="29" t="n"/>
      <c r="O30" s="28" t="n"/>
      <c r="P30" s="25" t="n"/>
      <c r="Q30" s="31">
        <f>IF(OR(B30="",M30=""),"",IF(N30&lt;&gt;"",MAX(0,N30-M30),MAX(0,$B$3-M30)))</f>
        <v/>
      </c>
      <c r="R30" s="26">
        <f>IF(OR(B30="",M30=""),"",IF(N30&lt;&gt;"",IF(Q30&gt;0,"Liberado con atraso","Liberado a tiempo"),IF($B$3&gt;M30,"Vencido sin liberar",IF(M30-$B$3&lt;=14,"Próximo a liberar","En plazo"))))</f>
        <v/>
      </c>
      <c r="S30" s="27" t="n"/>
    </row>
    <row r="31">
      <c r="A31" s="24" t="n"/>
      <c r="B31" s="25" t="n"/>
      <c r="C31" s="25" t="n"/>
      <c r="D31" s="26">
        <f>IF(B31="","","CWP"&amp;MID(B31,4,12))</f>
        <v/>
      </c>
      <c r="E31" s="27" t="n"/>
      <c r="F31" s="25" t="n"/>
      <c r="G31" s="28" t="n"/>
      <c r="H31" s="29" t="n"/>
      <c r="I31" s="30">
        <f>IF(OR(B31="",H31="",C31=""),"",H31-7*VLOOKUP(C31,Plazos!$A$6:$F$8,2,FALSE))</f>
        <v/>
      </c>
      <c r="J31" s="30">
        <f>IF(OR(B31="",H31="",C31=""),"",H31-7*VLOOKUP(C31,Plazos!$A$6:$F$8,3,FALSE))</f>
        <v/>
      </c>
      <c r="K31" s="30">
        <f>IF(OR(B31="",H31="",C31=""),"",H31-7*VLOOKUP(C31,Plazos!$A$6:$F$8,4,FALSE))</f>
        <v/>
      </c>
      <c r="L31" s="30">
        <f>IF(OR(B31="",H31="",C31=""),"",H31-7*VLOOKUP(C31,Plazos!$A$6:$F$8,5,FALSE))</f>
        <v/>
      </c>
      <c r="M31" s="30">
        <f>IF(OR(B31="",H31="",C31=""),"",H31-7*VLOOKUP(C31,Plazos!$A$6:$F$8,6,FALSE))</f>
        <v/>
      </c>
      <c r="N31" s="29" t="n"/>
      <c r="O31" s="28" t="n"/>
      <c r="P31" s="25" t="n"/>
      <c r="Q31" s="31">
        <f>IF(OR(B31="",M31=""),"",IF(N31&lt;&gt;"",MAX(0,N31-M31),MAX(0,$B$3-M31)))</f>
        <v/>
      </c>
      <c r="R31" s="26">
        <f>IF(OR(B31="",M31=""),"",IF(N31&lt;&gt;"",IF(Q31&gt;0,"Liberado con atraso","Liberado a tiempo"),IF($B$3&gt;M31,"Vencido sin liberar",IF(M31-$B$3&lt;=14,"Próximo a liberar","En plazo"))))</f>
        <v/>
      </c>
      <c r="S31" s="27" t="n"/>
    </row>
    <row r="32">
      <c r="A32" s="24" t="n"/>
      <c r="B32" s="25" t="n"/>
      <c r="C32" s="25" t="n"/>
      <c r="D32" s="26">
        <f>IF(B32="","","CWP"&amp;MID(B32,4,12))</f>
        <v/>
      </c>
      <c r="E32" s="27" t="n"/>
      <c r="F32" s="25" t="n"/>
      <c r="G32" s="28" t="n"/>
      <c r="H32" s="29" t="n"/>
      <c r="I32" s="30">
        <f>IF(OR(B32="",H32="",C32=""),"",H32-7*VLOOKUP(C32,Plazos!$A$6:$F$8,2,FALSE))</f>
        <v/>
      </c>
      <c r="J32" s="30">
        <f>IF(OR(B32="",H32="",C32=""),"",H32-7*VLOOKUP(C32,Plazos!$A$6:$F$8,3,FALSE))</f>
        <v/>
      </c>
      <c r="K32" s="30">
        <f>IF(OR(B32="",H32="",C32=""),"",H32-7*VLOOKUP(C32,Plazos!$A$6:$F$8,4,FALSE))</f>
        <v/>
      </c>
      <c r="L32" s="30">
        <f>IF(OR(B32="",H32="",C32=""),"",H32-7*VLOOKUP(C32,Plazos!$A$6:$F$8,5,FALSE))</f>
        <v/>
      </c>
      <c r="M32" s="30">
        <f>IF(OR(B32="",H32="",C32=""),"",H32-7*VLOOKUP(C32,Plazos!$A$6:$F$8,6,FALSE))</f>
        <v/>
      </c>
      <c r="N32" s="29" t="n"/>
      <c r="O32" s="28" t="n"/>
      <c r="P32" s="25" t="n"/>
      <c r="Q32" s="31">
        <f>IF(OR(B32="",M32=""),"",IF(N32&lt;&gt;"",MAX(0,N32-M32),MAX(0,$B$3-M32)))</f>
        <v/>
      </c>
      <c r="R32" s="26">
        <f>IF(OR(B32="",M32=""),"",IF(N32&lt;&gt;"",IF(Q32&gt;0,"Liberado con atraso","Liberado a tiempo"),IF($B$3&gt;M32,"Vencido sin liberar",IF(M32-$B$3&lt;=14,"Próximo a liberar","En plazo"))))</f>
        <v/>
      </c>
      <c r="S32" s="27" t="n"/>
    </row>
    <row r="33">
      <c r="A33" s="24" t="n"/>
      <c r="B33" s="25" t="n"/>
      <c r="C33" s="25" t="n"/>
      <c r="D33" s="26">
        <f>IF(B33="","","CWP"&amp;MID(B33,4,12))</f>
        <v/>
      </c>
      <c r="E33" s="27" t="n"/>
      <c r="F33" s="25" t="n"/>
      <c r="G33" s="28" t="n"/>
      <c r="H33" s="29" t="n"/>
      <c r="I33" s="30">
        <f>IF(OR(B33="",H33="",C33=""),"",H33-7*VLOOKUP(C33,Plazos!$A$6:$F$8,2,FALSE))</f>
        <v/>
      </c>
      <c r="J33" s="30">
        <f>IF(OR(B33="",H33="",C33=""),"",H33-7*VLOOKUP(C33,Plazos!$A$6:$F$8,3,FALSE))</f>
        <v/>
      </c>
      <c r="K33" s="30">
        <f>IF(OR(B33="",H33="",C33=""),"",H33-7*VLOOKUP(C33,Plazos!$A$6:$F$8,4,FALSE))</f>
        <v/>
      </c>
      <c r="L33" s="30">
        <f>IF(OR(B33="",H33="",C33=""),"",H33-7*VLOOKUP(C33,Plazos!$A$6:$F$8,5,FALSE))</f>
        <v/>
      </c>
      <c r="M33" s="30">
        <f>IF(OR(B33="",H33="",C33=""),"",H33-7*VLOOKUP(C33,Plazos!$A$6:$F$8,6,FALSE))</f>
        <v/>
      </c>
      <c r="N33" s="29" t="n"/>
      <c r="O33" s="28" t="n"/>
      <c r="P33" s="25" t="n"/>
      <c r="Q33" s="31">
        <f>IF(OR(B33="",M33=""),"",IF(N33&lt;&gt;"",MAX(0,N33-M33),MAX(0,$B$3-M33)))</f>
        <v/>
      </c>
      <c r="R33" s="26">
        <f>IF(OR(B33="",M33=""),"",IF(N33&lt;&gt;"",IF(Q33&gt;0,"Liberado con atraso","Liberado a tiempo"),IF($B$3&gt;M33,"Vencido sin liberar",IF(M33-$B$3&lt;=14,"Próximo a liberar","En plazo"))))</f>
        <v/>
      </c>
      <c r="S33" s="27" t="n"/>
    </row>
    <row r="34">
      <c r="A34" s="24" t="n"/>
      <c r="B34" s="25" t="n"/>
      <c r="C34" s="25" t="n"/>
      <c r="D34" s="26">
        <f>IF(B34="","","CWP"&amp;MID(B34,4,12))</f>
        <v/>
      </c>
      <c r="E34" s="27" t="n"/>
      <c r="F34" s="25" t="n"/>
      <c r="G34" s="28" t="n"/>
      <c r="H34" s="29" t="n"/>
      <c r="I34" s="30">
        <f>IF(OR(B34="",H34="",C34=""),"",H34-7*VLOOKUP(C34,Plazos!$A$6:$F$8,2,FALSE))</f>
        <v/>
      </c>
      <c r="J34" s="30">
        <f>IF(OR(B34="",H34="",C34=""),"",H34-7*VLOOKUP(C34,Plazos!$A$6:$F$8,3,FALSE))</f>
        <v/>
      </c>
      <c r="K34" s="30">
        <f>IF(OR(B34="",H34="",C34=""),"",H34-7*VLOOKUP(C34,Plazos!$A$6:$F$8,4,FALSE))</f>
        <v/>
      </c>
      <c r="L34" s="30">
        <f>IF(OR(B34="",H34="",C34=""),"",H34-7*VLOOKUP(C34,Plazos!$A$6:$F$8,5,FALSE))</f>
        <v/>
      </c>
      <c r="M34" s="30">
        <f>IF(OR(B34="",H34="",C34=""),"",H34-7*VLOOKUP(C34,Plazos!$A$6:$F$8,6,FALSE))</f>
        <v/>
      </c>
      <c r="N34" s="29" t="n"/>
      <c r="O34" s="28" t="n"/>
      <c r="P34" s="25" t="n"/>
      <c r="Q34" s="31">
        <f>IF(OR(B34="",M34=""),"",IF(N34&lt;&gt;"",MAX(0,N34-M34),MAX(0,$B$3-M34)))</f>
        <v/>
      </c>
      <c r="R34" s="26">
        <f>IF(OR(B34="",M34=""),"",IF(N34&lt;&gt;"",IF(Q34&gt;0,"Liberado con atraso","Liberado a tiempo"),IF($B$3&gt;M34,"Vencido sin liberar",IF(M34-$B$3&lt;=14,"Próximo a liberar","En plazo"))))</f>
        <v/>
      </c>
      <c r="S34" s="27" t="n"/>
    </row>
    <row r="35">
      <c r="A35" s="24" t="n"/>
      <c r="B35" s="25" t="n"/>
      <c r="C35" s="25" t="n"/>
      <c r="D35" s="26">
        <f>IF(B35="","","CWP"&amp;MID(B35,4,12))</f>
        <v/>
      </c>
      <c r="E35" s="27" t="n"/>
      <c r="F35" s="25" t="n"/>
      <c r="G35" s="28" t="n"/>
      <c r="H35" s="29" t="n"/>
      <c r="I35" s="30">
        <f>IF(OR(B35="",H35="",C35=""),"",H35-7*VLOOKUP(C35,Plazos!$A$6:$F$8,2,FALSE))</f>
        <v/>
      </c>
      <c r="J35" s="30">
        <f>IF(OR(B35="",H35="",C35=""),"",H35-7*VLOOKUP(C35,Plazos!$A$6:$F$8,3,FALSE))</f>
        <v/>
      </c>
      <c r="K35" s="30">
        <f>IF(OR(B35="",H35="",C35=""),"",H35-7*VLOOKUP(C35,Plazos!$A$6:$F$8,4,FALSE))</f>
        <v/>
      </c>
      <c r="L35" s="30">
        <f>IF(OR(B35="",H35="",C35=""),"",H35-7*VLOOKUP(C35,Plazos!$A$6:$F$8,5,FALSE))</f>
        <v/>
      </c>
      <c r="M35" s="30">
        <f>IF(OR(B35="",H35="",C35=""),"",H35-7*VLOOKUP(C35,Plazos!$A$6:$F$8,6,FALSE))</f>
        <v/>
      </c>
      <c r="N35" s="29" t="n"/>
      <c r="O35" s="28" t="n"/>
      <c r="P35" s="25" t="n"/>
      <c r="Q35" s="31">
        <f>IF(OR(B35="",M35=""),"",IF(N35&lt;&gt;"",MAX(0,N35-M35),MAX(0,$B$3-M35)))</f>
        <v/>
      </c>
      <c r="R35" s="26">
        <f>IF(OR(B35="",M35=""),"",IF(N35&lt;&gt;"",IF(Q35&gt;0,"Liberado con atraso","Liberado a tiempo"),IF($B$3&gt;M35,"Vencido sin liberar",IF(M35-$B$3&lt;=14,"Próximo a liberar","En plazo"))))</f>
        <v/>
      </c>
      <c r="S35" s="27" t="n"/>
    </row>
    <row r="36">
      <c r="A36" s="24" t="n"/>
      <c r="B36" s="25" t="n"/>
      <c r="C36" s="25" t="n"/>
      <c r="D36" s="26">
        <f>IF(B36="","","CWP"&amp;MID(B36,4,12))</f>
        <v/>
      </c>
      <c r="E36" s="27" t="n"/>
      <c r="F36" s="25" t="n"/>
      <c r="G36" s="28" t="n"/>
      <c r="H36" s="29" t="n"/>
      <c r="I36" s="30">
        <f>IF(OR(B36="",H36="",C36=""),"",H36-7*VLOOKUP(C36,Plazos!$A$6:$F$8,2,FALSE))</f>
        <v/>
      </c>
      <c r="J36" s="30">
        <f>IF(OR(B36="",H36="",C36=""),"",H36-7*VLOOKUP(C36,Plazos!$A$6:$F$8,3,FALSE))</f>
        <v/>
      </c>
      <c r="K36" s="30">
        <f>IF(OR(B36="",H36="",C36=""),"",H36-7*VLOOKUP(C36,Plazos!$A$6:$F$8,4,FALSE))</f>
        <v/>
      </c>
      <c r="L36" s="30">
        <f>IF(OR(B36="",H36="",C36=""),"",H36-7*VLOOKUP(C36,Plazos!$A$6:$F$8,5,FALSE))</f>
        <v/>
      </c>
      <c r="M36" s="30">
        <f>IF(OR(B36="",H36="",C36=""),"",H36-7*VLOOKUP(C36,Plazos!$A$6:$F$8,6,FALSE))</f>
        <v/>
      </c>
      <c r="N36" s="29" t="n"/>
      <c r="O36" s="28" t="n"/>
      <c r="P36" s="25" t="n"/>
      <c r="Q36" s="31">
        <f>IF(OR(B36="",M36=""),"",IF(N36&lt;&gt;"",MAX(0,N36-M36),MAX(0,$B$3-M36)))</f>
        <v/>
      </c>
      <c r="R36" s="26">
        <f>IF(OR(B36="",M36=""),"",IF(N36&lt;&gt;"",IF(Q36&gt;0,"Liberado con atraso","Liberado a tiempo"),IF($B$3&gt;M36,"Vencido sin liberar",IF(M36-$B$3&lt;=14,"Próximo a liberar","En plazo"))))</f>
        <v/>
      </c>
      <c r="S36" s="27" t="n"/>
    </row>
    <row r="37">
      <c r="A37" s="24" t="n"/>
      <c r="B37" s="25" t="n"/>
      <c r="C37" s="25" t="n"/>
      <c r="D37" s="26">
        <f>IF(B37="","","CWP"&amp;MID(B37,4,12))</f>
        <v/>
      </c>
      <c r="E37" s="27" t="n"/>
      <c r="F37" s="25" t="n"/>
      <c r="G37" s="28" t="n"/>
      <c r="H37" s="29" t="n"/>
      <c r="I37" s="30">
        <f>IF(OR(B37="",H37="",C37=""),"",H37-7*VLOOKUP(C37,Plazos!$A$6:$F$8,2,FALSE))</f>
        <v/>
      </c>
      <c r="J37" s="30">
        <f>IF(OR(B37="",H37="",C37=""),"",H37-7*VLOOKUP(C37,Plazos!$A$6:$F$8,3,FALSE))</f>
        <v/>
      </c>
      <c r="K37" s="30">
        <f>IF(OR(B37="",H37="",C37=""),"",H37-7*VLOOKUP(C37,Plazos!$A$6:$F$8,4,FALSE))</f>
        <v/>
      </c>
      <c r="L37" s="30">
        <f>IF(OR(B37="",H37="",C37=""),"",H37-7*VLOOKUP(C37,Plazos!$A$6:$F$8,5,FALSE))</f>
        <v/>
      </c>
      <c r="M37" s="30">
        <f>IF(OR(B37="",H37="",C37=""),"",H37-7*VLOOKUP(C37,Plazos!$A$6:$F$8,6,FALSE))</f>
        <v/>
      </c>
      <c r="N37" s="29" t="n"/>
      <c r="O37" s="28" t="n"/>
      <c r="P37" s="25" t="n"/>
      <c r="Q37" s="31">
        <f>IF(OR(B37="",M37=""),"",IF(N37&lt;&gt;"",MAX(0,N37-M37),MAX(0,$B$3-M37)))</f>
        <v/>
      </c>
      <c r="R37" s="26">
        <f>IF(OR(B37="",M37=""),"",IF(N37&lt;&gt;"",IF(Q37&gt;0,"Liberado con atraso","Liberado a tiempo"),IF($B$3&gt;M37,"Vencido sin liberar",IF(M37-$B$3&lt;=14,"Próximo a liberar","En plazo"))))</f>
        <v/>
      </c>
      <c r="S37" s="27" t="n"/>
    </row>
    <row r="38">
      <c r="A38" s="24" t="n"/>
      <c r="B38" s="25" t="n"/>
      <c r="C38" s="25" t="n"/>
      <c r="D38" s="26">
        <f>IF(B38="","","CWP"&amp;MID(B38,4,12))</f>
        <v/>
      </c>
      <c r="E38" s="27" t="n"/>
      <c r="F38" s="25" t="n"/>
      <c r="G38" s="28" t="n"/>
      <c r="H38" s="29" t="n"/>
      <c r="I38" s="30">
        <f>IF(OR(B38="",H38="",C38=""),"",H38-7*VLOOKUP(C38,Plazos!$A$6:$F$8,2,FALSE))</f>
        <v/>
      </c>
      <c r="J38" s="30">
        <f>IF(OR(B38="",H38="",C38=""),"",H38-7*VLOOKUP(C38,Plazos!$A$6:$F$8,3,FALSE))</f>
        <v/>
      </c>
      <c r="K38" s="30">
        <f>IF(OR(B38="",H38="",C38=""),"",H38-7*VLOOKUP(C38,Plazos!$A$6:$F$8,4,FALSE))</f>
        <v/>
      </c>
      <c r="L38" s="30">
        <f>IF(OR(B38="",H38="",C38=""),"",H38-7*VLOOKUP(C38,Plazos!$A$6:$F$8,5,FALSE))</f>
        <v/>
      </c>
      <c r="M38" s="30">
        <f>IF(OR(B38="",H38="",C38=""),"",H38-7*VLOOKUP(C38,Plazos!$A$6:$F$8,6,FALSE))</f>
        <v/>
      </c>
      <c r="N38" s="29" t="n"/>
      <c r="O38" s="28" t="n"/>
      <c r="P38" s="25" t="n"/>
      <c r="Q38" s="31">
        <f>IF(OR(B38="",M38=""),"",IF(N38&lt;&gt;"",MAX(0,N38-M38),MAX(0,$B$3-M38)))</f>
        <v/>
      </c>
      <c r="R38" s="26">
        <f>IF(OR(B38="",M38=""),"",IF(N38&lt;&gt;"",IF(Q38&gt;0,"Liberado con atraso","Liberado a tiempo"),IF($B$3&gt;M38,"Vencido sin liberar",IF(M38-$B$3&lt;=14,"Próximo a liberar","En plazo"))))</f>
        <v/>
      </c>
      <c r="S38" s="27" t="n"/>
    </row>
    <row r="39">
      <c r="A39" s="24" t="n"/>
      <c r="B39" s="25" t="n"/>
      <c r="C39" s="25" t="n"/>
      <c r="D39" s="26">
        <f>IF(B39="","","CWP"&amp;MID(B39,4,12))</f>
        <v/>
      </c>
      <c r="E39" s="27" t="n"/>
      <c r="F39" s="25" t="n"/>
      <c r="G39" s="28" t="n"/>
      <c r="H39" s="29" t="n"/>
      <c r="I39" s="30">
        <f>IF(OR(B39="",H39="",C39=""),"",H39-7*VLOOKUP(C39,Plazos!$A$6:$F$8,2,FALSE))</f>
        <v/>
      </c>
      <c r="J39" s="30">
        <f>IF(OR(B39="",H39="",C39=""),"",H39-7*VLOOKUP(C39,Plazos!$A$6:$F$8,3,FALSE))</f>
        <v/>
      </c>
      <c r="K39" s="30">
        <f>IF(OR(B39="",H39="",C39=""),"",H39-7*VLOOKUP(C39,Plazos!$A$6:$F$8,4,FALSE))</f>
        <v/>
      </c>
      <c r="L39" s="30">
        <f>IF(OR(B39="",H39="",C39=""),"",H39-7*VLOOKUP(C39,Plazos!$A$6:$F$8,5,FALSE))</f>
        <v/>
      </c>
      <c r="M39" s="30">
        <f>IF(OR(B39="",H39="",C39=""),"",H39-7*VLOOKUP(C39,Plazos!$A$6:$F$8,6,FALSE))</f>
        <v/>
      </c>
      <c r="N39" s="29" t="n"/>
      <c r="O39" s="28" t="n"/>
      <c r="P39" s="25" t="n"/>
      <c r="Q39" s="31">
        <f>IF(OR(B39="",M39=""),"",IF(N39&lt;&gt;"",MAX(0,N39-M39),MAX(0,$B$3-M39)))</f>
        <v/>
      </c>
      <c r="R39" s="26">
        <f>IF(OR(B39="",M39=""),"",IF(N39&lt;&gt;"",IF(Q39&gt;0,"Liberado con atraso","Liberado a tiempo"),IF($B$3&gt;M39,"Vencido sin liberar",IF(M39-$B$3&lt;=14,"Próximo a liberar","En plazo"))))</f>
        <v/>
      </c>
      <c r="S39" s="27" t="n"/>
    </row>
    <row r="40">
      <c r="A40" s="24" t="n"/>
      <c r="B40" s="25" t="n"/>
      <c r="C40" s="25" t="n"/>
      <c r="D40" s="26">
        <f>IF(B40="","","CWP"&amp;MID(B40,4,12))</f>
        <v/>
      </c>
      <c r="E40" s="27" t="n"/>
      <c r="F40" s="25" t="n"/>
      <c r="G40" s="28" t="n"/>
      <c r="H40" s="29" t="n"/>
      <c r="I40" s="30">
        <f>IF(OR(B40="",H40="",C40=""),"",H40-7*VLOOKUP(C40,Plazos!$A$6:$F$8,2,FALSE))</f>
        <v/>
      </c>
      <c r="J40" s="30">
        <f>IF(OR(B40="",H40="",C40=""),"",H40-7*VLOOKUP(C40,Plazos!$A$6:$F$8,3,FALSE))</f>
        <v/>
      </c>
      <c r="K40" s="30">
        <f>IF(OR(B40="",H40="",C40=""),"",H40-7*VLOOKUP(C40,Plazos!$A$6:$F$8,4,FALSE))</f>
        <v/>
      </c>
      <c r="L40" s="30">
        <f>IF(OR(B40="",H40="",C40=""),"",H40-7*VLOOKUP(C40,Plazos!$A$6:$F$8,5,FALSE))</f>
        <v/>
      </c>
      <c r="M40" s="30">
        <f>IF(OR(B40="",H40="",C40=""),"",H40-7*VLOOKUP(C40,Plazos!$A$6:$F$8,6,FALSE))</f>
        <v/>
      </c>
      <c r="N40" s="29" t="n"/>
      <c r="O40" s="28" t="n"/>
      <c r="P40" s="25" t="n"/>
      <c r="Q40" s="31">
        <f>IF(OR(B40="",M40=""),"",IF(N40&lt;&gt;"",MAX(0,N40-M40),MAX(0,$B$3-M40)))</f>
        <v/>
      </c>
      <c r="R40" s="26">
        <f>IF(OR(B40="",M40=""),"",IF(N40&lt;&gt;"",IF(Q40&gt;0,"Liberado con atraso","Liberado a tiempo"),IF($B$3&gt;M40,"Vencido sin liberar",IF(M40-$B$3&lt;=14,"Próximo a liberar","En plazo"))))</f>
        <v/>
      </c>
      <c r="S40" s="27" t="n"/>
    </row>
    <row r="41">
      <c r="A41" s="24" t="n"/>
      <c r="B41" s="25" t="n"/>
      <c r="C41" s="25" t="n"/>
      <c r="D41" s="26">
        <f>IF(B41="","","CWP"&amp;MID(B41,4,12))</f>
        <v/>
      </c>
      <c r="E41" s="27" t="n"/>
      <c r="F41" s="25" t="n"/>
      <c r="G41" s="28" t="n"/>
      <c r="H41" s="29" t="n"/>
      <c r="I41" s="30">
        <f>IF(OR(B41="",H41="",C41=""),"",H41-7*VLOOKUP(C41,Plazos!$A$6:$F$8,2,FALSE))</f>
        <v/>
      </c>
      <c r="J41" s="30">
        <f>IF(OR(B41="",H41="",C41=""),"",H41-7*VLOOKUP(C41,Plazos!$A$6:$F$8,3,FALSE))</f>
        <v/>
      </c>
      <c r="K41" s="30">
        <f>IF(OR(B41="",H41="",C41=""),"",H41-7*VLOOKUP(C41,Plazos!$A$6:$F$8,4,FALSE))</f>
        <v/>
      </c>
      <c r="L41" s="30">
        <f>IF(OR(B41="",H41="",C41=""),"",H41-7*VLOOKUP(C41,Plazos!$A$6:$F$8,5,FALSE))</f>
        <v/>
      </c>
      <c r="M41" s="30">
        <f>IF(OR(B41="",H41="",C41=""),"",H41-7*VLOOKUP(C41,Plazos!$A$6:$F$8,6,FALSE))</f>
        <v/>
      </c>
      <c r="N41" s="29" t="n"/>
      <c r="O41" s="28" t="n"/>
      <c r="P41" s="25" t="n"/>
      <c r="Q41" s="31">
        <f>IF(OR(B41="",M41=""),"",IF(N41&lt;&gt;"",MAX(0,N41-M41),MAX(0,$B$3-M41)))</f>
        <v/>
      </c>
      <c r="R41" s="26">
        <f>IF(OR(B41="",M41=""),"",IF(N41&lt;&gt;"",IF(Q41&gt;0,"Liberado con atraso","Liberado a tiempo"),IF($B$3&gt;M41,"Vencido sin liberar",IF(M41-$B$3&lt;=14,"Próximo a liberar","En plazo"))))</f>
        <v/>
      </c>
      <c r="S41" s="27" t="n"/>
    </row>
    <row r="42">
      <c r="A42" s="24" t="n"/>
      <c r="B42" s="25" t="n"/>
      <c r="C42" s="25" t="n"/>
      <c r="D42" s="26">
        <f>IF(B42="","","CWP"&amp;MID(B42,4,12))</f>
        <v/>
      </c>
      <c r="E42" s="27" t="n"/>
      <c r="F42" s="25" t="n"/>
      <c r="G42" s="28" t="n"/>
      <c r="H42" s="29" t="n"/>
      <c r="I42" s="30">
        <f>IF(OR(B42="",H42="",C42=""),"",H42-7*VLOOKUP(C42,Plazos!$A$6:$F$8,2,FALSE))</f>
        <v/>
      </c>
      <c r="J42" s="30">
        <f>IF(OR(B42="",H42="",C42=""),"",H42-7*VLOOKUP(C42,Plazos!$A$6:$F$8,3,FALSE))</f>
        <v/>
      </c>
      <c r="K42" s="30">
        <f>IF(OR(B42="",H42="",C42=""),"",H42-7*VLOOKUP(C42,Plazos!$A$6:$F$8,4,FALSE))</f>
        <v/>
      </c>
      <c r="L42" s="30">
        <f>IF(OR(B42="",H42="",C42=""),"",H42-7*VLOOKUP(C42,Plazos!$A$6:$F$8,5,FALSE))</f>
        <v/>
      </c>
      <c r="M42" s="30">
        <f>IF(OR(B42="",H42="",C42=""),"",H42-7*VLOOKUP(C42,Plazos!$A$6:$F$8,6,FALSE))</f>
        <v/>
      </c>
      <c r="N42" s="29" t="n"/>
      <c r="O42" s="28" t="n"/>
      <c r="P42" s="25" t="n"/>
      <c r="Q42" s="31">
        <f>IF(OR(B42="",M42=""),"",IF(N42&lt;&gt;"",MAX(0,N42-M42),MAX(0,$B$3-M42)))</f>
        <v/>
      </c>
      <c r="R42" s="26">
        <f>IF(OR(B42="",M42=""),"",IF(N42&lt;&gt;"",IF(Q42&gt;0,"Liberado con atraso","Liberado a tiempo"),IF($B$3&gt;M42,"Vencido sin liberar",IF(M42-$B$3&lt;=14,"Próximo a liberar","En plazo"))))</f>
        <v/>
      </c>
      <c r="S42" s="27" t="n"/>
    </row>
    <row r="43">
      <c r="A43" s="24" t="n"/>
      <c r="B43" s="25" t="n"/>
      <c r="C43" s="25" t="n"/>
      <c r="D43" s="26">
        <f>IF(B43="","","CWP"&amp;MID(B43,4,12))</f>
        <v/>
      </c>
      <c r="E43" s="27" t="n"/>
      <c r="F43" s="25" t="n"/>
      <c r="G43" s="28" t="n"/>
      <c r="H43" s="29" t="n"/>
      <c r="I43" s="30">
        <f>IF(OR(B43="",H43="",C43=""),"",H43-7*VLOOKUP(C43,Plazos!$A$6:$F$8,2,FALSE))</f>
        <v/>
      </c>
      <c r="J43" s="30">
        <f>IF(OR(B43="",H43="",C43=""),"",H43-7*VLOOKUP(C43,Plazos!$A$6:$F$8,3,FALSE))</f>
        <v/>
      </c>
      <c r="K43" s="30">
        <f>IF(OR(B43="",H43="",C43=""),"",H43-7*VLOOKUP(C43,Plazos!$A$6:$F$8,4,FALSE))</f>
        <v/>
      </c>
      <c r="L43" s="30">
        <f>IF(OR(B43="",H43="",C43=""),"",H43-7*VLOOKUP(C43,Plazos!$A$6:$F$8,5,FALSE))</f>
        <v/>
      </c>
      <c r="M43" s="30">
        <f>IF(OR(B43="",H43="",C43=""),"",H43-7*VLOOKUP(C43,Plazos!$A$6:$F$8,6,FALSE))</f>
        <v/>
      </c>
      <c r="N43" s="29" t="n"/>
      <c r="O43" s="28" t="n"/>
      <c r="P43" s="25" t="n"/>
      <c r="Q43" s="31">
        <f>IF(OR(B43="",M43=""),"",IF(N43&lt;&gt;"",MAX(0,N43-M43),MAX(0,$B$3-M43)))</f>
        <v/>
      </c>
      <c r="R43" s="26">
        <f>IF(OR(B43="",M43=""),"",IF(N43&lt;&gt;"",IF(Q43&gt;0,"Liberado con atraso","Liberado a tiempo"),IF($B$3&gt;M43,"Vencido sin liberar",IF(M43-$B$3&lt;=14,"Próximo a liberar","En plazo"))))</f>
        <v/>
      </c>
      <c r="S43" s="27" t="n"/>
    </row>
    <row r="44">
      <c r="A44" s="24" t="n"/>
      <c r="B44" s="25" t="n"/>
      <c r="C44" s="25" t="n"/>
      <c r="D44" s="26">
        <f>IF(B44="","","CWP"&amp;MID(B44,4,12))</f>
        <v/>
      </c>
      <c r="E44" s="27" t="n"/>
      <c r="F44" s="25" t="n"/>
      <c r="G44" s="28" t="n"/>
      <c r="H44" s="29" t="n"/>
      <c r="I44" s="30">
        <f>IF(OR(B44="",H44="",C44=""),"",H44-7*VLOOKUP(C44,Plazos!$A$6:$F$8,2,FALSE))</f>
        <v/>
      </c>
      <c r="J44" s="30">
        <f>IF(OR(B44="",H44="",C44=""),"",H44-7*VLOOKUP(C44,Plazos!$A$6:$F$8,3,FALSE))</f>
        <v/>
      </c>
      <c r="K44" s="30">
        <f>IF(OR(B44="",H44="",C44=""),"",H44-7*VLOOKUP(C44,Plazos!$A$6:$F$8,4,FALSE))</f>
        <v/>
      </c>
      <c r="L44" s="30">
        <f>IF(OR(B44="",H44="",C44=""),"",H44-7*VLOOKUP(C44,Plazos!$A$6:$F$8,5,FALSE))</f>
        <v/>
      </c>
      <c r="M44" s="30">
        <f>IF(OR(B44="",H44="",C44=""),"",H44-7*VLOOKUP(C44,Plazos!$A$6:$F$8,6,FALSE))</f>
        <v/>
      </c>
      <c r="N44" s="29" t="n"/>
      <c r="O44" s="28" t="n"/>
      <c r="P44" s="25" t="n"/>
      <c r="Q44" s="31">
        <f>IF(OR(B44="",M44=""),"",IF(N44&lt;&gt;"",MAX(0,N44-M44),MAX(0,$B$3-M44)))</f>
        <v/>
      </c>
      <c r="R44" s="26">
        <f>IF(OR(B44="",M44=""),"",IF(N44&lt;&gt;"",IF(Q44&gt;0,"Liberado con atraso","Liberado a tiempo"),IF($B$3&gt;M44,"Vencido sin liberar",IF(M44-$B$3&lt;=14,"Próximo a liberar","En plazo"))))</f>
        <v/>
      </c>
      <c r="S44" s="27" t="n"/>
    </row>
    <row r="45">
      <c r="A45" s="24" t="n"/>
      <c r="B45" s="25" t="n"/>
      <c r="C45" s="25" t="n"/>
      <c r="D45" s="26">
        <f>IF(B45="","","CWP"&amp;MID(B45,4,12))</f>
        <v/>
      </c>
      <c r="E45" s="27" t="n"/>
      <c r="F45" s="25" t="n"/>
      <c r="G45" s="28" t="n"/>
      <c r="H45" s="29" t="n"/>
      <c r="I45" s="30">
        <f>IF(OR(B45="",H45="",C45=""),"",H45-7*VLOOKUP(C45,Plazos!$A$6:$F$8,2,FALSE))</f>
        <v/>
      </c>
      <c r="J45" s="30">
        <f>IF(OR(B45="",H45="",C45=""),"",H45-7*VLOOKUP(C45,Plazos!$A$6:$F$8,3,FALSE))</f>
        <v/>
      </c>
      <c r="K45" s="30">
        <f>IF(OR(B45="",H45="",C45=""),"",H45-7*VLOOKUP(C45,Plazos!$A$6:$F$8,4,FALSE))</f>
        <v/>
      </c>
      <c r="L45" s="30">
        <f>IF(OR(B45="",H45="",C45=""),"",H45-7*VLOOKUP(C45,Plazos!$A$6:$F$8,5,FALSE))</f>
        <v/>
      </c>
      <c r="M45" s="30">
        <f>IF(OR(B45="",H45="",C45=""),"",H45-7*VLOOKUP(C45,Plazos!$A$6:$F$8,6,FALSE))</f>
        <v/>
      </c>
      <c r="N45" s="29" t="n"/>
      <c r="O45" s="28" t="n"/>
      <c r="P45" s="25" t="n"/>
      <c r="Q45" s="31">
        <f>IF(OR(B45="",M45=""),"",IF(N45&lt;&gt;"",MAX(0,N45-M45),MAX(0,$B$3-M45)))</f>
        <v/>
      </c>
      <c r="R45" s="26">
        <f>IF(OR(B45="",M45=""),"",IF(N45&lt;&gt;"",IF(Q45&gt;0,"Liberado con atraso","Liberado a tiempo"),IF($B$3&gt;M45,"Vencido sin liberar",IF(M45-$B$3&lt;=14,"Próximo a liberar","En plazo"))))</f>
        <v/>
      </c>
      <c r="S45" s="27" t="n"/>
    </row>
    <row r="46">
      <c r="A46" s="24" t="n"/>
      <c r="B46" s="25" t="n"/>
      <c r="C46" s="25" t="n"/>
      <c r="D46" s="26">
        <f>IF(B46="","","CWP"&amp;MID(B46,4,12))</f>
        <v/>
      </c>
      <c r="E46" s="27" t="n"/>
      <c r="F46" s="25" t="n"/>
      <c r="G46" s="28" t="n"/>
      <c r="H46" s="29" t="n"/>
      <c r="I46" s="30">
        <f>IF(OR(B46="",H46="",C46=""),"",H46-7*VLOOKUP(C46,Plazos!$A$6:$F$8,2,FALSE))</f>
        <v/>
      </c>
      <c r="J46" s="30">
        <f>IF(OR(B46="",H46="",C46=""),"",H46-7*VLOOKUP(C46,Plazos!$A$6:$F$8,3,FALSE))</f>
        <v/>
      </c>
      <c r="K46" s="30">
        <f>IF(OR(B46="",H46="",C46=""),"",H46-7*VLOOKUP(C46,Plazos!$A$6:$F$8,4,FALSE))</f>
        <v/>
      </c>
      <c r="L46" s="30">
        <f>IF(OR(B46="",H46="",C46=""),"",H46-7*VLOOKUP(C46,Plazos!$A$6:$F$8,5,FALSE))</f>
        <v/>
      </c>
      <c r="M46" s="30">
        <f>IF(OR(B46="",H46="",C46=""),"",H46-7*VLOOKUP(C46,Plazos!$A$6:$F$8,6,FALSE))</f>
        <v/>
      </c>
      <c r="N46" s="29" t="n"/>
      <c r="O46" s="28" t="n"/>
      <c r="P46" s="25" t="n"/>
      <c r="Q46" s="31">
        <f>IF(OR(B46="",M46=""),"",IF(N46&lt;&gt;"",MAX(0,N46-M46),MAX(0,$B$3-M46)))</f>
        <v/>
      </c>
      <c r="R46" s="26">
        <f>IF(OR(B46="",M46=""),"",IF(N46&lt;&gt;"",IF(Q46&gt;0,"Liberado con atraso","Liberado a tiempo"),IF($B$3&gt;M46,"Vencido sin liberar",IF(M46-$B$3&lt;=14,"Próximo a liberar","En plazo"))))</f>
        <v/>
      </c>
      <c r="S46" s="27" t="n"/>
    </row>
    <row r="47">
      <c r="A47" s="24" t="n"/>
      <c r="B47" s="25" t="n"/>
      <c r="C47" s="25" t="n"/>
      <c r="D47" s="26">
        <f>IF(B47="","","CWP"&amp;MID(B47,4,12))</f>
        <v/>
      </c>
      <c r="E47" s="27" t="n"/>
      <c r="F47" s="25" t="n"/>
      <c r="G47" s="28" t="n"/>
      <c r="H47" s="29" t="n"/>
      <c r="I47" s="30">
        <f>IF(OR(B47="",H47="",C47=""),"",H47-7*VLOOKUP(C47,Plazos!$A$6:$F$8,2,FALSE))</f>
        <v/>
      </c>
      <c r="J47" s="30">
        <f>IF(OR(B47="",H47="",C47=""),"",H47-7*VLOOKUP(C47,Plazos!$A$6:$F$8,3,FALSE))</f>
        <v/>
      </c>
      <c r="K47" s="30">
        <f>IF(OR(B47="",H47="",C47=""),"",H47-7*VLOOKUP(C47,Plazos!$A$6:$F$8,4,FALSE))</f>
        <v/>
      </c>
      <c r="L47" s="30">
        <f>IF(OR(B47="",H47="",C47=""),"",H47-7*VLOOKUP(C47,Plazos!$A$6:$F$8,5,FALSE))</f>
        <v/>
      </c>
      <c r="M47" s="30">
        <f>IF(OR(B47="",H47="",C47=""),"",H47-7*VLOOKUP(C47,Plazos!$A$6:$F$8,6,FALSE))</f>
        <v/>
      </c>
      <c r="N47" s="29" t="n"/>
      <c r="O47" s="28" t="n"/>
      <c r="P47" s="25" t="n"/>
      <c r="Q47" s="31">
        <f>IF(OR(B47="",M47=""),"",IF(N47&lt;&gt;"",MAX(0,N47-M47),MAX(0,$B$3-M47)))</f>
        <v/>
      </c>
      <c r="R47" s="26">
        <f>IF(OR(B47="",M47=""),"",IF(N47&lt;&gt;"",IF(Q47&gt;0,"Liberado con atraso","Liberado a tiempo"),IF($B$3&gt;M47,"Vencido sin liberar",IF(M47-$B$3&lt;=14,"Próximo a liberar","En plazo"))))</f>
        <v/>
      </c>
      <c r="S47" s="27" t="n"/>
    </row>
    <row r="48">
      <c r="A48" s="24" t="n"/>
      <c r="B48" s="25" t="n"/>
      <c r="C48" s="25" t="n"/>
      <c r="D48" s="26">
        <f>IF(B48="","","CWP"&amp;MID(B48,4,12))</f>
        <v/>
      </c>
      <c r="E48" s="27" t="n"/>
      <c r="F48" s="25" t="n"/>
      <c r="G48" s="28" t="n"/>
      <c r="H48" s="29" t="n"/>
      <c r="I48" s="30">
        <f>IF(OR(B48="",H48="",C48=""),"",H48-7*VLOOKUP(C48,Plazos!$A$6:$F$8,2,FALSE))</f>
        <v/>
      </c>
      <c r="J48" s="30">
        <f>IF(OR(B48="",H48="",C48=""),"",H48-7*VLOOKUP(C48,Plazos!$A$6:$F$8,3,FALSE))</f>
        <v/>
      </c>
      <c r="K48" s="30">
        <f>IF(OR(B48="",H48="",C48=""),"",H48-7*VLOOKUP(C48,Plazos!$A$6:$F$8,4,FALSE))</f>
        <v/>
      </c>
      <c r="L48" s="30">
        <f>IF(OR(B48="",H48="",C48=""),"",H48-7*VLOOKUP(C48,Plazos!$A$6:$F$8,5,FALSE))</f>
        <v/>
      </c>
      <c r="M48" s="30">
        <f>IF(OR(B48="",H48="",C48=""),"",H48-7*VLOOKUP(C48,Plazos!$A$6:$F$8,6,FALSE))</f>
        <v/>
      </c>
      <c r="N48" s="29" t="n"/>
      <c r="O48" s="28" t="n"/>
      <c r="P48" s="25" t="n"/>
      <c r="Q48" s="31">
        <f>IF(OR(B48="",M48=""),"",IF(N48&lt;&gt;"",MAX(0,N48-M48),MAX(0,$B$3-M48)))</f>
        <v/>
      </c>
      <c r="R48" s="26">
        <f>IF(OR(B48="",M48=""),"",IF(N48&lt;&gt;"",IF(Q48&gt;0,"Liberado con atraso","Liberado a tiempo"),IF($B$3&gt;M48,"Vencido sin liberar",IF(M48-$B$3&lt;=14,"Próximo a liberar","En plazo"))))</f>
        <v/>
      </c>
      <c r="S48" s="27" t="n"/>
    </row>
    <row r="49">
      <c r="A49" s="24" t="n"/>
      <c r="B49" s="25" t="n"/>
      <c r="C49" s="25" t="n"/>
      <c r="D49" s="26">
        <f>IF(B49="","","CWP"&amp;MID(B49,4,12))</f>
        <v/>
      </c>
      <c r="E49" s="27" t="n"/>
      <c r="F49" s="25" t="n"/>
      <c r="G49" s="28" t="n"/>
      <c r="H49" s="29" t="n"/>
      <c r="I49" s="30">
        <f>IF(OR(B49="",H49="",C49=""),"",H49-7*VLOOKUP(C49,Plazos!$A$6:$F$8,2,FALSE))</f>
        <v/>
      </c>
      <c r="J49" s="30">
        <f>IF(OR(B49="",H49="",C49=""),"",H49-7*VLOOKUP(C49,Plazos!$A$6:$F$8,3,FALSE))</f>
        <v/>
      </c>
      <c r="K49" s="30">
        <f>IF(OR(B49="",H49="",C49=""),"",H49-7*VLOOKUP(C49,Plazos!$A$6:$F$8,4,FALSE))</f>
        <v/>
      </c>
      <c r="L49" s="30">
        <f>IF(OR(B49="",H49="",C49=""),"",H49-7*VLOOKUP(C49,Plazos!$A$6:$F$8,5,FALSE))</f>
        <v/>
      </c>
      <c r="M49" s="30">
        <f>IF(OR(B49="",H49="",C49=""),"",H49-7*VLOOKUP(C49,Plazos!$A$6:$F$8,6,FALSE))</f>
        <v/>
      </c>
      <c r="N49" s="29" t="n"/>
      <c r="O49" s="28" t="n"/>
      <c r="P49" s="25" t="n"/>
      <c r="Q49" s="31">
        <f>IF(OR(B49="",M49=""),"",IF(N49&lt;&gt;"",MAX(0,N49-M49),MAX(0,$B$3-M49)))</f>
        <v/>
      </c>
      <c r="R49" s="26">
        <f>IF(OR(B49="",M49=""),"",IF(N49&lt;&gt;"",IF(Q49&gt;0,"Liberado con atraso","Liberado a tiempo"),IF($B$3&gt;M49,"Vencido sin liberar",IF(M49-$B$3&lt;=14,"Próximo a liberar","En plazo"))))</f>
        <v/>
      </c>
      <c r="S49" s="27" t="n"/>
    </row>
    <row r="50">
      <c r="A50" s="24" t="n"/>
      <c r="B50" s="25" t="n"/>
      <c r="C50" s="25" t="n"/>
      <c r="D50" s="26">
        <f>IF(B50="","","CWP"&amp;MID(B50,4,12))</f>
        <v/>
      </c>
      <c r="E50" s="27" t="n"/>
      <c r="F50" s="25" t="n"/>
      <c r="G50" s="28" t="n"/>
      <c r="H50" s="29" t="n"/>
      <c r="I50" s="30">
        <f>IF(OR(B50="",H50="",C50=""),"",H50-7*VLOOKUP(C50,Plazos!$A$6:$F$8,2,FALSE))</f>
        <v/>
      </c>
      <c r="J50" s="30">
        <f>IF(OR(B50="",H50="",C50=""),"",H50-7*VLOOKUP(C50,Plazos!$A$6:$F$8,3,FALSE))</f>
        <v/>
      </c>
      <c r="K50" s="30">
        <f>IF(OR(B50="",H50="",C50=""),"",H50-7*VLOOKUP(C50,Plazos!$A$6:$F$8,4,FALSE))</f>
        <v/>
      </c>
      <c r="L50" s="30">
        <f>IF(OR(B50="",H50="",C50=""),"",H50-7*VLOOKUP(C50,Plazos!$A$6:$F$8,5,FALSE))</f>
        <v/>
      </c>
      <c r="M50" s="30">
        <f>IF(OR(B50="",H50="",C50=""),"",H50-7*VLOOKUP(C50,Plazos!$A$6:$F$8,6,FALSE))</f>
        <v/>
      </c>
      <c r="N50" s="29" t="n"/>
      <c r="O50" s="28" t="n"/>
      <c r="P50" s="25" t="n"/>
      <c r="Q50" s="31">
        <f>IF(OR(B50="",M50=""),"",IF(N50&lt;&gt;"",MAX(0,N50-M50),MAX(0,$B$3-M50)))</f>
        <v/>
      </c>
      <c r="R50" s="26">
        <f>IF(OR(B50="",M50=""),"",IF(N50&lt;&gt;"",IF(Q50&gt;0,"Liberado con atraso","Liberado a tiempo"),IF($B$3&gt;M50,"Vencido sin liberar",IF(M50-$B$3&lt;=14,"Próximo a liberar","En plazo"))))</f>
        <v/>
      </c>
      <c r="S50" s="27" t="n"/>
    </row>
    <row r="51">
      <c r="A51" s="24" t="n"/>
      <c r="B51" s="25" t="n"/>
      <c r="C51" s="25" t="n"/>
      <c r="D51" s="26">
        <f>IF(B51="","","CWP"&amp;MID(B51,4,12))</f>
        <v/>
      </c>
      <c r="E51" s="27" t="n"/>
      <c r="F51" s="25" t="n"/>
      <c r="G51" s="28" t="n"/>
      <c r="H51" s="29" t="n"/>
      <c r="I51" s="30">
        <f>IF(OR(B51="",H51="",C51=""),"",H51-7*VLOOKUP(C51,Plazos!$A$6:$F$8,2,FALSE))</f>
        <v/>
      </c>
      <c r="J51" s="30">
        <f>IF(OR(B51="",H51="",C51=""),"",H51-7*VLOOKUP(C51,Plazos!$A$6:$F$8,3,FALSE))</f>
        <v/>
      </c>
      <c r="K51" s="30">
        <f>IF(OR(B51="",H51="",C51=""),"",H51-7*VLOOKUP(C51,Plazos!$A$6:$F$8,4,FALSE))</f>
        <v/>
      </c>
      <c r="L51" s="30">
        <f>IF(OR(B51="",H51="",C51=""),"",H51-7*VLOOKUP(C51,Plazos!$A$6:$F$8,5,FALSE))</f>
        <v/>
      </c>
      <c r="M51" s="30">
        <f>IF(OR(B51="",H51="",C51=""),"",H51-7*VLOOKUP(C51,Plazos!$A$6:$F$8,6,FALSE))</f>
        <v/>
      </c>
      <c r="N51" s="29" t="n"/>
      <c r="O51" s="28" t="n"/>
      <c r="P51" s="25" t="n"/>
      <c r="Q51" s="31">
        <f>IF(OR(B51="",M51=""),"",IF(N51&lt;&gt;"",MAX(0,N51-M51),MAX(0,$B$3-M51)))</f>
        <v/>
      </c>
      <c r="R51" s="26">
        <f>IF(OR(B51="",M51=""),"",IF(N51&lt;&gt;"",IF(Q51&gt;0,"Liberado con atraso","Liberado a tiempo"),IF($B$3&gt;M51,"Vencido sin liberar",IF(M51-$B$3&lt;=14,"Próximo a liberar","En plazo"))))</f>
        <v/>
      </c>
      <c r="S51" s="27" t="n"/>
    </row>
    <row r="52">
      <c r="A52" s="24" t="n"/>
      <c r="B52" s="25" t="n"/>
      <c r="C52" s="25" t="n"/>
      <c r="D52" s="26">
        <f>IF(B52="","","CWP"&amp;MID(B52,4,12))</f>
        <v/>
      </c>
      <c r="E52" s="27" t="n"/>
      <c r="F52" s="25" t="n"/>
      <c r="G52" s="28" t="n"/>
      <c r="H52" s="29" t="n"/>
      <c r="I52" s="30">
        <f>IF(OR(B52="",H52="",C52=""),"",H52-7*VLOOKUP(C52,Plazos!$A$6:$F$8,2,FALSE))</f>
        <v/>
      </c>
      <c r="J52" s="30">
        <f>IF(OR(B52="",H52="",C52=""),"",H52-7*VLOOKUP(C52,Plazos!$A$6:$F$8,3,FALSE))</f>
        <v/>
      </c>
      <c r="K52" s="30">
        <f>IF(OR(B52="",H52="",C52=""),"",H52-7*VLOOKUP(C52,Plazos!$A$6:$F$8,4,FALSE))</f>
        <v/>
      </c>
      <c r="L52" s="30">
        <f>IF(OR(B52="",H52="",C52=""),"",H52-7*VLOOKUP(C52,Plazos!$A$6:$F$8,5,FALSE))</f>
        <v/>
      </c>
      <c r="M52" s="30">
        <f>IF(OR(B52="",H52="",C52=""),"",H52-7*VLOOKUP(C52,Plazos!$A$6:$F$8,6,FALSE))</f>
        <v/>
      </c>
      <c r="N52" s="29" t="n"/>
      <c r="O52" s="28" t="n"/>
      <c r="P52" s="25" t="n"/>
      <c r="Q52" s="31">
        <f>IF(OR(B52="",M52=""),"",IF(N52&lt;&gt;"",MAX(0,N52-M52),MAX(0,$B$3-M52)))</f>
        <v/>
      </c>
      <c r="R52" s="26">
        <f>IF(OR(B52="",M52=""),"",IF(N52&lt;&gt;"",IF(Q52&gt;0,"Liberado con atraso","Liberado a tiempo"),IF($B$3&gt;M52,"Vencido sin liberar",IF(M52-$B$3&lt;=14,"Próximo a liberar","En plazo"))))</f>
        <v/>
      </c>
      <c r="S52" s="27" t="n"/>
    </row>
    <row r="53">
      <c r="A53" s="24" t="n"/>
      <c r="B53" s="25" t="n"/>
      <c r="C53" s="25" t="n"/>
      <c r="D53" s="26">
        <f>IF(B53="","","CWP"&amp;MID(B53,4,12))</f>
        <v/>
      </c>
      <c r="E53" s="27" t="n"/>
      <c r="F53" s="25" t="n"/>
      <c r="G53" s="28" t="n"/>
      <c r="H53" s="29" t="n"/>
      <c r="I53" s="30">
        <f>IF(OR(B53="",H53="",C53=""),"",H53-7*VLOOKUP(C53,Plazos!$A$6:$F$8,2,FALSE))</f>
        <v/>
      </c>
      <c r="J53" s="30">
        <f>IF(OR(B53="",H53="",C53=""),"",H53-7*VLOOKUP(C53,Plazos!$A$6:$F$8,3,FALSE))</f>
        <v/>
      </c>
      <c r="K53" s="30">
        <f>IF(OR(B53="",H53="",C53=""),"",H53-7*VLOOKUP(C53,Plazos!$A$6:$F$8,4,FALSE))</f>
        <v/>
      </c>
      <c r="L53" s="30">
        <f>IF(OR(B53="",H53="",C53=""),"",H53-7*VLOOKUP(C53,Plazos!$A$6:$F$8,5,FALSE))</f>
        <v/>
      </c>
      <c r="M53" s="30">
        <f>IF(OR(B53="",H53="",C53=""),"",H53-7*VLOOKUP(C53,Plazos!$A$6:$F$8,6,FALSE))</f>
        <v/>
      </c>
      <c r="N53" s="29" t="n"/>
      <c r="O53" s="28" t="n"/>
      <c r="P53" s="25" t="n"/>
      <c r="Q53" s="31">
        <f>IF(OR(B53="",M53=""),"",IF(N53&lt;&gt;"",MAX(0,N53-M53),MAX(0,$B$3-M53)))</f>
        <v/>
      </c>
      <c r="R53" s="26">
        <f>IF(OR(B53="",M53=""),"",IF(N53&lt;&gt;"",IF(Q53&gt;0,"Liberado con atraso","Liberado a tiempo"),IF($B$3&gt;M53,"Vencido sin liberar",IF(M53-$B$3&lt;=14,"Próximo a liberar","En plazo"))))</f>
        <v/>
      </c>
      <c r="S53" s="27" t="n"/>
    </row>
    <row r="54">
      <c r="A54" s="24" t="n"/>
      <c r="B54" s="25" t="n"/>
      <c r="C54" s="25" t="n"/>
      <c r="D54" s="26">
        <f>IF(B54="","","CWP"&amp;MID(B54,4,12))</f>
        <v/>
      </c>
      <c r="E54" s="27" t="n"/>
      <c r="F54" s="25" t="n"/>
      <c r="G54" s="28" t="n"/>
      <c r="H54" s="29" t="n"/>
      <c r="I54" s="30">
        <f>IF(OR(B54="",H54="",C54=""),"",H54-7*VLOOKUP(C54,Plazos!$A$6:$F$8,2,FALSE))</f>
        <v/>
      </c>
      <c r="J54" s="30">
        <f>IF(OR(B54="",H54="",C54=""),"",H54-7*VLOOKUP(C54,Plazos!$A$6:$F$8,3,FALSE))</f>
        <v/>
      </c>
      <c r="K54" s="30">
        <f>IF(OR(B54="",H54="",C54=""),"",H54-7*VLOOKUP(C54,Plazos!$A$6:$F$8,4,FALSE))</f>
        <v/>
      </c>
      <c r="L54" s="30">
        <f>IF(OR(B54="",H54="",C54=""),"",H54-7*VLOOKUP(C54,Plazos!$A$6:$F$8,5,FALSE))</f>
        <v/>
      </c>
      <c r="M54" s="30">
        <f>IF(OR(B54="",H54="",C54=""),"",H54-7*VLOOKUP(C54,Plazos!$A$6:$F$8,6,FALSE))</f>
        <v/>
      </c>
      <c r="N54" s="29" t="n"/>
      <c r="O54" s="28" t="n"/>
      <c r="P54" s="25" t="n"/>
      <c r="Q54" s="31">
        <f>IF(OR(B54="",M54=""),"",IF(N54&lt;&gt;"",MAX(0,N54-M54),MAX(0,$B$3-M54)))</f>
        <v/>
      </c>
      <c r="R54" s="26">
        <f>IF(OR(B54="",M54=""),"",IF(N54&lt;&gt;"",IF(Q54&gt;0,"Liberado con atraso","Liberado a tiempo"),IF($B$3&gt;M54,"Vencido sin liberar",IF(M54-$B$3&lt;=14,"Próximo a liberar","En plazo"))))</f>
        <v/>
      </c>
      <c r="S54" s="27" t="n"/>
    </row>
    <row r="55">
      <c r="A55" s="24" t="n"/>
      <c r="B55" s="25" t="n"/>
      <c r="C55" s="25" t="n"/>
      <c r="D55" s="26">
        <f>IF(B55="","","CWP"&amp;MID(B55,4,12))</f>
        <v/>
      </c>
      <c r="E55" s="27" t="n"/>
      <c r="F55" s="25" t="n"/>
      <c r="G55" s="28" t="n"/>
      <c r="H55" s="29" t="n"/>
      <c r="I55" s="30">
        <f>IF(OR(B55="",H55="",C55=""),"",H55-7*VLOOKUP(C55,Plazos!$A$6:$F$8,2,FALSE))</f>
        <v/>
      </c>
      <c r="J55" s="30">
        <f>IF(OR(B55="",H55="",C55=""),"",H55-7*VLOOKUP(C55,Plazos!$A$6:$F$8,3,FALSE))</f>
        <v/>
      </c>
      <c r="K55" s="30">
        <f>IF(OR(B55="",H55="",C55=""),"",H55-7*VLOOKUP(C55,Plazos!$A$6:$F$8,4,FALSE))</f>
        <v/>
      </c>
      <c r="L55" s="30">
        <f>IF(OR(B55="",H55="",C55=""),"",H55-7*VLOOKUP(C55,Plazos!$A$6:$F$8,5,FALSE))</f>
        <v/>
      </c>
      <c r="M55" s="30">
        <f>IF(OR(B55="",H55="",C55=""),"",H55-7*VLOOKUP(C55,Plazos!$A$6:$F$8,6,FALSE))</f>
        <v/>
      </c>
      <c r="N55" s="29" t="n"/>
      <c r="O55" s="28" t="n"/>
      <c r="P55" s="25" t="n"/>
      <c r="Q55" s="31">
        <f>IF(OR(B55="",M55=""),"",IF(N55&lt;&gt;"",MAX(0,N55-M55),MAX(0,$B$3-M55)))</f>
        <v/>
      </c>
      <c r="R55" s="26">
        <f>IF(OR(B55="",M55=""),"",IF(N55&lt;&gt;"",IF(Q55&gt;0,"Liberado con atraso","Liberado a tiempo"),IF($B$3&gt;M55,"Vencido sin liberar",IF(M55-$B$3&lt;=14,"Próximo a liberar","En plazo"))))</f>
        <v/>
      </c>
      <c r="S55" s="27" t="n"/>
    </row>
    <row r="56">
      <c r="A56" s="24" t="n"/>
      <c r="B56" s="25" t="n"/>
      <c r="C56" s="25" t="n"/>
      <c r="D56" s="26">
        <f>IF(B56="","","CWP"&amp;MID(B56,4,12))</f>
        <v/>
      </c>
      <c r="E56" s="27" t="n"/>
      <c r="F56" s="25" t="n"/>
      <c r="G56" s="28" t="n"/>
      <c r="H56" s="29" t="n"/>
      <c r="I56" s="30">
        <f>IF(OR(B56="",H56="",C56=""),"",H56-7*VLOOKUP(C56,Plazos!$A$6:$F$8,2,FALSE))</f>
        <v/>
      </c>
      <c r="J56" s="30">
        <f>IF(OR(B56="",H56="",C56=""),"",H56-7*VLOOKUP(C56,Plazos!$A$6:$F$8,3,FALSE))</f>
        <v/>
      </c>
      <c r="K56" s="30">
        <f>IF(OR(B56="",H56="",C56=""),"",H56-7*VLOOKUP(C56,Plazos!$A$6:$F$8,4,FALSE))</f>
        <v/>
      </c>
      <c r="L56" s="30">
        <f>IF(OR(B56="",H56="",C56=""),"",H56-7*VLOOKUP(C56,Plazos!$A$6:$F$8,5,FALSE))</f>
        <v/>
      </c>
      <c r="M56" s="30">
        <f>IF(OR(B56="",H56="",C56=""),"",H56-7*VLOOKUP(C56,Plazos!$A$6:$F$8,6,FALSE))</f>
        <v/>
      </c>
      <c r="N56" s="29" t="n"/>
      <c r="O56" s="28" t="n"/>
      <c r="P56" s="25" t="n"/>
      <c r="Q56" s="31">
        <f>IF(OR(B56="",M56=""),"",IF(N56&lt;&gt;"",MAX(0,N56-M56),MAX(0,$B$3-M56)))</f>
        <v/>
      </c>
      <c r="R56" s="26">
        <f>IF(OR(B56="",M56=""),"",IF(N56&lt;&gt;"",IF(Q56&gt;0,"Liberado con atraso","Liberado a tiempo"),IF($B$3&gt;M56,"Vencido sin liberar",IF(M56-$B$3&lt;=14,"Próximo a liberar","En plazo"))))</f>
        <v/>
      </c>
      <c r="S56" s="27" t="n"/>
    </row>
    <row r="57">
      <c r="A57" s="24" t="n"/>
      <c r="B57" s="25" t="n"/>
      <c r="C57" s="25" t="n"/>
      <c r="D57" s="26">
        <f>IF(B57="","","CWP"&amp;MID(B57,4,12))</f>
        <v/>
      </c>
      <c r="E57" s="27" t="n"/>
      <c r="F57" s="25" t="n"/>
      <c r="G57" s="28" t="n"/>
      <c r="H57" s="29" t="n"/>
      <c r="I57" s="30">
        <f>IF(OR(B57="",H57="",C57=""),"",H57-7*VLOOKUP(C57,Plazos!$A$6:$F$8,2,FALSE))</f>
        <v/>
      </c>
      <c r="J57" s="30">
        <f>IF(OR(B57="",H57="",C57=""),"",H57-7*VLOOKUP(C57,Plazos!$A$6:$F$8,3,FALSE))</f>
        <v/>
      </c>
      <c r="K57" s="30">
        <f>IF(OR(B57="",H57="",C57=""),"",H57-7*VLOOKUP(C57,Plazos!$A$6:$F$8,4,FALSE))</f>
        <v/>
      </c>
      <c r="L57" s="30">
        <f>IF(OR(B57="",H57="",C57=""),"",H57-7*VLOOKUP(C57,Plazos!$A$6:$F$8,5,FALSE))</f>
        <v/>
      </c>
      <c r="M57" s="30">
        <f>IF(OR(B57="",H57="",C57=""),"",H57-7*VLOOKUP(C57,Plazos!$A$6:$F$8,6,FALSE))</f>
        <v/>
      </c>
      <c r="N57" s="29" t="n"/>
      <c r="O57" s="28" t="n"/>
      <c r="P57" s="25" t="n"/>
      <c r="Q57" s="31">
        <f>IF(OR(B57="",M57=""),"",IF(N57&lt;&gt;"",MAX(0,N57-M57),MAX(0,$B$3-M57)))</f>
        <v/>
      </c>
      <c r="R57" s="26">
        <f>IF(OR(B57="",M57=""),"",IF(N57&lt;&gt;"",IF(Q57&gt;0,"Liberado con atraso","Liberado a tiempo"),IF($B$3&gt;M57,"Vencido sin liberar",IF(M57-$B$3&lt;=14,"Próximo a liberar","En plazo"))))</f>
        <v/>
      </c>
      <c r="S57" s="27" t="n"/>
    </row>
    <row r="58">
      <c r="A58" s="24" t="n"/>
      <c r="B58" s="25" t="n"/>
      <c r="C58" s="25" t="n"/>
      <c r="D58" s="26">
        <f>IF(B58="","","CWP"&amp;MID(B58,4,12))</f>
        <v/>
      </c>
      <c r="E58" s="27" t="n"/>
      <c r="F58" s="25" t="n"/>
      <c r="G58" s="28" t="n"/>
      <c r="H58" s="29" t="n"/>
      <c r="I58" s="30">
        <f>IF(OR(B58="",H58="",C58=""),"",H58-7*VLOOKUP(C58,Plazos!$A$6:$F$8,2,FALSE))</f>
        <v/>
      </c>
      <c r="J58" s="30">
        <f>IF(OR(B58="",H58="",C58=""),"",H58-7*VLOOKUP(C58,Plazos!$A$6:$F$8,3,FALSE))</f>
        <v/>
      </c>
      <c r="K58" s="30">
        <f>IF(OR(B58="",H58="",C58=""),"",H58-7*VLOOKUP(C58,Plazos!$A$6:$F$8,4,FALSE))</f>
        <v/>
      </c>
      <c r="L58" s="30">
        <f>IF(OR(B58="",H58="",C58=""),"",H58-7*VLOOKUP(C58,Plazos!$A$6:$F$8,5,FALSE))</f>
        <v/>
      </c>
      <c r="M58" s="30">
        <f>IF(OR(B58="",H58="",C58=""),"",H58-7*VLOOKUP(C58,Plazos!$A$6:$F$8,6,FALSE))</f>
        <v/>
      </c>
      <c r="N58" s="29" t="n"/>
      <c r="O58" s="28" t="n"/>
      <c r="P58" s="25" t="n"/>
      <c r="Q58" s="31">
        <f>IF(OR(B58="",M58=""),"",IF(N58&lt;&gt;"",MAX(0,N58-M58),MAX(0,$B$3-M58)))</f>
        <v/>
      </c>
      <c r="R58" s="26">
        <f>IF(OR(B58="",M58=""),"",IF(N58&lt;&gt;"",IF(Q58&gt;0,"Liberado con atraso","Liberado a tiempo"),IF($B$3&gt;M58,"Vencido sin liberar",IF(M58-$B$3&lt;=14,"Próximo a liberar","En plazo"))))</f>
        <v/>
      </c>
      <c r="S58" s="27" t="n"/>
    </row>
    <row r="59">
      <c r="A59" s="24" t="n"/>
      <c r="B59" s="25" t="n"/>
      <c r="C59" s="25" t="n"/>
      <c r="D59" s="26">
        <f>IF(B59="","","CWP"&amp;MID(B59,4,12))</f>
        <v/>
      </c>
      <c r="E59" s="27" t="n"/>
      <c r="F59" s="25" t="n"/>
      <c r="G59" s="28" t="n"/>
      <c r="H59" s="29" t="n"/>
      <c r="I59" s="30">
        <f>IF(OR(B59="",H59="",C59=""),"",H59-7*VLOOKUP(C59,Plazos!$A$6:$F$8,2,FALSE))</f>
        <v/>
      </c>
      <c r="J59" s="30">
        <f>IF(OR(B59="",H59="",C59=""),"",H59-7*VLOOKUP(C59,Plazos!$A$6:$F$8,3,FALSE))</f>
        <v/>
      </c>
      <c r="K59" s="30">
        <f>IF(OR(B59="",H59="",C59=""),"",H59-7*VLOOKUP(C59,Plazos!$A$6:$F$8,4,FALSE))</f>
        <v/>
      </c>
      <c r="L59" s="30">
        <f>IF(OR(B59="",H59="",C59=""),"",H59-7*VLOOKUP(C59,Plazos!$A$6:$F$8,5,FALSE))</f>
        <v/>
      </c>
      <c r="M59" s="30">
        <f>IF(OR(B59="",H59="",C59=""),"",H59-7*VLOOKUP(C59,Plazos!$A$6:$F$8,6,FALSE))</f>
        <v/>
      </c>
      <c r="N59" s="29" t="n"/>
      <c r="O59" s="28" t="n"/>
      <c r="P59" s="25" t="n"/>
      <c r="Q59" s="31">
        <f>IF(OR(B59="",M59=""),"",IF(N59&lt;&gt;"",MAX(0,N59-M59),MAX(0,$B$3-M59)))</f>
        <v/>
      </c>
      <c r="R59" s="26">
        <f>IF(OR(B59="",M59=""),"",IF(N59&lt;&gt;"",IF(Q59&gt;0,"Liberado con atraso","Liberado a tiempo"),IF($B$3&gt;M59,"Vencido sin liberar",IF(M59-$B$3&lt;=14,"Próximo a liberar","En plazo"))))</f>
        <v/>
      </c>
      <c r="S59" s="27" t="n"/>
    </row>
    <row r="60">
      <c r="A60" s="24" t="n"/>
      <c r="B60" s="25" t="n"/>
      <c r="C60" s="25" t="n"/>
      <c r="D60" s="26">
        <f>IF(B60="","","CWP"&amp;MID(B60,4,12))</f>
        <v/>
      </c>
      <c r="E60" s="27" t="n"/>
      <c r="F60" s="25" t="n"/>
      <c r="G60" s="28" t="n"/>
      <c r="H60" s="29" t="n"/>
      <c r="I60" s="30">
        <f>IF(OR(B60="",H60="",C60=""),"",H60-7*VLOOKUP(C60,Plazos!$A$6:$F$8,2,FALSE))</f>
        <v/>
      </c>
      <c r="J60" s="30">
        <f>IF(OR(B60="",H60="",C60=""),"",H60-7*VLOOKUP(C60,Plazos!$A$6:$F$8,3,FALSE))</f>
        <v/>
      </c>
      <c r="K60" s="30">
        <f>IF(OR(B60="",H60="",C60=""),"",H60-7*VLOOKUP(C60,Plazos!$A$6:$F$8,4,FALSE))</f>
        <v/>
      </c>
      <c r="L60" s="30">
        <f>IF(OR(B60="",H60="",C60=""),"",H60-7*VLOOKUP(C60,Plazos!$A$6:$F$8,5,FALSE))</f>
        <v/>
      </c>
      <c r="M60" s="30">
        <f>IF(OR(B60="",H60="",C60=""),"",H60-7*VLOOKUP(C60,Plazos!$A$6:$F$8,6,FALSE))</f>
        <v/>
      </c>
      <c r="N60" s="29" t="n"/>
      <c r="O60" s="28" t="n"/>
      <c r="P60" s="25" t="n"/>
      <c r="Q60" s="31">
        <f>IF(OR(B60="",M60=""),"",IF(N60&lt;&gt;"",MAX(0,N60-M60),MAX(0,$B$3-M60)))</f>
        <v/>
      </c>
      <c r="R60" s="26">
        <f>IF(OR(B60="",M60=""),"",IF(N60&lt;&gt;"",IF(Q60&gt;0,"Liberado con atraso","Liberado a tiempo"),IF($B$3&gt;M60,"Vencido sin liberar",IF(M60-$B$3&lt;=14,"Próximo a liberar","En plazo"))))</f>
        <v/>
      </c>
      <c r="S60" s="27" t="n"/>
    </row>
    <row r="61">
      <c r="A61" s="24" t="n"/>
      <c r="B61" s="25" t="n"/>
      <c r="C61" s="25" t="n"/>
      <c r="D61" s="26">
        <f>IF(B61="","","CWP"&amp;MID(B61,4,12))</f>
        <v/>
      </c>
      <c r="E61" s="27" t="n"/>
      <c r="F61" s="25" t="n"/>
      <c r="G61" s="28" t="n"/>
      <c r="H61" s="29" t="n"/>
      <c r="I61" s="30">
        <f>IF(OR(B61="",H61="",C61=""),"",H61-7*VLOOKUP(C61,Plazos!$A$6:$F$8,2,FALSE))</f>
        <v/>
      </c>
      <c r="J61" s="30">
        <f>IF(OR(B61="",H61="",C61=""),"",H61-7*VLOOKUP(C61,Plazos!$A$6:$F$8,3,FALSE))</f>
        <v/>
      </c>
      <c r="K61" s="30">
        <f>IF(OR(B61="",H61="",C61=""),"",H61-7*VLOOKUP(C61,Plazos!$A$6:$F$8,4,FALSE))</f>
        <v/>
      </c>
      <c r="L61" s="30">
        <f>IF(OR(B61="",H61="",C61=""),"",H61-7*VLOOKUP(C61,Plazos!$A$6:$F$8,5,FALSE))</f>
        <v/>
      </c>
      <c r="M61" s="30">
        <f>IF(OR(B61="",H61="",C61=""),"",H61-7*VLOOKUP(C61,Plazos!$A$6:$F$8,6,FALSE))</f>
        <v/>
      </c>
      <c r="N61" s="29" t="n"/>
      <c r="O61" s="28" t="n"/>
      <c r="P61" s="25" t="n"/>
      <c r="Q61" s="31">
        <f>IF(OR(B61="",M61=""),"",IF(N61&lt;&gt;"",MAX(0,N61-M61),MAX(0,$B$3-M61)))</f>
        <v/>
      </c>
      <c r="R61" s="26">
        <f>IF(OR(B61="",M61=""),"",IF(N61&lt;&gt;"",IF(Q61&gt;0,"Liberado con atraso","Liberado a tiempo"),IF($B$3&gt;M61,"Vencido sin liberar",IF(M61-$B$3&lt;=14,"Próximo a liberar","En plazo"))))</f>
        <v/>
      </c>
      <c r="S61" s="27" t="n"/>
    </row>
    <row r="62">
      <c r="A62" s="24" t="n"/>
      <c r="B62" s="25" t="n"/>
      <c r="C62" s="25" t="n"/>
      <c r="D62" s="26">
        <f>IF(B62="","","CWP"&amp;MID(B62,4,12))</f>
        <v/>
      </c>
      <c r="E62" s="27" t="n"/>
      <c r="F62" s="25" t="n"/>
      <c r="G62" s="28" t="n"/>
      <c r="H62" s="29" t="n"/>
      <c r="I62" s="30">
        <f>IF(OR(B62="",H62="",C62=""),"",H62-7*VLOOKUP(C62,Plazos!$A$6:$F$8,2,FALSE))</f>
        <v/>
      </c>
      <c r="J62" s="30">
        <f>IF(OR(B62="",H62="",C62=""),"",H62-7*VLOOKUP(C62,Plazos!$A$6:$F$8,3,FALSE))</f>
        <v/>
      </c>
      <c r="K62" s="30">
        <f>IF(OR(B62="",H62="",C62=""),"",H62-7*VLOOKUP(C62,Plazos!$A$6:$F$8,4,FALSE))</f>
        <v/>
      </c>
      <c r="L62" s="30">
        <f>IF(OR(B62="",H62="",C62=""),"",H62-7*VLOOKUP(C62,Plazos!$A$6:$F$8,5,FALSE))</f>
        <v/>
      </c>
      <c r="M62" s="30">
        <f>IF(OR(B62="",H62="",C62=""),"",H62-7*VLOOKUP(C62,Plazos!$A$6:$F$8,6,FALSE))</f>
        <v/>
      </c>
      <c r="N62" s="29" t="n"/>
      <c r="O62" s="28" t="n"/>
      <c r="P62" s="25" t="n"/>
      <c r="Q62" s="31">
        <f>IF(OR(B62="",M62=""),"",IF(N62&lt;&gt;"",MAX(0,N62-M62),MAX(0,$B$3-M62)))</f>
        <v/>
      </c>
      <c r="R62" s="26">
        <f>IF(OR(B62="",M62=""),"",IF(N62&lt;&gt;"",IF(Q62&gt;0,"Liberado con atraso","Liberado a tiempo"),IF($B$3&gt;M62,"Vencido sin liberar",IF(M62-$B$3&lt;=14,"Próximo a liberar","En plazo"))))</f>
        <v/>
      </c>
      <c r="S62" s="27" t="n"/>
    </row>
    <row r="63">
      <c r="A63" s="24" t="n"/>
      <c r="B63" s="25" t="n"/>
      <c r="C63" s="25" t="n"/>
      <c r="D63" s="26">
        <f>IF(B63="","","CWP"&amp;MID(B63,4,12))</f>
        <v/>
      </c>
      <c r="E63" s="27" t="n"/>
      <c r="F63" s="25" t="n"/>
      <c r="G63" s="28" t="n"/>
      <c r="H63" s="29" t="n"/>
      <c r="I63" s="30">
        <f>IF(OR(B63="",H63="",C63=""),"",H63-7*VLOOKUP(C63,Plazos!$A$6:$F$8,2,FALSE))</f>
        <v/>
      </c>
      <c r="J63" s="30">
        <f>IF(OR(B63="",H63="",C63=""),"",H63-7*VLOOKUP(C63,Plazos!$A$6:$F$8,3,FALSE))</f>
        <v/>
      </c>
      <c r="K63" s="30">
        <f>IF(OR(B63="",H63="",C63=""),"",H63-7*VLOOKUP(C63,Plazos!$A$6:$F$8,4,FALSE))</f>
        <v/>
      </c>
      <c r="L63" s="30">
        <f>IF(OR(B63="",H63="",C63=""),"",H63-7*VLOOKUP(C63,Plazos!$A$6:$F$8,5,FALSE))</f>
        <v/>
      </c>
      <c r="M63" s="30">
        <f>IF(OR(B63="",H63="",C63=""),"",H63-7*VLOOKUP(C63,Plazos!$A$6:$F$8,6,FALSE))</f>
        <v/>
      </c>
      <c r="N63" s="29" t="n"/>
      <c r="O63" s="28" t="n"/>
      <c r="P63" s="25" t="n"/>
      <c r="Q63" s="31">
        <f>IF(OR(B63="",M63=""),"",IF(N63&lt;&gt;"",MAX(0,N63-M63),MAX(0,$B$3-M63)))</f>
        <v/>
      </c>
      <c r="R63" s="26">
        <f>IF(OR(B63="",M63=""),"",IF(N63&lt;&gt;"",IF(Q63&gt;0,"Liberado con atraso","Liberado a tiempo"),IF($B$3&gt;M63,"Vencido sin liberar",IF(M63-$B$3&lt;=14,"Próximo a liberar","En plazo"))))</f>
        <v/>
      </c>
      <c r="S63" s="27" t="n"/>
    </row>
    <row r="64">
      <c r="A64" s="24" t="n"/>
      <c r="B64" s="25" t="n"/>
      <c r="C64" s="25" t="n"/>
      <c r="D64" s="26">
        <f>IF(B64="","","CWP"&amp;MID(B64,4,12))</f>
        <v/>
      </c>
      <c r="E64" s="27" t="n"/>
      <c r="F64" s="25" t="n"/>
      <c r="G64" s="28" t="n"/>
      <c r="H64" s="29" t="n"/>
      <c r="I64" s="30">
        <f>IF(OR(B64="",H64="",C64=""),"",H64-7*VLOOKUP(C64,Plazos!$A$6:$F$8,2,FALSE))</f>
        <v/>
      </c>
      <c r="J64" s="30">
        <f>IF(OR(B64="",H64="",C64=""),"",H64-7*VLOOKUP(C64,Plazos!$A$6:$F$8,3,FALSE))</f>
        <v/>
      </c>
      <c r="K64" s="30">
        <f>IF(OR(B64="",H64="",C64=""),"",H64-7*VLOOKUP(C64,Plazos!$A$6:$F$8,4,FALSE))</f>
        <v/>
      </c>
      <c r="L64" s="30">
        <f>IF(OR(B64="",H64="",C64=""),"",H64-7*VLOOKUP(C64,Plazos!$A$6:$F$8,5,FALSE))</f>
        <v/>
      </c>
      <c r="M64" s="30">
        <f>IF(OR(B64="",H64="",C64=""),"",H64-7*VLOOKUP(C64,Plazos!$A$6:$F$8,6,FALSE))</f>
        <v/>
      </c>
      <c r="N64" s="29" t="n"/>
      <c r="O64" s="28" t="n"/>
      <c r="P64" s="25" t="n"/>
      <c r="Q64" s="31">
        <f>IF(OR(B64="",M64=""),"",IF(N64&lt;&gt;"",MAX(0,N64-M64),MAX(0,$B$3-M64)))</f>
        <v/>
      </c>
      <c r="R64" s="26">
        <f>IF(OR(B64="",M64=""),"",IF(N64&lt;&gt;"",IF(Q64&gt;0,"Liberado con atraso","Liberado a tiempo"),IF($B$3&gt;M64,"Vencido sin liberar",IF(M64-$B$3&lt;=14,"Próximo a liberar","En plazo"))))</f>
        <v/>
      </c>
      <c r="S64" s="27" t="n"/>
    </row>
    <row r="65">
      <c r="A65" s="24" t="n"/>
      <c r="B65" s="25" t="n"/>
      <c r="C65" s="25" t="n"/>
      <c r="D65" s="26">
        <f>IF(B65="","","CWP"&amp;MID(B65,4,12))</f>
        <v/>
      </c>
      <c r="E65" s="27" t="n"/>
      <c r="F65" s="25" t="n"/>
      <c r="G65" s="28" t="n"/>
      <c r="H65" s="29" t="n"/>
      <c r="I65" s="30">
        <f>IF(OR(B65="",H65="",C65=""),"",H65-7*VLOOKUP(C65,Plazos!$A$6:$F$8,2,FALSE))</f>
        <v/>
      </c>
      <c r="J65" s="30">
        <f>IF(OR(B65="",H65="",C65=""),"",H65-7*VLOOKUP(C65,Plazos!$A$6:$F$8,3,FALSE))</f>
        <v/>
      </c>
      <c r="K65" s="30">
        <f>IF(OR(B65="",H65="",C65=""),"",H65-7*VLOOKUP(C65,Plazos!$A$6:$F$8,4,FALSE))</f>
        <v/>
      </c>
      <c r="L65" s="30">
        <f>IF(OR(B65="",H65="",C65=""),"",H65-7*VLOOKUP(C65,Plazos!$A$6:$F$8,5,FALSE))</f>
        <v/>
      </c>
      <c r="M65" s="30">
        <f>IF(OR(B65="",H65="",C65=""),"",H65-7*VLOOKUP(C65,Plazos!$A$6:$F$8,6,FALSE))</f>
        <v/>
      </c>
      <c r="N65" s="29" t="n"/>
      <c r="O65" s="28" t="n"/>
      <c r="P65" s="25" t="n"/>
      <c r="Q65" s="31">
        <f>IF(OR(B65="",M65=""),"",IF(N65&lt;&gt;"",MAX(0,N65-M65),MAX(0,$B$3-M65)))</f>
        <v/>
      </c>
      <c r="R65" s="26">
        <f>IF(OR(B65="",M65=""),"",IF(N65&lt;&gt;"",IF(Q65&gt;0,"Liberado con atraso","Liberado a tiempo"),IF($B$3&gt;M65,"Vencido sin liberar",IF(M65-$B$3&lt;=14,"Próximo a liberar","En plazo"))))</f>
        <v/>
      </c>
      <c r="S65" s="27" t="n"/>
    </row>
    <row r="66">
      <c r="A66" s="24" t="n"/>
      <c r="B66" s="25" t="n"/>
      <c r="C66" s="25" t="n"/>
      <c r="D66" s="26">
        <f>IF(B66="","","CWP"&amp;MID(B66,4,12))</f>
        <v/>
      </c>
      <c r="E66" s="27" t="n"/>
      <c r="F66" s="25" t="n"/>
      <c r="G66" s="28" t="n"/>
      <c r="H66" s="29" t="n"/>
      <c r="I66" s="30">
        <f>IF(OR(B66="",H66="",C66=""),"",H66-7*VLOOKUP(C66,Plazos!$A$6:$F$8,2,FALSE))</f>
        <v/>
      </c>
      <c r="J66" s="30">
        <f>IF(OR(B66="",H66="",C66=""),"",H66-7*VLOOKUP(C66,Plazos!$A$6:$F$8,3,FALSE))</f>
        <v/>
      </c>
      <c r="K66" s="30">
        <f>IF(OR(B66="",H66="",C66=""),"",H66-7*VLOOKUP(C66,Plazos!$A$6:$F$8,4,FALSE))</f>
        <v/>
      </c>
      <c r="L66" s="30">
        <f>IF(OR(B66="",H66="",C66=""),"",H66-7*VLOOKUP(C66,Plazos!$A$6:$F$8,5,FALSE))</f>
        <v/>
      </c>
      <c r="M66" s="30">
        <f>IF(OR(B66="",H66="",C66=""),"",H66-7*VLOOKUP(C66,Plazos!$A$6:$F$8,6,FALSE))</f>
        <v/>
      </c>
      <c r="N66" s="29" t="n"/>
      <c r="O66" s="28" t="n"/>
      <c r="P66" s="25" t="n"/>
      <c r="Q66" s="31">
        <f>IF(OR(B66="",M66=""),"",IF(N66&lt;&gt;"",MAX(0,N66-M66),MAX(0,$B$3-M66)))</f>
        <v/>
      </c>
      <c r="R66" s="26">
        <f>IF(OR(B66="",M66=""),"",IF(N66&lt;&gt;"",IF(Q66&gt;0,"Liberado con atraso","Liberado a tiempo"),IF($B$3&gt;M66,"Vencido sin liberar",IF(M66-$B$3&lt;=14,"Próximo a liberar","En plazo"))))</f>
        <v/>
      </c>
      <c r="S66" s="27" t="n"/>
    </row>
    <row r="67">
      <c r="A67" s="24" t="n"/>
      <c r="B67" s="25" t="n"/>
      <c r="C67" s="25" t="n"/>
      <c r="D67" s="26">
        <f>IF(B67="","","CWP"&amp;MID(B67,4,12))</f>
        <v/>
      </c>
      <c r="E67" s="27" t="n"/>
      <c r="F67" s="25" t="n"/>
      <c r="G67" s="28" t="n"/>
      <c r="H67" s="29" t="n"/>
      <c r="I67" s="30">
        <f>IF(OR(B67="",H67="",C67=""),"",H67-7*VLOOKUP(C67,Plazos!$A$6:$F$8,2,FALSE))</f>
        <v/>
      </c>
      <c r="J67" s="30">
        <f>IF(OR(B67="",H67="",C67=""),"",H67-7*VLOOKUP(C67,Plazos!$A$6:$F$8,3,FALSE))</f>
        <v/>
      </c>
      <c r="K67" s="30">
        <f>IF(OR(B67="",H67="",C67=""),"",H67-7*VLOOKUP(C67,Plazos!$A$6:$F$8,4,FALSE))</f>
        <v/>
      </c>
      <c r="L67" s="30">
        <f>IF(OR(B67="",H67="",C67=""),"",H67-7*VLOOKUP(C67,Plazos!$A$6:$F$8,5,FALSE))</f>
        <v/>
      </c>
      <c r="M67" s="30">
        <f>IF(OR(B67="",H67="",C67=""),"",H67-7*VLOOKUP(C67,Plazos!$A$6:$F$8,6,FALSE))</f>
        <v/>
      </c>
      <c r="N67" s="29" t="n"/>
      <c r="O67" s="28" t="n"/>
      <c r="P67" s="25" t="n"/>
      <c r="Q67" s="31">
        <f>IF(OR(B67="",M67=""),"",IF(N67&lt;&gt;"",MAX(0,N67-M67),MAX(0,$B$3-M67)))</f>
        <v/>
      </c>
      <c r="R67" s="26">
        <f>IF(OR(B67="",M67=""),"",IF(N67&lt;&gt;"",IF(Q67&gt;0,"Liberado con atraso","Liberado a tiempo"),IF($B$3&gt;M67,"Vencido sin liberar",IF(M67-$B$3&lt;=14,"Próximo a liberar","En plazo"))))</f>
        <v/>
      </c>
      <c r="S67" s="27" t="n"/>
    </row>
    <row r="68">
      <c r="A68" s="24" t="n"/>
      <c r="B68" s="25" t="n"/>
      <c r="C68" s="25" t="n"/>
      <c r="D68" s="26">
        <f>IF(B68="","","CWP"&amp;MID(B68,4,12))</f>
        <v/>
      </c>
      <c r="E68" s="27" t="n"/>
      <c r="F68" s="25" t="n"/>
      <c r="G68" s="28" t="n"/>
      <c r="H68" s="29" t="n"/>
      <c r="I68" s="30">
        <f>IF(OR(B68="",H68="",C68=""),"",H68-7*VLOOKUP(C68,Plazos!$A$6:$F$8,2,FALSE))</f>
        <v/>
      </c>
      <c r="J68" s="30">
        <f>IF(OR(B68="",H68="",C68=""),"",H68-7*VLOOKUP(C68,Plazos!$A$6:$F$8,3,FALSE))</f>
        <v/>
      </c>
      <c r="K68" s="30">
        <f>IF(OR(B68="",H68="",C68=""),"",H68-7*VLOOKUP(C68,Plazos!$A$6:$F$8,4,FALSE))</f>
        <v/>
      </c>
      <c r="L68" s="30">
        <f>IF(OR(B68="",H68="",C68=""),"",H68-7*VLOOKUP(C68,Plazos!$A$6:$F$8,5,FALSE))</f>
        <v/>
      </c>
      <c r="M68" s="30">
        <f>IF(OR(B68="",H68="",C68=""),"",H68-7*VLOOKUP(C68,Plazos!$A$6:$F$8,6,FALSE))</f>
        <v/>
      </c>
      <c r="N68" s="29" t="n"/>
      <c r="O68" s="28" t="n"/>
      <c r="P68" s="25" t="n"/>
      <c r="Q68" s="31">
        <f>IF(OR(B68="",M68=""),"",IF(N68&lt;&gt;"",MAX(0,N68-M68),MAX(0,$B$3-M68)))</f>
        <v/>
      </c>
      <c r="R68" s="26">
        <f>IF(OR(B68="",M68=""),"",IF(N68&lt;&gt;"",IF(Q68&gt;0,"Liberado con atraso","Liberado a tiempo"),IF($B$3&gt;M68,"Vencido sin liberar",IF(M68-$B$3&lt;=14,"Próximo a liberar","En plazo"))))</f>
        <v/>
      </c>
      <c r="S68" s="27" t="n"/>
    </row>
    <row r="69">
      <c r="A69" s="24" t="n"/>
      <c r="B69" s="25" t="n"/>
      <c r="C69" s="25" t="n"/>
      <c r="D69" s="26">
        <f>IF(B69="","","CWP"&amp;MID(B69,4,12))</f>
        <v/>
      </c>
      <c r="E69" s="27" t="n"/>
      <c r="F69" s="25" t="n"/>
      <c r="G69" s="28" t="n"/>
      <c r="H69" s="29" t="n"/>
      <c r="I69" s="30">
        <f>IF(OR(B69="",H69="",C69=""),"",H69-7*VLOOKUP(C69,Plazos!$A$6:$F$8,2,FALSE))</f>
        <v/>
      </c>
      <c r="J69" s="30">
        <f>IF(OR(B69="",H69="",C69=""),"",H69-7*VLOOKUP(C69,Plazos!$A$6:$F$8,3,FALSE))</f>
        <v/>
      </c>
      <c r="K69" s="30">
        <f>IF(OR(B69="",H69="",C69=""),"",H69-7*VLOOKUP(C69,Plazos!$A$6:$F$8,4,FALSE))</f>
        <v/>
      </c>
      <c r="L69" s="30">
        <f>IF(OR(B69="",H69="",C69=""),"",H69-7*VLOOKUP(C69,Plazos!$A$6:$F$8,5,FALSE))</f>
        <v/>
      </c>
      <c r="M69" s="30">
        <f>IF(OR(B69="",H69="",C69=""),"",H69-7*VLOOKUP(C69,Plazos!$A$6:$F$8,6,FALSE))</f>
        <v/>
      </c>
      <c r="N69" s="29" t="n"/>
      <c r="O69" s="28" t="n"/>
      <c r="P69" s="25" t="n"/>
      <c r="Q69" s="31">
        <f>IF(OR(B69="",M69=""),"",IF(N69&lt;&gt;"",MAX(0,N69-M69),MAX(0,$B$3-M69)))</f>
        <v/>
      </c>
      <c r="R69" s="26">
        <f>IF(OR(B69="",M69=""),"",IF(N69&lt;&gt;"",IF(Q69&gt;0,"Liberado con atraso","Liberado a tiempo"),IF($B$3&gt;M69,"Vencido sin liberar",IF(M69-$B$3&lt;=14,"Próximo a liberar","En plazo"))))</f>
        <v/>
      </c>
      <c r="S69" s="27" t="n"/>
    </row>
    <row r="70">
      <c r="A70" s="24" t="n"/>
      <c r="B70" s="25" t="n"/>
      <c r="C70" s="25" t="n"/>
      <c r="D70" s="26">
        <f>IF(B70="","","CWP"&amp;MID(B70,4,12))</f>
        <v/>
      </c>
      <c r="E70" s="27" t="n"/>
      <c r="F70" s="25" t="n"/>
      <c r="G70" s="28" t="n"/>
      <c r="H70" s="29" t="n"/>
      <c r="I70" s="30">
        <f>IF(OR(B70="",H70="",C70=""),"",H70-7*VLOOKUP(C70,Plazos!$A$6:$F$8,2,FALSE))</f>
        <v/>
      </c>
      <c r="J70" s="30">
        <f>IF(OR(B70="",H70="",C70=""),"",H70-7*VLOOKUP(C70,Plazos!$A$6:$F$8,3,FALSE))</f>
        <v/>
      </c>
      <c r="K70" s="30">
        <f>IF(OR(B70="",H70="",C70=""),"",H70-7*VLOOKUP(C70,Plazos!$A$6:$F$8,4,FALSE))</f>
        <v/>
      </c>
      <c r="L70" s="30">
        <f>IF(OR(B70="",H70="",C70=""),"",H70-7*VLOOKUP(C70,Plazos!$A$6:$F$8,5,FALSE))</f>
        <v/>
      </c>
      <c r="M70" s="30">
        <f>IF(OR(B70="",H70="",C70=""),"",H70-7*VLOOKUP(C70,Plazos!$A$6:$F$8,6,FALSE))</f>
        <v/>
      </c>
      <c r="N70" s="29" t="n"/>
      <c r="O70" s="28" t="n"/>
      <c r="P70" s="25" t="n"/>
      <c r="Q70" s="31">
        <f>IF(OR(B70="",M70=""),"",IF(N70&lt;&gt;"",MAX(0,N70-M70),MAX(0,$B$3-M70)))</f>
        <v/>
      </c>
      <c r="R70" s="26">
        <f>IF(OR(B70="",M70=""),"",IF(N70&lt;&gt;"",IF(Q70&gt;0,"Liberado con atraso","Liberado a tiempo"),IF($B$3&gt;M70,"Vencido sin liberar",IF(M70-$B$3&lt;=14,"Próximo a liberar","En plazo"))))</f>
        <v/>
      </c>
      <c r="S70" s="27" t="n"/>
    </row>
    <row r="71">
      <c r="A71" s="24" t="n"/>
      <c r="B71" s="25" t="n"/>
      <c r="C71" s="25" t="n"/>
      <c r="D71" s="26">
        <f>IF(B71="","","CWP"&amp;MID(B71,4,12))</f>
        <v/>
      </c>
      <c r="E71" s="27" t="n"/>
      <c r="F71" s="25" t="n"/>
      <c r="G71" s="28" t="n"/>
      <c r="H71" s="29" t="n"/>
      <c r="I71" s="30">
        <f>IF(OR(B71="",H71="",C71=""),"",H71-7*VLOOKUP(C71,Plazos!$A$6:$F$8,2,FALSE))</f>
        <v/>
      </c>
      <c r="J71" s="30">
        <f>IF(OR(B71="",H71="",C71=""),"",H71-7*VLOOKUP(C71,Plazos!$A$6:$F$8,3,FALSE))</f>
        <v/>
      </c>
      <c r="K71" s="30">
        <f>IF(OR(B71="",H71="",C71=""),"",H71-7*VLOOKUP(C71,Plazos!$A$6:$F$8,4,FALSE))</f>
        <v/>
      </c>
      <c r="L71" s="30">
        <f>IF(OR(B71="",H71="",C71=""),"",H71-7*VLOOKUP(C71,Plazos!$A$6:$F$8,5,FALSE))</f>
        <v/>
      </c>
      <c r="M71" s="30">
        <f>IF(OR(B71="",H71="",C71=""),"",H71-7*VLOOKUP(C71,Plazos!$A$6:$F$8,6,FALSE))</f>
        <v/>
      </c>
      <c r="N71" s="29" t="n"/>
      <c r="O71" s="28" t="n"/>
      <c r="P71" s="25" t="n"/>
      <c r="Q71" s="31">
        <f>IF(OR(B71="",M71=""),"",IF(N71&lt;&gt;"",MAX(0,N71-M71),MAX(0,$B$3-M71)))</f>
        <v/>
      </c>
      <c r="R71" s="26">
        <f>IF(OR(B71="",M71=""),"",IF(N71&lt;&gt;"",IF(Q71&gt;0,"Liberado con atraso","Liberado a tiempo"),IF($B$3&gt;M71,"Vencido sin liberar",IF(M71-$B$3&lt;=14,"Próximo a liberar","En plazo"))))</f>
        <v/>
      </c>
      <c r="S71" s="27" t="n"/>
    </row>
    <row r="72">
      <c r="A72" s="24" t="n"/>
      <c r="B72" s="25" t="n"/>
      <c r="C72" s="25" t="n"/>
      <c r="D72" s="26">
        <f>IF(B72="","","CWP"&amp;MID(B72,4,12))</f>
        <v/>
      </c>
      <c r="E72" s="27" t="n"/>
      <c r="F72" s="25" t="n"/>
      <c r="G72" s="28" t="n"/>
      <c r="H72" s="29" t="n"/>
      <c r="I72" s="30">
        <f>IF(OR(B72="",H72="",C72=""),"",H72-7*VLOOKUP(C72,Plazos!$A$6:$F$8,2,FALSE))</f>
        <v/>
      </c>
      <c r="J72" s="30">
        <f>IF(OR(B72="",H72="",C72=""),"",H72-7*VLOOKUP(C72,Plazos!$A$6:$F$8,3,FALSE))</f>
        <v/>
      </c>
      <c r="K72" s="30">
        <f>IF(OR(B72="",H72="",C72=""),"",H72-7*VLOOKUP(C72,Plazos!$A$6:$F$8,4,FALSE))</f>
        <v/>
      </c>
      <c r="L72" s="30">
        <f>IF(OR(B72="",H72="",C72=""),"",H72-7*VLOOKUP(C72,Plazos!$A$6:$F$8,5,FALSE))</f>
        <v/>
      </c>
      <c r="M72" s="30">
        <f>IF(OR(B72="",H72="",C72=""),"",H72-7*VLOOKUP(C72,Plazos!$A$6:$F$8,6,FALSE))</f>
        <v/>
      </c>
      <c r="N72" s="29" t="n"/>
      <c r="O72" s="28" t="n"/>
      <c r="P72" s="25" t="n"/>
      <c r="Q72" s="31">
        <f>IF(OR(B72="",M72=""),"",IF(N72&lt;&gt;"",MAX(0,N72-M72),MAX(0,$B$3-M72)))</f>
        <v/>
      </c>
      <c r="R72" s="26">
        <f>IF(OR(B72="",M72=""),"",IF(N72&lt;&gt;"",IF(Q72&gt;0,"Liberado con atraso","Liberado a tiempo"),IF($B$3&gt;M72,"Vencido sin liberar",IF(M72-$B$3&lt;=14,"Próximo a liberar","En plazo"))))</f>
        <v/>
      </c>
      <c r="S72" s="27" t="n"/>
    </row>
    <row r="73">
      <c r="A73" s="24" t="n"/>
      <c r="B73" s="25" t="n"/>
      <c r="C73" s="25" t="n"/>
      <c r="D73" s="26">
        <f>IF(B73="","","CWP"&amp;MID(B73,4,12))</f>
        <v/>
      </c>
      <c r="E73" s="27" t="n"/>
      <c r="F73" s="25" t="n"/>
      <c r="G73" s="28" t="n"/>
      <c r="H73" s="29" t="n"/>
      <c r="I73" s="30">
        <f>IF(OR(B73="",H73="",C73=""),"",H73-7*VLOOKUP(C73,Plazos!$A$6:$F$8,2,FALSE))</f>
        <v/>
      </c>
      <c r="J73" s="30">
        <f>IF(OR(B73="",H73="",C73=""),"",H73-7*VLOOKUP(C73,Plazos!$A$6:$F$8,3,FALSE))</f>
        <v/>
      </c>
      <c r="K73" s="30">
        <f>IF(OR(B73="",H73="",C73=""),"",H73-7*VLOOKUP(C73,Plazos!$A$6:$F$8,4,FALSE))</f>
        <v/>
      </c>
      <c r="L73" s="30">
        <f>IF(OR(B73="",H73="",C73=""),"",H73-7*VLOOKUP(C73,Plazos!$A$6:$F$8,5,FALSE))</f>
        <v/>
      </c>
      <c r="M73" s="30">
        <f>IF(OR(B73="",H73="",C73=""),"",H73-7*VLOOKUP(C73,Plazos!$A$6:$F$8,6,FALSE))</f>
        <v/>
      </c>
      <c r="N73" s="29" t="n"/>
      <c r="O73" s="28" t="n"/>
      <c r="P73" s="25" t="n"/>
      <c r="Q73" s="31">
        <f>IF(OR(B73="",M73=""),"",IF(N73&lt;&gt;"",MAX(0,N73-M73),MAX(0,$B$3-M73)))</f>
        <v/>
      </c>
      <c r="R73" s="26">
        <f>IF(OR(B73="",M73=""),"",IF(N73&lt;&gt;"",IF(Q73&gt;0,"Liberado con atraso","Liberado a tiempo"),IF($B$3&gt;M73,"Vencido sin liberar",IF(M73-$B$3&lt;=14,"Próximo a liberar","En plazo"))))</f>
        <v/>
      </c>
      <c r="S73" s="27" t="n"/>
    </row>
    <row r="74">
      <c r="A74" s="24" t="n"/>
      <c r="B74" s="25" t="n"/>
      <c r="C74" s="25" t="n"/>
      <c r="D74" s="26">
        <f>IF(B74="","","CWP"&amp;MID(B74,4,12))</f>
        <v/>
      </c>
      <c r="E74" s="27" t="n"/>
      <c r="F74" s="25" t="n"/>
      <c r="G74" s="28" t="n"/>
      <c r="H74" s="29" t="n"/>
      <c r="I74" s="30">
        <f>IF(OR(B74="",H74="",C74=""),"",H74-7*VLOOKUP(C74,Plazos!$A$6:$F$8,2,FALSE))</f>
        <v/>
      </c>
      <c r="J74" s="30">
        <f>IF(OR(B74="",H74="",C74=""),"",H74-7*VLOOKUP(C74,Plazos!$A$6:$F$8,3,FALSE))</f>
        <v/>
      </c>
      <c r="K74" s="30">
        <f>IF(OR(B74="",H74="",C74=""),"",H74-7*VLOOKUP(C74,Plazos!$A$6:$F$8,4,FALSE))</f>
        <v/>
      </c>
      <c r="L74" s="30">
        <f>IF(OR(B74="",H74="",C74=""),"",H74-7*VLOOKUP(C74,Plazos!$A$6:$F$8,5,FALSE))</f>
        <v/>
      </c>
      <c r="M74" s="30">
        <f>IF(OR(B74="",H74="",C74=""),"",H74-7*VLOOKUP(C74,Plazos!$A$6:$F$8,6,FALSE))</f>
        <v/>
      </c>
      <c r="N74" s="29" t="n"/>
      <c r="O74" s="28" t="n"/>
      <c r="P74" s="25" t="n"/>
      <c r="Q74" s="31">
        <f>IF(OR(B74="",M74=""),"",IF(N74&lt;&gt;"",MAX(0,N74-M74),MAX(0,$B$3-M74)))</f>
        <v/>
      </c>
      <c r="R74" s="26">
        <f>IF(OR(B74="",M74=""),"",IF(N74&lt;&gt;"",IF(Q74&gt;0,"Liberado con atraso","Liberado a tiempo"),IF($B$3&gt;M74,"Vencido sin liberar",IF(M74-$B$3&lt;=14,"Próximo a liberar","En plazo"))))</f>
        <v/>
      </c>
      <c r="S74" s="27" t="n"/>
    </row>
    <row r="75">
      <c r="A75" s="24" t="n"/>
      <c r="B75" s="25" t="n"/>
      <c r="C75" s="25" t="n"/>
      <c r="D75" s="26">
        <f>IF(B75="","","CWP"&amp;MID(B75,4,12))</f>
        <v/>
      </c>
      <c r="E75" s="27" t="n"/>
      <c r="F75" s="25" t="n"/>
      <c r="G75" s="28" t="n"/>
      <c r="H75" s="29" t="n"/>
      <c r="I75" s="30">
        <f>IF(OR(B75="",H75="",C75=""),"",H75-7*VLOOKUP(C75,Plazos!$A$6:$F$8,2,FALSE))</f>
        <v/>
      </c>
      <c r="J75" s="30">
        <f>IF(OR(B75="",H75="",C75=""),"",H75-7*VLOOKUP(C75,Plazos!$A$6:$F$8,3,FALSE))</f>
        <v/>
      </c>
      <c r="K75" s="30">
        <f>IF(OR(B75="",H75="",C75=""),"",H75-7*VLOOKUP(C75,Plazos!$A$6:$F$8,4,FALSE))</f>
        <v/>
      </c>
      <c r="L75" s="30">
        <f>IF(OR(B75="",H75="",C75=""),"",H75-7*VLOOKUP(C75,Plazos!$A$6:$F$8,5,FALSE))</f>
        <v/>
      </c>
      <c r="M75" s="30">
        <f>IF(OR(B75="",H75="",C75=""),"",H75-7*VLOOKUP(C75,Plazos!$A$6:$F$8,6,FALSE))</f>
        <v/>
      </c>
      <c r="N75" s="29" t="n"/>
      <c r="O75" s="28" t="n"/>
      <c r="P75" s="25" t="n"/>
      <c r="Q75" s="31">
        <f>IF(OR(B75="",M75=""),"",IF(N75&lt;&gt;"",MAX(0,N75-M75),MAX(0,$B$3-M75)))</f>
        <v/>
      </c>
      <c r="R75" s="26">
        <f>IF(OR(B75="",M75=""),"",IF(N75&lt;&gt;"",IF(Q75&gt;0,"Liberado con atraso","Liberado a tiempo"),IF($B$3&gt;M75,"Vencido sin liberar",IF(M75-$B$3&lt;=14,"Próximo a liberar","En plazo"))))</f>
        <v/>
      </c>
      <c r="S75" s="27" t="n"/>
    </row>
    <row r="76">
      <c r="A76" s="24" t="n"/>
      <c r="B76" s="25" t="n"/>
      <c r="C76" s="25" t="n"/>
      <c r="D76" s="26">
        <f>IF(B76="","","CWP"&amp;MID(B76,4,12))</f>
        <v/>
      </c>
      <c r="E76" s="27" t="n"/>
      <c r="F76" s="25" t="n"/>
      <c r="G76" s="28" t="n"/>
      <c r="H76" s="29" t="n"/>
      <c r="I76" s="30">
        <f>IF(OR(B76="",H76="",C76=""),"",H76-7*VLOOKUP(C76,Plazos!$A$6:$F$8,2,FALSE))</f>
        <v/>
      </c>
      <c r="J76" s="30">
        <f>IF(OR(B76="",H76="",C76=""),"",H76-7*VLOOKUP(C76,Plazos!$A$6:$F$8,3,FALSE))</f>
        <v/>
      </c>
      <c r="K76" s="30">
        <f>IF(OR(B76="",H76="",C76=""),"",H76-7*VLOOKUP(C76,Plazos!$A$6:$F$8,4,FALSE))</f>
        <v/>
      </c>
      <c r="L76" s="30">
        <f>IF(OR(B76="",H76="",C76=""),"",H76-7*VLOOKUP(C76,Plazos!$A$6:$F$8,5,FALSE))</f>
        <v/>
      </c>
      <c r="M76" s="30">
        <f>IF(OR(B76="",H76="",C76=""),"",H76-7*VLOOKUP(C76,Plazos!$A$6:$F$8,6,FALSE))</f>
        <v/>
      </c>
      <c r="N76" s="29" t="n"/>
      <c r="O76" s="28" t="n"/>
      <c r="P76" s="25" t="n"/>
      <c r="Q76" s="31">
        <f>IF(OR(B76="",M76=""),"",IF(N76&lt;&gt;"",MAX(0,N76-M76),MAX(0,$B$3-M76)))</f>
        <v/>
      </c>
      <c r="R76" s="26">
        <f>IF(OR(B76="",M76=""),"",IF(N76&lt;&gt;"",IF(Q76&gt;0,"Liberado con atraso","Liberado a tiempo"),IF($B$3&gt;M76,"Vencido sin liberar",IF(M76-$B$3&lt;=14,"Próximo a liberar","En plazo"))))</f>
        <v/>
      </c>
      <c r="S76" s="27" t="n"/>
    </row>
    <row r="77">
      <c r="A77" s="24" t="n"/>
      <c r="B77" s="25" t="n"/>
      <c r="C77" s="25" t="n"/>
      <c r="D77" s="26">
        <f>IF(B77="","","CWP"&amp;MID(B77,4,12))</f>
        <v/>
      </c>
      <c r="E77" s="27" t="n"/>
      <c r="F77" s="25" t="n"/>
      <c r="G77" s="28" t="n"/>
      <c r="H77" s="29" t="n"/>
      <c r="I77" s="30">
        <f>IF(OR(B77="",H77="",C77=""),"",H77-7*VLOOKUP(C77,Plazos!$A$6:$F$8,2,FALSE))</f>
        <v/>
      </c>
      <c r="J77" s="30">
        <f>IF(OR(B77="",H77="",C77=""),"",H77-7*VLOOKUP(C77,Plazos!$A$6:$F$8,3,FALSE))</f>
        <v/>
      </c>
      <c r="K77" s="30">
        <f>IF(OR(B77="",H77="",C77=""),"",H77-7*VLOOKUP(C77,Plazos!$A$6:$F$8,4,FALSE))</f>
        <v/>
      </c>
      <c r="L77" s="30">
        <f>IF(OR(B77="",H77="",C77=""),"",H77-7*VLOOKUP(C77,Plazos!$A$6:$F$8,5,FALSE))</f>
        <v/>
      </c>
      <c r="M77" s="30">
        <f>IF(OR(B77="",H77="",C77=""),"",H77-7*VLOOKUP(C77,Plazos!$A$6:$F$8,6,FALSE))</f>
        <v/>
      </c>
      <c r="N77" s="29" t="n"/>
      <c r="O77" s="28" t="n"/>
      <c r="P77" s="25" t="n"/>
      <c r="Q77" s="31">
        <f>IF(OR(B77="",M77=""),"",IF(N77&lt;&gt;"",MAX(0,N77-M77),MAX(0,$B$3-M77)))</f>
        <v/>
      </c>
      <c r="R77" s="26">
        <f>IF(OR(B77="",M77=""),"",IF(N77&lt;&gt;"",IF(Q77&gt;0,"Liberado con atraso","Liberado a tiempo"),IF($B$3&gt;M77,"Vencido sin liberar",IF(M77-$B$3&lt;=14,"Próximo a liberar","En plazo"))))</f>
        <v/>
      </c>
      <c r="S77" s="27" t="n"/>
    </row>
    <row r="78">
      <c r="A78" s="24" t="n"/>
      <c r="B78" s="25" t="n"/>
      <c r="C78" s="25" t="n"/>
      <c r="D78" s="26">
        <f>IF(B78="","","CWP"&amp;MID(B78,4,12))</f>
        <v/>
      </c>
      <c r="E78" s="27" t="n"/>
      <c r="F78" s="25" t="n"/>
      <c r="G78" s="28" t="n"/>
      <c r="H78" s="29" t="n"/>
      <c r="I78" s="30">
        <f>IF(OR(B78="",H78="",C78=""),"",H78-7*VLOOKUP(C78,Plazos!$A$6:$F$8,2,FALSE))</f>
        <v/>
      </c>
      <c r="J78" s="30">
        <f>IF(OR(B78="",H78="",C78=""),"",H78-7*VLOOKUP(C78,Plazos!$A$6:$F$8,3,FALSE))</f>
        <v/>
      </c>
      <c r="K78" s="30">
        <f>IF(OR(B78="",H78="",C78=""),"",H78-7*VLOOKUP(C78,Plazos!$A$6:$F$8,4,FALSE))</f>
        <v/>
      </c>
      <c r="L78" s="30">
        <f>IF(OR(B78="",H78="",C78=""),"",H78-7*VLOOKUP(C78,Plazos!$A$6:$F$8,5,FALSE))</f>
        <v/>
      </c>
      <c r="M78" s="30">
        <f>IF(OR(B78="",H78="",C78=""),"",H78-7*VLOOKUP(C78,Plazos!$A$6:$F$8,6,FALSE))</f>
        <v/>
      </c>
      <c r="N78" s="29" t="n"/>
      <c r="O78" s="28" t="n"/>
      <c r="P78" s="25" t="n"/>
      <c r="Q78" s="31">
        <f>IF(OR(B78="",M78=""),"",IF(N78&lt;&gt;"",MAX(0,N78-M78),MAX(0,$B$3-M78)))</f>
        <v/>
      </c>
      <c r="R78" s="26">
        <f>IF(OR(B78="",M78=""),"",IF(N78&lt;&gt;"",IF(Q78&gt;0,"Liberado con atraso","Liberado a tiempo"),IF($B$3&gt;M78,"Vencido sin liberar",IF(M78-$B$3&lt;=14,"Próximo a liberar","En plazo"))))</f>
        <v/>
      </c>
      <c r="S78" s="27" t="n"/>
    </row>
    <row r="79">
      <c r="A79" s="24" t="n"/>
      <c r="B79" s="25" t="n"/>
      <c r="C79" s="25" t="n"/>
      <c r="D79" s="26">
        <f>IF(B79="","","CWP"&amp;MID(B79,4,12))</f>
        <v/>
      </c>
      <c r="E79" s="27" t="n"/>
      <c r="F79" s="25" t="n"/>
      <c r="G79" s="28" t="n"/>
      <c r="H79" s="29" t="n"/>
      <c r="I79" s="30">
        <f>IF(OR(B79="",H79="",C79=""),"",H79-7*VLOOKUP(C79,Plazos!$A$6:$F$8,2,FALSE))</f>
        <v/>
      </c>
      <c r="J79" s="30">
        <f>IF(OR(B79="",H79="",C79=""),"",H79-7*VLOOKUP(C79,Plazos!$A$6:$F$8,3,FALSE))</f>
        <v/>
      </c>
      <c r="K79" s="30">
        <f>IF(OR(B79="",H79="",C79=""),"",H79-7*VLOOKUP(C79,Plazos!$A$6:$F$8,4,FALSE))</f>
        <v/>
      </c>
      <c r="L79" s="30">
        <f>IF(OR(B79="",H79="",C79=""),"",H79-7*VLOOKUP(C79,Plazos!$A$6:$F$8,5,FALSE))</f>
        <v/>
      </c>
      <c r="M79" s="30">
        <f>IF(OR(B79="",H79="",C79=""),"",H79-7*VLOOKUP(C79,Plazos!$A$6:$F$8,6,FALSE))</f>
        <v/>
      </c>
      <c r="N79" s="29" t="n"/>
      <c r="O79" s="28" t="n"/>
      <c r="P79" s="25" t="n"/>
      <c r="Q79" s="31">
        <f>IF(OR(B79="",M79=""),"",IF(N79&lt;&gt;"",MAX(0,N79-M79),MAX(0,$B$3-M79)))</f>
        <v/>
      </c>
      <c r="R79" s="26">
        <f>IF(OR(B79="",M79=""),"",IF(N79&lt;&gt;"",IF(Q79&gt;0,"Liberado con atraso","Liberado a tiempo"),IF($B$3&gt;M79,"Vencido sin liberar",IF(M79-$B$3&lt;=14,"Próximo a liberar","En plazo"))))</f>
        <v/>
      </c>
      <c r="S79" s="27" t="n"/>
    </row>
    <row r="80">
      <c r="A80" s="24" t="n"/>
      <c r="B80" s="25" t="n"/>
      <c r="C80" s="25" t="n"/>
      <c r="D80" s="26">
        <f>IF(B80="","","CWP"&amp;MID(B80,4,12))</f>
        <v/>
      </c>
      <c r="E80" s="27" t="n"/>
      <c r="F80" s="25" t="n"/>
      <c r="G80" s="28" t="n"/>
      <c r="H80" s="29" t="n"/>
      <c r="I80" s="30">
        <f>IF(OR(B80="",H80="",C80=""),"",H80-7*VLOOKUP(C80,Plazos!$A$6:$F$8,2,FALSE))</f>
        <v/>
      </c>
      <c r="J80" s="30">
        <f>IF(OR(B80="",H80="",C80=""),"",H80-7*VLOOKUP(C80,Plazos!$A$6:$F$8,3,FALSE))</f>
        <v/>
      </c>
      <c r="K80" s="30">
        <f>IF(OR(B80="",H80="",C80=""),"",H80-7*VLOOKUP(C80,Plazos!$A$6:$F$8,4,FALSE))</f>
        <v/>
      </c>
      <c r="L80" s="30">
        <f>IF(OR(B80="",H80="",C80=""),"",H80-7*VLOOKUP(C80,Plazos!$A$6:$F$8,5,FALSE))</f>
        <v/>
      </c>
      <c r="M80" s="30">
        <f>IF(OR(B80="",H80="",C80=""),"",H80-7*VLOOKUP(C80,Plazos!$A$6:$F$8,6,FALSE))</f>
        <v/>
      </c>
      <c r="N80" s="29" t="n"/>
      <c r="O80" s="28" t="n"/>
      <c r="P80" s="25" t="n"/>
      <c r="Q80" s="31">
        <f>IF(OR(B80="",M80=""),"",IF(N80&lt;&gt;"",MAX(0,N80-M80),MAX(0,$B$3-M80)))</f>
        <v/>
      </c>
      <c r="R80" s="26">
        <f>IF(OR(B80="",M80=""),"",IF(N80&lt;&gt;"",IF(Q80&gt;0,"Liberado con atraso","Liberado a tiempo"),IF($B$3&gt;M80,"Vencido sin liberar",IF(M80-$B$3&lt;=14,"Próximo a liberar","En plazo"))))</f>
        <v/>
      </c>
      <c r="S80" s="27" t="n"/>
    </row>
    <row r="81">
      <c r="A81" s="24" t="n"/>
      <c r="B81" s="25" t="n"/>
      <c r="C81" s="25" t="n"/>
      <c r="D81" s="26">
        <f>IF(B81="","","CWP"&amp;MID(B81,4,12))</f>
        <v/>
      </c>
      <c r="E81" s="27" t="n"/>
      <c r="F81" s="25" t="n"/>
      <c r="G81" s="28" t="n"/>
      <c r="H81" s="29" t="n"/>
      <c r="I81" s="30">
        <f>IF(OR(B81="",H81="",C81=""),"",H81-7*VLOOKUP(C81,Plazos!$A$6:$F$8,2,FALSE))</f>
        <v/>
      </c>
      <c r="J81" s="30">
        <f>IF(OR(B81="",H81="",C81=""),"",H81-7*VLOOKUP(C81,Plazos!$A$6:$F$8,3,FALSE))</f>
        <v/>
      </c>
      <c r="K81" s="30">
        <f>IF(OR(B81="",H81="",C81=""),"",H81-7*VLOOKUP(C81,Plazos!$A$6:$F$8,4,FALSE))</f>
        <v/>
      </c>
      <c r="L81" s="30">
        <f>IF(OR(B81="",H81="",C81=""),"",H81-7*VLOOKUP(C81,Plazos!$A$6:$F$8,5,FALSE))</f>
        <v/>
      </c>
      <c r="M81" s="30">
        <f>IF(OR(B81="",H81="",C81=""),"",H81-7*VLOOKUP(C81,Plazos!$A$6:$F$8,6,FALSE))</f>
        <v/>
      </c>
      <c r="N81" s="29" t="n"/>
      <c r="O81" s="28" t="n"/>
      <c r="P81" s="25" t="n"/>
      <c r="Q81" s="31">
        <f>IF(OR(B81="",M81=""),"",IF(N81&lt;&gt;"",MAX(0,N81-M81),MAX(0,$B$3-M81)))</f>
        <v/>
      </c>
      <c r="R81" s="26">
        <f>IF(OR(B81="",M81=""),"",IF(N81&lt;&gt;"",IF(Q81&gt;0,"Liberado con atraso","Liberado a tiempo"),IF($B$3&gt;M81,"Vencido sin liberar",IF(M81-$B$3&lt;=14,"Próximo a liberar","En plazo"))))</f>
        <v/>
      </c>
      <c r="S81" s="27" t="n"/>
    </row>
    <row r="82">
      <c r="A82" s="24" t="n"/>
      <c r="B82" s="25" t="n"/>
      <c r="C82" s="25" t="n"/>
      <c r="D82" s="26">
        <f>IF(B82="","","CWP"&amp;MID(B82,4,12))</f>
        <v/>
      </c>
      <c r="E82" s="27" t="n"/>
      <c r="F82" s="25" t="n"/>
      <c r="G82" s="28" t="n"/>
      <c r="H82" s="29" t="n"/>
      <c r="I82" s="30">
        <f>IF(OR(B82="",H82="",C82=""),"",H82-7*VLOOKUP(C82,Plazos!$A$6:$F$8,2,FALSE))</f>
        <v/>
      </c>
      <c r="J82" s="30">
        <f>IF(OR(B82="",H82="",C82=""),"",H82-7*VLOOKUP(C82,Plazos!$A$6:$F$8,3,FALSE))</f>
        <v/>
      </c>
      <c r="K82" s="30">
        <f>IF(OR(B82="",H82="",C82=""),"",H82-7*VLOOKUP(C82,Plazos!$A$6:$F$8,4,FALSE))</f>
        <v/>
      </c>
      <c r="L82" s="30">
        <f>IF(OR(B82="",H82="",C82=""),"",H82-7*VLOOKUP(C82,Plazos!$A$6:$F$8,5,FALSE))</f>
        <v/>
      </c>
      <c r="M82" s="30">
        <f>IF(OR(B82="",H82="",C82=""),"",H82-7*VLOOKUP(C82,Plazos!$A$6:$F$8,6,FALSE))</f>
        <v/>
      </c>
      <c r="N82" s="29" t="n"/>
      <c r="O82" s="28" t="n"/>
      <c r="P82" s="25" t="n"/>
      <c r="Q82" s="31">
        <f>IF(OR(B82="",M82=""),"",IF(N82&lt;&gt;"",MAX(0,N82-M82),MAX(0,$B$3-M82)))</f>
        <v/>
      </c>
      <c r="R82" s="26">
        <f>IF(OR(B82="",M82=""),"",IF(N82&lt;&gt;"",IF(Q82&gt;0,"Liberado con atraso","Liberado a tiempo"),IF($B$3&gt;M82,"Vencido sin liberar",IF(M82-$B$3&lt;=14,"Próximo a liberar","En plazo"))))</f>
        <v/>
      </c>
      <c r="S82" s="27" t="n"/>
    </row>
    <row r="83">
      <c r="A83" s="24" t="n"/>
      <c r="B83" s="25" t="n"/>
      <c r="C83" s="25" t="n"/>
      <c r="D83" s="26">
        <f>IF(B83="","","CWP"&amp;MID(B83,4,12))</f>
        <v/>
      </c>
      <c r="E83" s="27" t="n"/>
      <c r="F83" s="25" t="n"/>
      <c r="G83" s="28" t="n"/>
      <c r="H83" s="29" t="n"/>
      <c r="I83" s="30">
        <f>IF(OR(B83="",H83="",C83=""),"",H83-7*VLOOKUP(C83,Plazos!$A$6:$F$8,2,FALSE))</f>
        <v/>
      </c>
      <c r="J83" s="30">
        <f>IF(OR(B83="",H83="",C83=""),"",H83-7*VLOOKUP(C83,Plazos!$A$6:$F$8,3,FALSE))</f>
        <v/>
      </c>
      <c r="K83" s="30">
        <f>IF(OR(B83="",H83="",C83=""),"",H83-7*VLOOKUP(C83,Plazos!$A$6:$F$8,4,FALSE))</f>
        <v/>
      </c>
      <c r="L83" s="30">
        <f>IF(OR(B83="",H83="",C83=""),"",H83-7*VLOOKUP(C83,Plazos!$A$6:$F$8,5,FALSE))</f>
        <v/>
      </c>
      <c r="M83" s="30">
        <f>IF(OR(B83="",H83="",C83=""),"",H83-7*VLOOKUP(C83,Plazos!$A$6:$F$8,6,FALSE))</f>
        <v/>
      </c>
      <c r="N83" s="29" t="n"/>
      <c r="O83" s="28" t="n"/>
      <c r="P83" s="25" t="n"/>
      <c r="Q83" s="31">
        <f>IF(OR(B83="",M83=""),"",IF(N83&lt;&gt;"",MAX(0,N83-M83),MAX(0,$B$3-M83)))</f>
        <v/>
      </c>
      <c r="R83" s="26">
        <f>IF(OR(B83="",M83=""),"",IF(N83&lt;&gt;"",IF(Q83&gt;0,"Liberado con atraso","Liberado a tiempo"),IF($B$3&gt;M83,"Vencido sin liberar",IF(M83-$B$3&lt;=14,"Próximo a liberar","En plazo"))))</f>
        <v/>
      </c>
      <c r="S83" s="27" t="n"/>
    </row>
    <row r="84">
      <c r="A84" s="24" t="n"/>
      <c r="B84" s="25" t="n"/>
      <c r="C84" s="25" t="n"/>
      <c r="D84" s="26">
        <f>IF(B84="","","CWP"&amp;MID(B84,4,12))</f>
        <v/>
      </c>
      <c r="E84" s="27" t="n"/>
      <c r="F84" s="25" t="n"/>
      <c r="G84" s="28" t="n"/>
      <c r="H84" s="29" t="n"/>
      <c r="I84" s="30">
        <f>IF(OR(B84="",H84="",C84=""),"",H84-7*VLOOKUP(C84,Plazos!$A$6:$F$8,2,FALSE))</f>
        <v/>
      </c>
      <c r="J84" s="30">
        <f>IF(OR(B84="",H84="",C84=""),"",H84-7*VLOOKUP(C84,Plazos!$A$6:$F$8,3,FALSE))</f>
        <v/>
      </c>
      <c r="K84" s="30">
        <f>IF(OR(B84="",H84="",C84=""),"",H84-7*VLOOKUP(C84,Plazos!$A$6:$F$8,4,FALSE))</f>
        <v/>
      </c>
      <c r="L84" s="30">
        <f>IF(OR(B84="",H84="",C84=""),"",H84-7*VLOOKUP(C84,Plazos!$A$6:$F$8,5,FALSE))</f>
        <v/>
      </c>
      <c r="M84" s="30">
        <f>IF(OR(B84="",H84="",C84=""),"",H84-7*VLOOKUP(C84,Plazos!$A$6:$F$8,6,FALSE))</f>
        <v/>
      </c>
      <c r="N84" s="29" t="n"/>
      <c r="O84" s="28" t="n"/>
      <c r="P84" s="25" t="n"/>
      <c r="Q84" s="31">
        <f>IF(OR(B84="",M84=""),"",IF(N84&lt;&gt;"",MAX(0,N84-M84),MAX(0,$B$3-M84)))</f>
        <v/>
      </c>
      <c r="R84" s="26">
        <f>IF(OR(B84="",M84=""),"",IF(N84&lt;&gt;"",IF(Q84&gt;0,"Liberado con atraso","Liberado a tiempo"),IF($B$3&gt;M84,"Vencido sin liberar",IF(M84-$B$3&lt;=14,"Próximo a liberar","En plazo"))))</f>
        <v/>
      </c>
      <c r="S84" s="27" t="n"/>
    </row>
    <row r="85">
      <c r="A85" s="24" t="n"/>
      <c r="B85" s="25" t="n"/>
      <c r="C85" s="25" t="n"/>
      <c r="D85" s="26">
        <f>IF(B85="","","CWP"&amp;MID(B85,4,12))</f>
        <v/>
      </c>
      <c r="E85" s="27" t="n"/>
      <c r="F85" s="25" t="n"/>
      <c r="G85" s="28" t="n"/>
      <c r="H85" s="29" t="n"/>
      <c r="I85" s="30">
        <f>IF(OR(B85="",H85="",C85=""),"",H85-7*VLOOKUP(C85,Plazos!$A$6:$F$8,2,FALSE))</f>
        <v/>
      </c>
      <c r="J85" s="30">
        <f>IF(OR(B85="",H85="",C85=""),"",H85-7*VLOOKUP(C85,Plazos!$A$6:$F$8,3,FALSE))</f>
        <v/>
      </c>
      <c r="K85" s="30">
        <f>IF(OR(B85="",H85="",C85=""),"",H85-7*VLOOKUP(C85,Plazos!$A$6:$F$8,4,FALSE))</f>
        <v/>
      </c>
      <c r="L85" s="30">
        <f>IF(OR(B85="",H85="",C85=""),"",H85-7*VLOOKUP(C85,Plazos!$A$6:$F$8,5,FALSE))</f>
        <v/>
      </c>
      <c r="M85" s="30">
        <f>IF(OR(B85="",H85="",C85=""),"",H85-7*VLOOKUP(C85,Plazos!$A$6:$F$8,6,FALSE))</f>
        <v/>
      </c>
      <c r="N85" s="29" t="n"/>
      <c r="O85" s="28" t="n"/>
      <c r="P85" s="25" t="n"/>
      <c r="Q85" s="31">
        <f>IF(OR(B85="",M85=""),"",IF(N85&lt;&gt;"",MAX(0,N85-M85),MAX(0,$B$3-M85)))</f>
        <v/>
      </c>
      <c r="R85" s="26">
        <f>IF(OR(B85="",M85=""),"",IF(N85&lt;&gt;"",IF(Q85&gt;0,"Liberado con atraso","Liberado a tiempo"),IF($B$3&gt;M85,"Vencido sin liberar",IF(M85-$B$3&lt;=14,"Próximo a liberar","En plazo"))))</f>
        <v/>
      </c>
      <c r="S85" s="27" t="n"/>
    </row>
    <row r="86">
      <c r="A86" s="24" t="n"/>
      <c r="B86" s="25" t="n"/>
      <c r="C86" s="25" t="n"/>
      <c r="D86" s="26">
        <f>IF(B86="","","CWP"&amp;MID(B86,4,12))</f>
        <v/>
      </c>
      <c r="E86" s="27" t="n"/>
      <c r="F86" s="25" t="n"/>
      <c r="G86" s="28" t="n"/>
      <c r="H86" s="29" t="n"/>
      <c r="I86" s="30">
        <f>IF(OR(B86="",H86="",C86=""),"",H86-7*VLOOKUP(C86,Plazos!$A$6:$F$8,2,FALSE))</f>
        <v/>
      </c>
      <c r="J86" s="30">
        <f>IF(OR(B86="",H86="",C86=""),"",H86-7*VLOOKUP(C86,Plazos!$A$6:$F$8,3,FALSE))</f>
        <v/>
      </c>
      <c r="K86" s="30">
        <f>IF(OR(B86="",H86="",C86=""),"",H86-7*VLOOKUP(C86,Plazos!$A$6:$F$8,4,FALSE))</f>
        <v/>
      </c>
      <c r="L86" s="30">
        <f>IF(OR(B86="",H86="",C86=""),"",H86-7*VLOOKUP(C86,Plazos!$A$6:$F$8,5,FALSE))</f>
        <v/>
      </c>
      <c r="M86" s="30">
        <f>IF(OR(B86="",H86="",C86=""),"",H86-7*VLOOKUP(C86,Plazos!$A$6:$F$8,6,FALSE))</f>
        <v/>
      </c>
      <c r="N86" s="29" t="n"/>
      <c r="O86" s="28" t="n"/>
      <c r="P86" s="25" t="n"/>
      <c r="Q86" s="31">
        <f>IF(OR(B86="",M86=""),"",IF(N86&lt;&gt;"",MAX(0,N86-M86),MAX(0,$B$3-M86)))</f>
        <v/>
      </c>
      <c r="R86" s="26">
        <f>IF(OR(B86="",M86=""),"",IF(N86&lt;&gt;"",IF(Q86&gt;0,"Liberado con atraso","Liberado a tiempo"),IF($B$3&gt;M86,"Vencido sin liberar",IF(M86-$B$3&lt;=14,"Próximo a liberar","En plazo"))))</f>
        <v/>
      </c>
      <c r="S86" s="27" t="n"/>
    </row>
    <row r="87">
      <c r="A87" s="24" t="n"/>
      <c r="B87" s="25" t="n"/>
      <c r="C87" s="25" t="n"/>
      <c r="D87" s="26">
        <f>IF(B87="","","CWP"&amp;MID(B87,4,12))</f>
        <v/>
      </c>
      <c r="E87" s="27" t="n"/>
      <c r="F87" s="25" t="n"/>
      <c r="G87" s="28" t="n"/>
      <c r="H87" s="29" t="n"/>
      <c r="I87" s="30">
        <f>IF(OR(B87="",H87="",C87=""),"",H87-7*VLOOKUP(C87,Plazos!$A$6:$F$8,2,FALSE))</f>
        <v/>
      </c>
      <c r="J87" s="30">
        <f>IF(OR(B87="",H87="",C87=""),"",H87-7*VLOOKUP(C87,Plazos!$A$6:$F$8,3,FALSE))</f>
        <v/>
      </c>
      <c r="K87" s="30">
        <f>IF(OR(B87="",H87="",C87=""),"",H87-7*VLOOKUP(C87,Plazos!$A$6:$F$8,4,FALSE))</f>
        <v/>
      </c>
      <c r="L87" s="30">
        <f>IF(OR(B87="",H87="",C87=""),"",H87-7*VLOOKUP(C87,Plazos!$A$6:$F$8,5,FALSE))</f>
        <v/>
      </c>
      <c r="M87" s="30">
        <f>IF(OR(B87="",H87="",C87=""),"",H87-7*VLOOKUP(C87,Plazos!$A$6:$F$8,6,FALSE))</f>
        <v/>
      </c>
      <c r="N87" s="29" t="n"/>
      <c r="O87" s="28" t="n"/>
      <c r="P87" s="25" t="n"/>
      <c r="Q87" s="31">
        <f>IF(OR(B87="",M87=""),"",IF(N87&lt;&gt;"",MAX(0,N87-M87),MAX(0,$B$3-M87)))</f>
        <v/>
      </c>
      <c r="R87" s="26">
        <f>IF(OR(B87="",M87=""),"",IF(N87&lt;&gt;"",IF(Q87&gt;0,"Liberado con atraso","Liberado a tiempo"),IF($B$3&gt;M87,"Vencido sin liberar",IF(M87-$B$3&lt;=14,"Próximo a liberar","En plazo"))))</f>
        <v/>
      </c>
      <c r="S87" s="27" t="n"/>
    </row>
    <row r="88">
      <c r="A88" s="24" t="n"/>
      <c r="B88" s="25" t="n"/>
      <c r="C88" s="25" t="n"/>
      <c r="D88" s="26">
        <f>IF(B88="","","CWP"&amp;MID(B88,4,12))</f>
        <v/>
      </c>
      <c r="E88" s="27" t="n"/>
      <c r="F88" s="25" t="n"/>
      <c r="G88" s="28" t="n"/>
      <c r="H88" s="29" t="n"/>
      <c r="I88" s="30">
        <f>IF(OR(B88="",H88="",C88=""),"",H88-7*VLOOKUP(C88,Plazos!$A$6:$F$8,2,FALSE))</f>
        <v/>
      </c>
      <c r="J88" s="30">
        <f>IF(OR(B88="",H88="",C88=""),"",H88-7*VLOOKUP(C88,Plazos!$A$6:$F$8,3,FALSE))</f>
        <v/>
      </c>
      <c r="K88" s="30">
        <f>IF(OR(B88="",H88="",C88=""),"",H88-7*VLOOKUP(C88,Plazos!$A$6:$F$8,4,FALSE))</f>
        <v/>
      </c>
      <c r="L88" s="30">
        <f>IF(OR(B88="",H88="",C88=""),"",H88-7*VLOOKUP(C88,Plazos!$A$6:$F$8,5,FALSE))</f>
        <v/>
      </c>
      <c r="M88" s="30">
        <f>IF(OR(B88="",H88="",C88=""),"",H88-7*VLOOKUP(C88,Plazos!$A$6:$F$8,6,FALSE))</f>
        <v/>
      </c>
      <c r="N88" s="29" t="n"/>
      <c r="O88" s="28" t="n"/>
      <c r="P88" s="25" t="n"/>
      <c r="Q88" s="31">
        <f>IF(OR(B88="",M88=""),"",IF(N88&lt;&gt;"",MAX(0,N88-M88),MAX(0,$B$3-M88)))</f>
        <v/>
      </c>
      <c r="R88" s="26">
        <f>IF(OR(B88="",M88=""),"",IF(N88&lt;&gt;"",IF(Q88&gt;0,"Liberado con atraso","Liberado a tiempo"),IF($B$3&gt;M88,"Vencido sin liberar",IF(M88-$B$3&lt;=14,"Próximo a liberar","En plazo"))))</f>
        <v/>
      </c>
      <c r="S88" s="27" t="n"/>
    </row>
    <row r="89">
      <c r="A89" s="24" t="n"/>
      <c r="B89" s="25" t="n"/>
      <c r="C89" s="25" t="n"/>
      <c r="D89" s="26">
        <f>IF(B89="","","CWP"&amp;MID(B89,4,12))</f>
        <v/>
      </c>
      <c r="E89" s="27" t="n"/>
      <c r="F89" s="25" t="n"/>
      <c r="G89" s="28" t="n"/>
      <c r="H89" s="29" t="n"/>
      <c r="I89" s="30">
        <f>IF(OR(B89="",H89="",C89=""),"",H89-7*VLOOKUP(C89,Plazos!$A$6:$F$8,2,FALSE))</f>
        <v/>
      </c>
      <c r="J89" s="30">
        <f>IF(OR(B89="",H89="",C89=""),"",H89-7*VLOOKUP(C89,Plazos!$A$6:$F$8,3,FALSE))</f>
        <v/>
      </c>
      <c r="K89" s="30">
        <f>IF(OR(B89="",H89="",C89=""),"",H89-7*VLOOKUP(C89,Plazos!$A$6:$F$8,4,FALSE))</f>
        <v/>
      </c>
      <c r="L89" s="30">
        <f>IF(OR(B89="",H89="",C89=""),"",H89-7*VLOOKUP(C89,Plazos!$A$6:$F$8,5,FALSE))</f>
        <v/>
      </c>
      <c r="M89" s="30">
        <f>IF(OR(B89="",H89="",C89=""),"",H89-7*VLOOKUP(C89,Plazos!$A$6:$F$8,6,FALSE))</f>
        <v/>
      </c>
      <c r="N89" s="29" t="n"/>
      <c r="O89" s="28" t="n"/>
      <c r="P89" s="25" t="n"/>
      <c r="Q89" s="31">
        <f>IF(OR(B89="",M89=""),"",IF(N89&lt;&gt;"",MAX(0,N89-M89),MAX(0,$B$3-M89)))</f>
        <v/>
      </c>
      <c r="R89" s="26">
        <f>IF(OR(B89="",M89=""),"",IF(N89&lt;&gt;"",IF(Q89&gt;0,"Liberado con atraso","Liberado a tiempo"),IF($B$3&gt;M89,"Vencido sin liberar",IF(M89-$B$3&lt;=14,"Próximo a liberar","En plazo"))))</f>
        <v/>
      </c>
      <c r="S89" s="27" t="n"/>
    </row>
    <row r="90">
      <c r="A90" s="24" t="n"/>
      <c r="B90" s="25" t="n"/>
      <c r="C90" s="25" t="n"/>
      <c r="D90" s="26">
        <f>IF(B90="","","CWP"&amp;MID(B90,4,12))</f>
        <v/>
      </c>
      <c r="E90" s="27" t="n"/>
      <c r="F90" s="25" t="n"/>
      <c r="G90" s="28" t="n"/>
      <c r="H90" s="29" t="n"/>
      <c r="I90" s="30">
        <f>IF(OR(B90="",H90="",C90=""),"",H90-7*VLOOKUP(C90,Plazos!$A$6:$F$8,2,FALSE))</f>
        <v/>
      </c>
      <c r="J90" s="30">
        <f>IF(OR(B90="",H90="",C90=""),"",H90-7*VLOOKUP(C90,Plazos!$A$6:$F$8,3,FALSE))</f>
        <v/>
      </c>
      <c r="K90" s="30">
        <f>IF(OR(B90="",H90="",C90=""),"",H90-7*VLOOKUP(C90,Plazos!$A$6:$F$8,4,FALSE))</f>
        <v/>
      </c>
      <c r="L90" s="30">
        <f>IF(OR(B90="",H90="",C90=""),"",H90-7*VLOOKUP(C90,Plazos!$A$6:$F$8,5,FALSE))</f>
        <v/>
      </c>
      <c r="M90" s="30">
        <f>IF(OR(B90="",H90="",C90=""),"",H90-7*VLOOKUP(C90,Plazos!$A$6:$F$8,6,FALSE))</f>
        <v/>
      </c>
      <c r="N90" s="29" t="n"/>
      <c r="O90" s="28" t="n"/>
      <c r="P90" s="25" t="n"/>
      <c r="Q90" s="31">
        <f>IF(OR(B90="",M90=""),"",IF(N90&lt;&gt;"",MAX(0,N90-M90),MAX(0,$B$3-M90)))</f>
        <v/>
      </c>
      <c r="R90" s="26">
        <f>IF(OR(B90="",M90=""),"",IF(N90&lt;&gt;"",IF(Q90&gt;0,"Liberado con atraso","Liberado a tiempo"),IF($B$3&gt;M90,"Vencido sin liberar",IF(M90-$B$3&lt;=14,"Próximo a liberar","En plazo"))))</f>
        <v/>
      </c>
      <c r="S90" s="27" t="n"/>
    </row>
    <row r="91">
      <c r="A91" s="24" t="n"/>
      <c r="B91" s="25" t="n"/>
      <c r="C91" s="25" t="n"/>
      <c r="D91" s="26">
        <f>IF(B91="","","CWP"&amp;MID(B91,4,12))</f>
        <v/>
      </c>
      <c r="E91" s="27" t="n"/>
      <c r="F91" s="25" t="n"/>
      <c r="G91" s="28" t="n"/>
      <c r="H91" s="29" t="n"/>
      <c r="I91" s="30">
        <f>IF(OR(B91="",H91="",C91=""),"",H91-7*VLOOKUP(C91,Plazos!$A$6:$F$8,2,FALSE))</f>
        <v/>
      </c>
      <c r="J91" s="30">
        <f>IF(OR(B91="",H91="",C91=""),"",H91-7*VLOOKUP(C91,Plazos!$A$6:$F$8,3,FALSE))</f>
        <v/>
      </c>
      <c r="K91" s="30">
        <f>IF(OR(B91="",H91="",C91=""),"",H91-7*VLOOKUP(C91,Plazos!$A$6:$F$8,4,FALSE))</f>
        <v/>
      </c>
      <c r="L91" s="30">
        <f>IF(OR(B91="",H91="",C91=""),"",H91-7*VLOOKUP(C91,Plazos!$A$6:$F$8,5,FALSE))</f>
        <v/>
      </c>
      <c r="M91" s="30">
        <f>IF(OR(B91="",H91="",C91=""),"",H91-7*VLOOKUP(C91,Plazos!$A$6:$F$8,6,FALSE))</f>
        <v/>
      </c>
      <c r="N91" s="29" t="n"/>
      <c r="O91" s="28" t="n"/>
      <c r="P91" s="25" t="n"/>
      <c r="Q91" s="31">
        <f>IF(OR(B91="",M91=""),"",IF(N91&lt;&gt;"",MAX(0,N91-M91),MAX(0,$B$3-M91)))</f>
        <v/>
      </c>
      <c r="R91" s="26">
        <f>IF(OR(B91="",M91=""),"",IF(N91&lt;&gt;"",IF(Q91&gt;0,"Liberado con atraso","Liberado a tiempo"),IF($B$3&gt;M91,"Vencido sin liberar",IF(M91-$B$3&lt;=14,"Próximo a liberar","En plazo"))))</f>
        <v/>
      </c>
      <c r="S91" s="27" t="n"/>
    </row>
    <row r="92">
      <c r="A92" s="24" t="n"/>
      <c r="B92" s="25" t="n"/>
      <c r="C92" s="25" t="n"/>
      <c r="D92" s="26">
        <f>IF(B92="","","CWP"&amp;MID(B92,4,12))</f>
        <v/>
      </c>
      <c r="E92" s="27" t="n"/>
      <c r="F92" s="25" t="n"/>
      <c r="G92" s="28" t="n"/>
      <c r="H92" s="29" t="n"/>
      <c r="I92" s="30">
        <f>IF(OR(B92="",H92="",C92=""),"",H92-7*VLOOKUP(C92,Plazos!$A$6:$F$8,2,FALSE))</f>
        <v/>
      </c>
      <c r="J92" s="30">
        <f>IF(OR(B92="",H92="",C92=""),"",H92-7*VLOOKUP(C92,Plazos!$A$6:$F$8,3,FALSE))</f>
        <v/>
      </c>
      <c r="K92" s="30">
        <f>IF(OR(B92="",H92="",C92=""),"",H92-7*VLOOKUP(C92,Plazos!$A$6:$F$8,4,FALSE))</f>
        <v/>
      </c>
      <c r="L92" s="30">
        <f>IF(OR(B92="",H92="",C92=""),"",H92-7*VLOOKUP(C92,Plazos!$A$6:$F$8,5,FALSE))</f>
        <v/>
      </c>
      <c r="M92" s="30">
        <f>IF(OR(B92="",H92="",C92=""),"",H92-7*VLOOKUP(C92,Plazos!$A$6:$F$8,6,FALSE))</f>
        <v/>
      </c>
      <c r="N92" s="29" t="n"/>
      <c r="O92" s="28" t="n"/>
      <c r="P92" s="25" t="n"/>
      <c r="Q92" s="31">
        <f>IF(OR(B92="",M92=""),"",IF(N92&lt;&gt;"",MAX(0,N92-M92),MAX(0,$B$3-M92)))</f>
        <v/>
      </c>
      <c r="R92" s="26">
        <f>IF(OR(B92="",M92=""),"",IF(N92&lt;&gt;"",IF(Q92&gt;0,"Liberado con atraso","Liberado a tiempo"),IF($B$3&gt;M92,"Vencido sin liberar",IF(M92-$B$3&lt;=14,"Próximo a liberar","En plazo"))))</f>
        <v/>
      </c>
      <c r="S92" s="27" t="n"/>
    </row>
    <row r="93">
      <c r="A93" s="24" t="n"/>
      <c r="B93" s="25" t="n"/>
      <c r="C93" s="25" t="n"/>
      <c r="D93" s="26">
        <f>IF(B93="","","CWP"&amp;MID(B93,4,12))</f>
        <v/>
      </c>
      <c r="E93" s="27" t="n"/>
      <c r="F93" s="25" t="n"/>
      <c r="G93" s="28" t="n"/>
      <c r="H93" s="29" t="n"/>
      <c r="I93" s="30">
        <f>IF(OR(B93="",H93="",C93=""),"",H93-7*VLOOKUP(C93,Plazos!$A$6:$F$8,2,FALSE))</f>
        <v/>
      </c>
      <c r="J93" s="30">
        <f>IF(OR(B93="",H93="",C93=""),"",H93-7*VLOOKUP(C93,Plazos!$A$6:$F$8,3,FALSE))</f>
        <v/>
      </c>
      <c r="K93" s="30">
        <f>IF(OR(B93="",H93="",C93=""),"",H93-7*VLOOKUP(C93,Plazos!$A$6:$F$8,4,FALSE))</f>
        <v/>
      </c>
      <c r="L93" s="30">
        <f>IF(OR(B93="",H93="",C93=""),"",H93-7*VLOOKUP(C93,Plazos!$A$6:$F$8,5,FALSE))</f>
        <v/>
      </c>
      <c r="M93" s="30">
        <f>IF(OR(B93="",H93="",C93=""),"",H93-7*VLOOKUP(C93,Plazos!$A$6:$F$8,6,FALSE))</f>
        <v/>
      </c>
      <c r="N93" s="29" t="n"/>
      <c r="O93" s="28" t="n"/>
      <c r="P93" s="25" t="n"/>
      <c r="Q93" s="31">
        <f>IF(OR(B93="",M93=""),"",IF(N93&lt;&gt;"",MAX(0,N93-M93),MAX(0,$B$3-M93)))</f>
        <v/>
      </c>
      <c r="R93" s="26">
        <f>IF(OR(B93="",M93=""),"",IF(N93&lt;&gt;"",IF(Q93&gt;0,"Liberado con atraso","Liberado a tiempo"),IF($B$3&gt;M93,"Vencido sin liberar",IF(M93-$B$3&lt;=14,"Próximo a liberar","En plazo"))))</f>
        <v/>
      </c>
      <c r="S93" s="27" t="n"/>
    </row>
    <row r="94">
      <c r="A94" s="24" t="n"/>
      <c r="B94" s="25" t="n"/>
      <c r="C94" s="25" t="n"/>
      <c r="D94" s="26">
        <f>IF(B94="","","CWP"&amp;MID(B94,4,12))</f>
        <v/>
      </c>
      <c r="E94" s="27" t="n"/>
      <c r="F94" s="25" t="n"/>
      <c r="G94" s="28" t="n"/>
      <c r="H94" s="29" t="n"/>
      <c r="I94" s="30">
        <f>IF(OR(B94="",H94="",C94=""),"",H94-7*VLOOKUP(C94,Plazos!$A$6:$F$8,2,FALSE))</f>
        <v/>
      </c>
      <c r="J94" s="30">
        <f>IF(OR(B94="",H94="",C94=""),"",H94-7*VLOOKUP(C94,Plazos!$A$6:$F$8,3,FALSE))</f>
        <v/>
      </c>
      <c r="K94" s="30">
        <f>IF(OR(B94="",H94="",C94=""),"",H94-7*VLOOKUP(C94,Plazos!$A$6:$F$8,4,FALSE))</f>
        <v/>
      </c>
      <c r="L94" s="30">
        <f>IF(OR(B94="",H94="",C94=""),"",H94-7*VLOOKUP(C94,Plazos!$A$6:$F$8,5,FALSE))</f>
        <v/>
      </c>
      <c r="M94" s="30">
        <f>IF(OR(B94="",H94="",C94=""),"",H94-7*VLOOKUP(C94,Plazos!$A$6:$F$8,6,FALSE))</f>
        <v/>
      </c>
      <c r="N94" s="29" t="n"/>
      <c r="O94" s="28" t="n"/>
      <c r="P94" s="25" t="n"/>
      <c r="Q94" s="31">
        <f>IF(OR(B94="",M94=""),"",IF(N94&lt;&gt;"",MAX(0,N94-M94),MAX(0,$B$3-M94)))</f>
        <v/>
      </c>
      <c r="R94" s="26">
        <f>IF(OR(B94="",M94=""),"",IF(N94&lt;&gt;"",IF(Q94&gt;0,"Liberado con atraso","Liberado a tiempo"),IF($B$3&gt;M94,"Vencido sin liberar",IF(M94-$B$3&lt;=14,"Próximo a liberar","En plazo"))))</f>
        <v/>
      </c>
      <c r="S94" s="27" t="n"/>
    </row>
    <row r="95">
      <c r="A95" s="24" t="n"/>
      <c r="B95" s="25" t="n"/>
      <c r="C95" s="25" t="n"/>
      <c r="D95" s="26">
        <f>IF(B95="","","CWP"&amp;MID(B95,4,12))</f>
        <v/>
      </c>
      <c r="E95" s="27" t="n"/>
      <c r="F95" s="25" t="n"/>
      <c r="G95" s="28" t="n"/>
      <c r="H95" s="29" t="n"/>
      <c r="I95" s="30">
        <f>IF(OR(B95="",H95="",C95=""),"",H95-7*VLOOKUP(C95,Plazos!$A$6:$F$8,2,FALSE))</f>
        <v/>
      </c>
      <c r="J95" s="30">
        <f>IF(OR(B95="",H95="",C95=""),"",H95-7*VLOOKUP(C95,Plazos!$A$6:$F$8,3,FALSE))</f>
        <v/>
      </c>
      <c r="K95" s="30">
        <f>IF(OR(B95="",H95="",C95=""),"",H95-7*VLOOKUP(C95,Plazos!$A$6:$F$8,4,FALSE))</f>
        <v/>
      </c>
      <c r="L95" s="30">
        <f>IF(OR(B95="",H95="",C95=""),"",H95-7*VLOOKUP(C95,Plazos!$A$6:$F$8,5,FALSE))</f>
        <v/>
      </c>
      <c r="M95" s="30">
        <f>IF(OR(B95="",H95="",C95=""),"",H95-7*VLOOKUP(C95,Plazos!$A$6:$F$8,6,FALSE))</f>
        <v/>
      </c>
      <c r="N95" s="29" t="n"/>
      <c r="O95" s="28" t="n"/>
      <c r="P95" s="25" t="n"/>
      <c r="Q95" s="31">
        <f>IF(OR(B95="",M95=""),"",IF(N95&lt;&gt;"",MAX(0,N95-M95),MAX(0,$B$3-M95)))</f>
        <v/>
      </c>
      <c r="R95" s="26">
        <f>IF(OR(B95="",M95=""),"",IF(N95&lt;&gt;"",IF(Q95&gt;0,"Liberado con atraso","Liberado a tiempo"),IF($B$3&gt;M95,"Vencido sin liberar",IF(M95-$B$3&lt;=14,"Próximo a liberar","En plazo"))))</f>
        <v/>
      </c>
      <c r="S95" s="27" t="n"/>
    </row>
    <row r="96">
      <c r="A96" s="24" t="n"/>
      <c r="B96" s="25" t="n"/>
      <c r="C96" s="25" t="n"/>
      <c r="D96" s="26">
        <f>IF(B96="","","CWP"&amp;MID(B96,4,12))</f>
        <v/>
      </c>
      <c r="E96" s="27" t="n"/>
      <c r="F96" s="25" t="n"/>
      <c r="G96" s="28" t="n"/>
      <c r="H96" s="29" t="n"/>
      <c r="I96" s="30">
        <f>IF(OR(B96="",H96="",C96=""),"",H96-7*VLOOKUP(C96,Plazos!$A$6:$F$8,2,FALSE))</f>
        <v/>
      </c>
      <c r="J96" s="30">
        <f>IF(OR(B96="",H96="",C96=""),"",H96-7*VLOOKUP(C96,Plazos!$A$6:$F$8,3,FALSE))</f>
        <v/>
      </c>
      <c r="K96" s="30">
        <f>IF(OR(B96="",H96="",C96=""),"",H96-7*VLOOKUP(C96,Plazos!$A$6:$F$8,4,FALSE))</f>
        <v/>
      </c>
      <c r="L96" s="30">
        <f>IF(OR(B96="",H96="",C96=""),"",H96-7*VLOOKUP(C96,Plazos!$A$6:$F$8,5,FALSE))</f>
        <v/>
      </c>
      <c r="M96" s="30">
        <f>IF(OR(B96="",H96="",C96=""),"",H96-7*VLOOKUP(C96,Plazos!$A$6:$F$8,6,FALSE))</f>
        <v/>
      </c>
      <c r="N96" s="29" t="n"/>
      <c r="O96" s="28" t="n"/>
      <c r="P96" s="25" t="n"/>
      <c r="Q96" s="31">
        <f>IF(OR(B96="",M96=""),"",IF(N96&lt;&gt;"",MAX(0,N96-M96),MAX(0,$B$3-M96)))</f>
        <v/>
      </c>
      <c r="R96" s="26">
        <f>IF(OR(B96="",M96=""),"",IF(N96&lt;&gt;"",IF(Q96&gt;0,"Liberado con atraso","Liberado a tiempo"),IF($B$3&gt;M96,"Vencido sin liberar",IF(M96-$B$3&lt;=14,"Próximo a liberar","En plazo"))))</f>
        <v/>
      </c>
      <c r="S96" s="27" t="n"/>
    </row>
    <row r="97">
      <c r="A97" s="24" t="n"/>
      <c r="B97" s="25" t="n"/>
      <c r="C97" s="25" t="n"/>
      <c r="D97" s="26">
        <f>IF(B97="","","CWP"&amp;MID(B97,4,12))</f>
        <v/>
      </c>
      <c r="E97" s="27" t="n"/>
      <c r="F97" s="25" t="n"/>
      <c r="G97" s="28" t="n"/>
      <c r="H97" s="29" t="n"/>
      <c r="I97" s="30">
        <f>IF(OR(B97="",H97="",C97=""),"",H97-7*VLOOKUP(C97,Plazos!$A$6:$F$8,2,FALSE))</f>
        <v/>
      </c>
      <c r="J97" s="30">
        <f>IF(OR(B97="",H97="",C97=""),"",H97-7*VLOOKUP(C97,Plazos!$A$6:$F$8,3,FALSE))</f>
        <v/>
      </c>
      <c r="K97" s="30">
        <f>IF(OR(B97="",H97="",C97=""),"",H97-7*VLOOKUP(C97,Plazos!$A$6:$F$8,4,FALSE))</f>
        <v/>
      </c>
      <c r="L97" s="30">
        <f>IF(OR(B97="",H97="",C97=""),"",H97-7*VLOOKUP(C97,Plazos!$A$6:$F$8,5,FALSE))</f>
        <v/>
      </c>
      <c r="M97" s="30">
        <f>IF(OR(B97="",H97="",C97=""),"",H97-7*VLOOKUP(C97,Plazos!$A$6:$F$8,6,FALSE))</f>
        <v/>
      </c>
      <c r="N97" s="29" t="n"/>
      <c r="O97" s="28" t="n"/>
      <c r="P97" s="25" t="n"/>
      <c r="Q97" s="31">
        <f>IF(OR(B97="",M97=""),"",IF(N97&lt;&gt;"",MAX(0,N97-M97),MAX(0,$B$3-M97)))</f>
        <v/>
      </c>
      <c r="R97" s="26">
        <f>IF(OR(B97="",M97=""),"",IF(N97&lt;&gt;"",IF(Q97&gt;0,"Liberado con atraso","Liberado a tiempo"),IF($B$3&gt;M97,"Vencido sin liberar",IF(M97-$B$3&lt;=14,"Próximo a liberar","En plazo"))))</f>
        <v/>
      </c>
      <c r="S97" s="27" t="n"/>
    </row>
    <row r="98">
      <c r="A98" s="24" t="n"/>
      <c r="B98" s="25" t="n"/>
      <c r="C98" s="25" t="n"/>
      <c r="D98" s="26">
        <f>IF(B98="","","CWP"&amp;MID(B98,4,12))</f>
        <v/>
      </c>
      <c r="E98" s="27" t="n"/>
      <c r="F98" s="25" t="n"/>
      <c r="G98" s="28" t="n"/>
      <c r="H98" s="29" t="n"/>
      <c r="I98" s="30">
        <f>IF(OR(B98="",H98="",C98=""),"",H98-7*VLOOKUP(C98,Plazos!$A$6:$F$8,2,FALSE))</f>
        <v/>
      </c>
      <c r="J98" s="30">
        <f>IF(OR(B98="",H98="",C98=""),"",H98-7*VLOOKUP(C98,Plazos!$A$6:$F$8,3,FALSE))</f>
        <v/>
      </c>
      <c r="K98" s="30">
        <f>IF(OR(B98="",H98="",C98=""),"",H98-7*VLOOKUP(C98,Plazos!$A$6:$F$8,4,FALSE))</f>
        <v/>
      </c>
      <c r="L98" s="30">
        <f>IF(OR(B98="",H98="",C98=""),"",H98-7*VLOOKUP(C98,Plazos!$A$6:$F$8,5,FALSE))</f>
        <v/>
      </c>
      <c r="M98" s="30">
        <f>IF(OR(B98="",H98="",C98=""),"",H98-7*VLOOKUP(C98,Plazos!$A$6:$F$8,6,FALSE))</f>
        <v/>
      </c>
      <c r="N98" s="29" t="n"/>
      <c r="O98" s="28" t="n"/>
      <c r="P98" s="25" t="n"/>
      <c r="Q98" s="31">
        <f>IF(OR(B98="",M98=""),"",IF(N98&lt;&gt;"",MAX(0,N98-M98),MAX(0,$B$3-M98)))</f>
        <v/>
      </c>
      <c r="R98" s="26">
        <f>IF(OR(B98="",M98=""),"",IF(N98&lt;&gt;"",IF(Q98&gt;0,"Liberado con atraso","Liberado a tiempo"),IF($B$3&gt;M98,"Vencido sin liberar",IF(M98-$B$3&lt;=14,"Próximo a liberar","En plazo"))))</f>
        <v/>
      </c>
      <c r="S98" s="27" t="n"/>
    </row>
    <row r="99">
      <c r="A99" s="24" t="n"/>
      <c r="B99" s="25" t="n"/>
      <c r="C99" s="25" t="n"/>
      <c r="D99" s="26">
        <f>IF(B99="","","CWP"&amp;MID(B99,4,12))</f>
        <v/>
      </c>
      <c r="E99" s="27" t="n"/>
      <c r="F99" s="25" t="n"/>
      <c r="G99" s="28" t="n"/>
      <c r="H99" s="29" t="n"/>
      <c r="I99" s="30">
        <f>IF(OR(B99="",H99="",C99=""),"",H99-7*VLOOKUP(C99,Plazos!$A$6:$F$8,2,FALSE))</f>
        <v/>
      </c>
      <c r="J99" s="30">
        <f>IF(OR(B99="",H99="",C99=""),"",H99-7*VLOOKUP(C99,Plazos!$A$6:$F$8,3,FALSE))</f>
        <v/>
      </c>
      <c r="K99" s="30">
        <f>IF(OR(B99="",H99="",C99=""),"",H99-7*VLOOKUP(C99,Plazos!$A$6:$F$8,4,FALSE))</f>
        <v/>
      </c>
      <c r="L99" s="30">
        <f>IF(OR(B99="",H99="",C99=""),"",H99-7*VLOOKUP(C99,Plazos!$A$6:$F$8,5,FALSE))</f>
        <v/>
      </c>
      <c r="M99" s="30">
        <f>IF(OR(B99="",H99="",C99=""),"",H99-7*VLOOKUP(C99,Plazos!$A$6:$F$8,6,FALSE))</f>
        <v/>
      </c>
      <c r="N99" s="29" t="n"/>
      <c r="O99" s="28" t="n"/>
      <c r="P99" s="25" t="n"/>
      <c r="Q99" s="31">
        <f>IF(OR(B99="",M99=""),"",IF(N99&lt;&gt;"",MAX(0,N99-M99),MAX(0,$B$3-M99)))</f>
        <v/>
      </c>
      <c r="R99" s="26">
        <f>IF(OR(B99="",M99=""),"",IF(N99&lt;&gt;"",IF(Q99&gt;0,"Liberado con atraso","Liberado a tiempo"),IF($B$3&gt;M99,"Vencido sin liberar",IF(M99-$B$3&lt;=14,"Próximo a liberar","En plazo"))))</f>
        <v/>
      </c>
      <c r="S99" s="27" t="n"/>
    </row>
    <row r="100">
      <c r="A100" s="24" t="n"/>
      <c r="B100" s="25" t="n"/>
      <c r="C100" s="25" t="n"/>
      <c r="D100" s="26">
        <f>IF(B100="","","CWP"&amp;MID(B100,4,12))</f>
        <v/>
      </c>
      <c r="E100" s="27" t="n"/>
      <c r="F100" s="25" t="n"/>
      <c r="G100" s="28" t="n"/>
      <c r="H100" s="29" t="n"/>
      <c r="I100" s="30">
        <f>IF(OR(B100="",H100="",C100=""),"",H100-7*VLOOKUP(C100,Plazos!$A$6:$F$8,2,FALSE))</f>
        <v/>
      </c>
      <c r="J100" s="30">
        <f>IF(OR(B100="",H100="",C100=""),"",H100-7*VLOOKUP(C100,Plazos!$A$6:$F$8,3,FALSE))</f>
        <v/>
      </c>
      <c r="K100" s="30">
        <f>IF(OR(B100="",H100="",C100=""),"",H100-7*VLOOKUP(C100,Plazos!$A$6:$F$8,4,FALSE))</f>
        <v/>
      </c>
      <c r="L100" s="30">
        <f>IF(OR(B100="",H100="",C100=""),"",H100-7*VLOOKUP(C100,Plazos!$A$6:$F$8,5,FALSE))</f>
        <v/>
      </c>
      <c r="M100" s="30">
        <f>IF(OR(B100="",H100="",C100=""),"",H100-7*VLOOKUP(C100,Plazos!$A$6:$F$8,6,FALSE))</f>
        <v/>
      </c>
      <c r="N100" s="29" t="n"/>
      <c r="O100" s="28" t="n"/>
      <c r="P100" s="25" t="n"/>
      <c r="Q100" s="31">
        <f>IF(OR(B100="",M100=""),"",IF(N100&lt;&gt;"",MAX(0,N100-M100),MAX(0,$B$3-M100)))</f>
        <v/>
      </c>
      <c r="R100" s="26">
        <f>IF(OR(B100="",M100=""),"",IF(N100&lt;&gt;"",IF(Q100&gt;0,"Liberado con atraso","Liberado a tiempo"),IF($B$3&gt;M100,"Vencido sin liberar",IF(M100-$B$3&lt;=14,"Próximo a liberar","En plazo"))))</f>
        <v/>
      </c>
      <c r="S100" s="27" t="n"/>
    </row>
    <row r="101">
      <c r="A101" s="24" t="n"/>
      <c r="B101" s="25" t="n"/>
      <c r="C101" s="25" t="n"/>
      <c r="D101" s="26">
        <f>IF(B101="","","CWP"&amp;MID(B101,4,12))</f>
        <v/>
      </c>
      <c r="E101" s="27" t="n"/>
      <c r="F101" s="25" t="n"/>
      <c r="G101" s="28" t="n"/>
      <c r="H101" s="29" t="n"/>
      <c r="I101" s="30">
        <f>IF(OR(B101="",H101="",C101=""),"",H101-7*VLOOKUP(C101,Plazos!$A$6:$F$8,2,FALSE))</f>
        <v/>
      </c>
      <c r="J101" s="30">
        <f>IF(OR(B101="",H101="",C101=""),"",H101-7*VLOOKUP(C101,Plazos!$A$6:$F$8,3,FALSE))</f>
        <v/>
      </c>
      <c r="K101" s="30">
        <f>IF(OR(B101="",H101="",C101=""),"",H101-7*VLOOKUP(C101,Plazos!$A$6:$F$8,4,FALSE))</f>
        <v/>
      </c>
      <c r="L101" s="30">
        <f>IF(OR(B101="",H101="",C101=""),"",H101-7*VLOOKUP(C101,Plazos!$A$6:$F$8,5,FALSE))</f>
        <v/>
      </c>
      <c r="M101" s="30">
        <f>IF(OR(B101="",H101="",C101=""),"",H101-7*VLOOKUP(C101,Plazos!$A$6:$F$8,6,FALSE))</f>
        <v/>
      </c>
      <c r="N101" s="29" t="n"/>
      <c r="O101" s="28" t="n"/>
      <c r="P101" s="25" t="n"/>
      <c r="Q101" s="31">
        <f>IF(OR(B101="",M101=""),"",IF(N101&lt;&gt;"",MAX(0,N101-M101),MAX(0,$B$3-M101)))</f>
        <v/>
      </c>
      <c r="R101" s="26">
        <f>IF(OR(B101="",M101=""),"",IF(N101&lt;&gt;"",IF(Q101&gt;0,"Liberado con atraso","Liberado a tiempo"),IF($B$3&gt;M101,"Vencido sin liberar",IF(M101-$B$3&lt;=14,"Próximo a liberar","En plazo"))))</f>
        <v/>
      </c>
      <c r="S101" s="27" t="n"/>
    </row>
    <row r="102">
      <c r="A102" s="24" t="n"/>
      <c r="B102" s="25" t="n"/>
      <c r="C102" s="25" t="n"/>
      <c r="D102" s="26">
        <f>IF(B102="","","CWP"&amp;MID(B102,4,12))</f>
        <v/>
      </c>
      <c r="E102" s="27" t="n"/>
      <c r="F102" s="25" t="n"/>
      <c r="G102" s="28" t="n"/>
      <c r="H102" s="29" t="n"/>
      <c r="I102" s="30">
        <f>IF(OR(B102="",H102="",C102=""),"",H102-7*VLOOKUP(C102,Plazos!$A$6:$F$8,2,FALSE))</f>
        <v/>
      </c>
      <c r="J102" s="30">
        <f>IF(OR(B102="",H102="",C102=""),"",H102-7*VLOOKUP(C102,Plazos!$A$6:$F$8,3,FALSE))</f>
        <v/>
      </c>
      <c r="K102" s="30">
        <f>IF(OR(B102="",H102="",C102=""),"",H102-7*VLOOKUP(C102,Plazos!$A$6:$F$8,4,FALSE))</f>
        <v/>
      </c>
      <c r="L102" s="30">
        <f>IF(OR(B102="",H102="",C102=""),"",H102-7*VLOOKUP(C102,Plazos!$A$6:$F$8,5,FALSE))</f>
        <v/>
      </c>
      <c r="M102" s="30">
        <f>IF(OR(B102="",H102="",C102=""),"",H102-7*VLOOKUP(C102,Plazos!$A$6:$F$8,6,FALSE))</f>
        <v/>
      </c>
      <c r="N102" s="29" t="n"/>
      <c r="O102" s="28" t="n"/>
      <c r="P102" s="25" t="n"/>
      <c r="Q102" s="31">
        <f>IF(OR(B102="",M102=""),"",IF(N102&lt;&gt;"",MAX(0,N102-M102),MAX(0,$B$3-M102)))</f>
        <v/>
      </c>
      <c r="R102" s="26">
        <f>IF(OR(B102="",M102=""),"",IF(N102&lt;&gt;"",IF(Q102&gt;0,"Liberado con atraso","Liberado a tiempo"),IF($B$3&gt;M102,"Vencido sin liberar",IF(M102-$B$3&lt;=14,"Próximo a liberar","En plazo"))))</f>
        <v/>
      </c>
      <c r="S102" s="27" t="n"/>
    </row>
    <row r="103">
      <c r="A103" s="24" t="n"/>
      <c r="B103" s="25" t="n"/>
      <c r="C103" s="25" t="n"/>
      <c r="D103" s="26">
        <f>IF(B103="","","CWP"&amp;MID(B103,4,12))</f>
        <v/>
      </c>
      <c r="E103" s="27" t="n"/>
      <c r="F103" s="25" t="n"/>
      <c r="G103" s="28" t="n"/>
      <c r="H103" s="29" t="n"/>
      <c r="I103" s="30">
        <f>IF(OR(B103="",H103="",C103=""),"",H103-7*VLOOKUP(C103,Plazos!$A$6:$F$8,2,FALSE))</f>
        <v/>
      </c>
      <c r="J103" s="30">
        <f>IF(OR(B103="",H103="",C103=""),"",H103-7*VLOOKUP(C103,Plazos!$A$6:$F$8,3,FALSE))</f>
        <v/>
      </c>
      <c r="K103" s="30">
        <f>IF(OR(B103="",H103="",C103=""),"",H103-7*VLOOKUP(C103,Plazos!$A$6:$F$8,4,FALSE))</f>
        <v/>
      </c>
      <c r="L103" s="30">
        <f>IF(OR(B103="",H103="",C103=""),"",H103-7*VLOOKUP(C103,Plazos!$A$6:$F$8,5,FALSE))</f>
        <v/>
      </c>
      <c r="M103" s="30">
        <f>IF(OR(B103="",H103="",C103=""),"",H103-7*VLOOKUP(C103,Plazos!$A$6:$F$8,6,FALSE))</f>
        <v/>
      </c>
      <c r="N103" s="29" t="n"/>
      <c r="O103" s="28" t="n"/>
      <c r="P103" s="25" t="n"/>
      <c r="Q103" s="31">
        <f>IF(OR(B103="",M103=""),"",IF(N103&lt;&gt;"",MAX(0,N103-M103),MAX(0,$B$3-M103)))</f>
        <v/>
      </c>
      <c r="R103" s="26">
        <f>IF(OR(B103="",M103=""),"",IF(N103&lt;&gt;"",IF(Q103&gt;0,"Liberado con atraso","Liberado a tiempo"),IF($B$3&gt;M103,"Vencido sin liberar",IF(M103-$B$3&lt;=14,"Próximo a liberar","En plazo"))))</f>
        <v/>
      </c>
      <c r="S103" s="27" t="n"/>
    </row>
    <row r="104">
      <c r="A104" s="24" t="n"/>
      <c r="B104" s="25" t="n"/>
      <c r="C104" s="25" t="n"/>
      <c r="D104" s="26">
        <f>IF(B104="","","CWP"&amp;MID(B104,4,12))</f>
        <v/>
      </c>
      <c r="E104" s="27" t="n"/>
      <c r="F104" s="25" t="n"/>
      <c r="G104" s="28" t="n"/>
      <c r="H104" s="29" t="n"/>
      <c r="I104" s="30">
        <f>IF(OR(B104="",H104="",C104=""),"",H104-7*VLOOKUP(C104,Plazos!$A$6:$F$8,2,FALSE))</f>
        <v/>
      </c>
      <c r="J104" s="30">
        <f>IF(OR(B104="",H104="",C104=""),"",H104-7*VLOOKUP(C104,Plazos!$A$6:$F$8,3,FALSE))</f>
        <v/>
      </c>
      <c r="K104" s="30">
        <f>IF(OR(B104="",H104="",C104=""),"",H104-7*VLOOKUP(C104,Plazos!$A$6:$F$8,4,FALSE))</f>
        <v/>
      </c>
      <c r="L104" s="30">
        <f>IF(OR(B104="",H104="",C104=""),"",H104-7*VLOOKUP(C104,Plazos!$A$6:$F$8,5,FALSE))</f>
        <v/>
      </c>
      <c r="M104" s="30">
        <f>IF(OR(B104="",H104="",C104=""),"",H104-7*VLOOKUP(C104,Plazos!$A$6:$F$8,6,FALSE))</f>
        <v/>
      </c>
      <c r="N104" s="29" t="n"/>
      <c r="O104" s="28" t="n"/>
      <c r="P104" s="25" t="n"/>
      <c r="Q104" s="31">
        <f>IF(OR(B104="",M104=""),"",IF(N104&lt;&gt;"",MAX(0,N104-M104),MAX(0,$B$3-M104)))</f>
        <v/>
      </c>
      <c r="R104" s="26">
        <f>IF(OR(B104="",M104=""),"",IF(N104&lt;&gt;"",IF(Q104&gt;0,"Liberado con atraso","Liberado a tiempo"),IF($B$3&gt;M104,"Vencido sin liberar",IF(M104-$B$3&lt;=14,"Próximo a liberar","En plazo"))))</f>
        <v/>
      </c>
      <c r="S104" s="27" t="n"/>
    </row>
    <row r="105">
      <c r="A105" s="24" t="n"/>
      <c r="B105" s="25" t="n"/>
      <c r="C105" s="25" t="n"/>
      <c r="D105" s="26">
        <f>IF(B105="","","CWP"&amp;MID(B105,4,12))</f>
        <v/>
      </c>
      <c r="E105" s="27" t="n"/>
      <c r="F105" s="25" t="n"/>
      <c r="G105" s="28" t="n"/>
      <c r="H105" s="29" t="n"/>
      <c r="I105" s="30">
        <f>IF(OR(B105="",H105="",C105=""),"",H105-7*VLOOKUP(C105,Plazos!$A$6:$F$8,2,FALSE))</f>
        <v/>
      </c>
      <c r="J105" s="30">
        <f>IF(OR(B105="",H105="",C105=""),"",H105-7*VLOOKUP(C105,Plazos!$A$6:$F$8,3,FALSE))</f>
        <v/>
      </c>
      <c r="K105" s="30">
        <f>IF(OR(B105="",H105="",C105=""),"",H105-7*VLOOKUP(C105,Plazos!$A$6:$F$8,4,FALSE))</f>
        <v/>
      </c>
      <c r="L105" s="30">
        <f>IF(OR(B105="",H105="",C105=""),"",H105-7*VLOOKUP(C105,Plazos!$A$6:$F$8,5,FALSE))</f>
        <v/>
      </c>
      <c r="M105" s="30">
        <f>IF(OR(B105="",H105="",C105=""),"",H105-7*VLOOKUP(C105,Plazos!$A$6:$F$8,6,FALSE))</f>
        <v/>
      </c>
      <c r="N105" s="29" t="n"/>
      <c r="O105" s="28" t="n"/>
      <c r="P105" s="25" t="n"/>
      <c r="Q105" s="31">
        <f>IF(OR(B105="",M105=""),"",IF(N105&lt;&gt;"",MAX(0,N105-M105),MAX(0,$B$3-M105)))</f>
        <v/>
      </c>
      <c r="R105" s="26">
        <f>IF(OR(B105="",M105=""),"",IF(N105&lt;&gt;"",IF(Q105&gt;0,"Liberado con atraso","Liberado a tiempo"),IF($B$3&gt;M105,"Vencido sin liberar",IF(M105-$B$3&lt;=14,"Próximo a liberar","En plazo"))))</f>
        <v/>
      </c>
      <c r="S105" s="27" t="n"/>
    </row>
    <row r="106">
      <c r="A106" s="24" t="n"/>
      <c r="B106" s="25" t="n"/>
      <c r="C106" s="25" t="n"/>
      <c r="D106" s="26">
        <f>IF(B106="","","CWP"&amp;MID(B106,4,12))</f>
        <v/>
      </c>
      <c r="E106" s="27" t="n"/>
      <c r="F106" s="25" t="n"/>
      <c r="G106" s="28" t="n"/>
      <c r="H106" s="29" t="n"/>
      <c r="I106" s="30">
        <f>IF(OR(B106="",H106="",C106=""),"",H106-7*VLOOKUP(C106,Plazos!$A$6:$F$8,2,FALSE))</f>
        <v/>
      </c>
      <c r="J106" s="30">
        <f>IF(OR(B106="",H106="",C106=""),"",H106-7*VLOOKUP(C106,Plazos!$A$6:$F$8,3,FALSE))</f>
        <v/>
      </c>
      <c r="K106" s="30">
        <f>IF(OR(B106="",H106="",C106=""),"",H106-7*VLOOKUP(C106,Plazos!$A$6:$F$8,4,FALSE))</f>
        <v/>
      </c>
      <c r="L106" s="30">
        <f>IF(OR(B106="",H106="",C106=""),"",H106-7*VLOOKUP(C106,Plazos!$A$6:$F$8,5,FALSE))</f>
        <v/>
      </c>
      <c r="M106" s="30">
        <f>IF(OR(B106="",H106="",C106=""),"",H106-7*VLOOKUP(C106,Plazos!$A$6:$F$8,6,FALSE))</f>
        <v/>
      </c>
      <c r="N106" s="29" t="n"/>
      <c r="O106" s="28" t="n"/>
      <c r="P106" s="25" t="n"/>
      <c r="Q106" s="31">
        <f>IF(OR(B106="",M106=""),"",IF(N106&lt;&gt;"",MAX(0,N106-M106),MAX(0,$B$3-M106)))</f>
        <v/>
      </c>
      <c r="R106" s="26">
        <f>IF(OR(B106="",M106=""),"",IF(N106&lt;&gt;"",IF(Q106&gt;0,"Liberado con atraso","Liberado a tiempo"),IF($B$3&gt;M106,"Vencido sin liberar",IF(M106-$B$3&lt;=14,"Próximo a liberar","En plazo"))))</f>
        <v/>
      </c>
      <c r="S106" s="27" t="n"/>
    </row>
    <row r="107">
      <c r="A107" s="24" t="n"/>
      <c r="B107" s="25" t="n"/>
      <c r="C107" s="25" t="n"/>
      <c r="D107" s="26">
        <f>IF(B107="","","CWP"&amp;MID(B107,4,12))</f>
        <v/>
      </c>
      <c r="E107" s="27" t="n"/>
      <c r="F107" s="25" t="n"/>
      <c r="G107" s="28" t="n"/>
      <c r="H107" s="29" t="n"/>
      <c r="I107" s="30">
        <f>IF(OR(B107="",H107="",C107=""),"",H107-7*VLOOKUP(C107,Plazos!$A$6:$F$8,2,FALSE))</f>
        <v/>
      </c>
      <c r="J107" s="30">
        <f>IF(OR(B107="",H107="",C107=""),"",H107-7*VLOOKUP(C107,Plazos!$A$6:$F$8,3,FALSE))</f>
        <v/>
      </c>
      <c r="K107" s="30">
        <f>IF(OR(B107="",H107="",C107=""),"",H107-7*VLOOKUP(C107,Plazos!$A$6:$F$8,4,FALSE))</f>
        <v/>
      </c>
      <c r="L107" s="30">
        <f>IF(OR(B107="",H107="",C107=""),"",H107-7*VLOOKUP(C107,Plazos!$A$6:$F$8,5,FALSE))</f>
        <v/>
      </c>
      <c r="M107" s="30">
        <f>IF(OR(B107="",H107="",C107=""),"",H107-7*VLOOKUP(C107,Plazos!$A$6:$F$8,6,FALSE))</f>
        <v/>
      </c>
      <c r="N107" s="29" t="n"/>
      <c r="O107" s="28" t="n"/>
      <c r="P107" s="25" t="n"/>
      <c r="Q107" s="31">
        <f>IF(OR(B107="",M107=""),"",IF(N107&lt;&gt;"",MAX(0,N107-M107),MAX(0,$B$3-M107)))</f>
        <v/>
      </c>
      <c r="R107" s="26">
        <f>IF(OR(B107="",M107=""),"",IF(N107&lt;&gt;"",IF(Q107&gt;0,"Liberado con atraso","Liberado a tiempo"),IF($B$3&gt;M107,"Vencido sin liberar",IF(M107-$B$3&lt;=14,"Próximo a liberar","En plazo"))))</f>
        <v/>
      </c>
      <c r="S107" s="27" t="n"/>
    </row>
    <row r="108">
      <c r="A108" s="24" t="n"/>
      <c r="B108" s="25" t="n"/>
      <c r="C108" s="25" t="n"/>
      <c r="D108" s="26">
        <f>IF(B108="","","CWP"&amp;MID(B108,4,12))</f>
        <v/>
      </c>
      <c r="E108" s="27" t="n"/>
      <c r="F108" s="25" t="n"/>
      <c r="G108" s="28" t="n"/>
      <c r="H108" s="29" t="n"/>
      <c r="I108" s="30">
        <f>IF(OR(B108="",H108="",C108=""),"",H108-7*VLOOKUP(C108,Plazos!$A$6:$F$8,2,FALSE))</f>
        <v/>
      </c>
      <c r="J108" s="30">
        <f>IF(OR(B108="",H108="",C108=""),"",H108-7*VLOOKUP(C108,Plazos!$A$6:$F$8,3,FALSE))</f>
        <v/>
      </c>
      <c r="K108" s="30">
        <f>IF(OR(B108="",H108="",C108=""),"",H108-7*VLOOKUP(C108,Plazos!$A$6:$F$8,4,FALSE))</f>
        <v/>
      </c>
      <c r="L108" s="30">
        <f>IF(OR(B108="",H108="",C108=""),"",H108-7*VLOOKUP(C108,Plazos!$A$6:$F$8,5,FALSE))</f>
        <v/>
      </c>
      <c r="M108" s="30">
        <f>IF(OR(B108="",H108="",C108=""),"",H108-7*VLOOKUP(C108,Plazos!$A$6:$F$8,6,FALSE))</f>
        <v/>
      </c>
      <c r="N108" s="29" t="n"/>
      <c r="O108" s="28" t="n"/>
      <c r="P108" s="25" t="n"/>
      <c r="Q108" s="31">
        <f>IF(OR(B108="",M108=""),"",IF(N108&lt;&gt;"",MAX(0,N108-M108),MAX(0,$B$3-M108)))</f>
        <v/>
      </c>
      <c r="R108" s="26">
        <f>IF(OR(B108="",M108=""),"",IF(N108&lt;&gt;"",IF(Q108&gt;0,"Liberado con atraso","Liberado a tiempo"),IF($B$3&gt;M108,"Vencido sin liberar",IF(M108-$B$3&lt;=14,"Próximo a liberar","En plazo"))))</f>
        <v/>
      </c>
      <c r="S108" s="27" t="n"/>
    </row>
    <row r="109">
      <c r="A109" s="24" t="n"/>
      <c r="B109" s="25" t="n"/>
      <c r="C109" s="25" t="n"/>
      <c r="D109" s="26">
        <f>IF(B109="","","CWP"&amp;MID(B109,4,12))</f>
        <v/>
      </c>
      <c r="E109" s="27" t="n"/>
      <c r="F109" s="25" t="n"/>
      <c r="G109" s="28" t="n"/>
      <c r="H109" s="29" t="n"/>
      <c r="I109" s="30">
        <f>IF(OR(B109="",H109="",C109=""),"",H109-7*VLOOKUP(C109,Plazos!$A$6:$F$8,2,FALSE))</f>
        <v/>
      </c>
      <c r="J109" s="30">
        <f>IF(OR(B109="",H109="",C109=""),"",H109-7*VLOOKUP(C109,Plazos!$A$6:$F$8,3,FALSE))</f>
        <v/>
      </c>
      <c r="K109" s="30">
        <f>IF(OR(B109="",H109="",C109=""),"",H109-7*VLOOKUP(C109,Plazos!$A$6:$F$8,4,FALSE))</f>
        <v/>
      </c>
      <c r="L109" s="30">
        <f>IF(OR(B109="",H109="",C109=""),"",H109-7*VLOOKUP(C109,Plazos!$A$6:$F$8,5,FALSE))</f>
        <v/>
      </c>
      <c r="M109" s="30">
        <f>IF(OR(B109="",H109="",C109=""),"",H109-7*VLOOKUP(C109,Plazos!$A$6:$F$8,6,FALSE))</f>
        <v/>
      </c>
      <c r="N109" s="29" t="n"/>
      <c r="O109" s="28" t="n"/>
      <c r="P109" s="25" t="n"/>
      <c r="Q109" s="31">
        <f>IF(OR(B109="",M109=""),"",IF(N109&lt;&gt;"",MAX(0,N109-M109),MAX(0,$B$3-M109)))</f>
        <v/>
      </c>
      <c r="R109" s="26">
        <f>IF(OR(B109="",M109=""),"",IF(N109&lt;&gt;"",IF(Q109&gt;0,"Liberado con atraso","Liberado a tiempo"),IF($B$3&gt;M109,"Vencido sin liberar",IF(M109-$B$3&lt;=14,"Próximo a liberar","En plazo"))))</f>
        <v/>
      </c>
      <c r="S109" s="27" t="n"/>
    </row>
    <row r="110">
      <c r="A110" s="24" t="n"/>
      <c r="B110" s="25" t="n"/>
      <c r="C110" s="25" t="n"/>
      <c r="D110" s="26">
        <f>IF(B110="","","CWP"&amp;MID(B110,4,12))</f>
        <v/>
      </c>
      <c r="E110" s="27" t="n"/>
      <c r="F110" s="25" t="n"/>
      <c r="G110" s="28" t="n"/>
      <c r="H110" s="29" t="n"/>
      <c r="I110" s="30">
        <f>IF(OR(B110="",H110="",C110=""),"",H110-7*VLOOKUP(C110,Plazos!$A$6:$F$8,2,FALSE))</f>
        <v/>
      </c>
      <c r="J110" s="30">
        <f>IF(OR(B110="",H110="",C110=""),"",H110-7*VLOOKUP(C110,Plazos!$A$6:$F$8,3,FALSE))</f>
        <v/>
      </c>
      <c r="K110" s="30">
        <f>IF(OR(B110="",H110="",C110=""),"",H110-7*VLOOKUP(C110,Plazos!$A$6:$F$8,4,FALSE))</f>
        <v/>
      </c>
      <c r="L110" s="30">
        <f>IF(OR(B110="",H110="",C110=""),"",H110-7*VLOOKUP(C110,Plazos!$A$6:$F$8,5,FALSE))</f>
        <v/>
      </c>
      <c r="M110" s="30">
        <f>IF(OR(B110="",H110="",C110=""),"",H110-7*VLOOKUP(C110,Plazos!$A$6:$F$8,6,FALSE))</f>
        <v/>
      </c>
      <c r="N110" s="29" t="n"/>
      <c r="O110" s="28" t="n"/>
      <c r="P110" s="25" t="n"/>
      <c r="Q110" s="31">
        <f>IF(OR(B110="",M110=""),"",IF(N110&lt;&gt;"",MAX(0,N110-M110),MAX(0,$B$3-M110)))</f>
        <v/>
      </c>
      <c r="R110" s="26">
        <f>IF(OR(B110="",M110=""),"",IF(N110&lt;&gt;"",IF(Q110&gt;0,"Liberado con atraso","Liberado a tiempo"),IF($B$3&gt;M110,"Vencido sin liberar",IF(M110-$B$3&lt;=14,"Próximo a liberar","En plazo"))))</f>
        <v/>
      </c>
      <c r="S110" s="27" t="n"/>
    </row>
    <row r="111">
      <c r="A111" s="24" t="n"/>
      <c r="B111" s="25" t="n"/>
      <c r="C111" s="25" t="n"/>
      <c r="D111" s="26">
        <f>IF(B111="","","CWP"&amp;MID(B111,4,12))</f>
        <v/>
      </c>
      <c r="E111" s="27" t="n"/>
      <c r="F111" s="25" t="n"/>
      <c r="G111" s="28" t="n"/>
      <c r="H111" s="29" t="n"/>
      <c r="I111" s="30">
        <f>IF(OR(B111="",H111="",C111=""),"",H111-7*VLOOKUP(C111,Plazos!$A$6:$F$8,2,FALSE))</f>
        <v/>
      </c>
      <c r="J111" s="30">
        <f>IF(OR(B111="",H111="",C111=""),"",H111-7*VLOOKUP(C111,Plazos!$A$6:$F$8,3,FALSE))</f>
        <v/>
      </c>
      <c r="K111" s="30">
        <f>IF(OR(B111="",H111="",C111=""),"",H111-7*VLOOKUP(C111,Plazos!$A$6:$F$8,4,FALSE))</f>
        <v/>
      </c>
      <c r="L111" s="30">
        <f>IF(OR(B111="",H111="",C111=""),"",H111-7*VLOOKUP(C111,Plazos!$A$6:$F$8,5,FALSE))</f>
        <v/>
      </c>
      <c r="M111" s="30">
        <f>IF(OR(B111="",H111="",C111=""),"",H111-7*VLOOKUP(C111,Plazos!$A$6:$F$8,6,FALSE))</f>
        <v/>
      </c>
      <c r="N111" s="29" t="n"/>
      <c r="O111" s="28" t="n"/>
      <c r="P111" s="25" t="n"/>
      <c r="Q111" s="31">
        <f>IF(OR(B111="",M111=""),"",IF(N111&lt;&gt;"",MAX(0,N111-M111),MAX(0,$B$3-M111)))</f>
        <v/>
      </c>
      <c r="R111" s="26">
        <f>IF(OR(B111="",M111=""),"",IF(N111&lt;&gt;"",IF(Q111&gt;0,"Liberado con atraso","Liberado a tiempo"),IF($B$3&gt;M111,"Vencido sin liberar",IF(M111-$B$3&lt;=14,"Próximo a liberar","En plazo"))))</f>
        <v/>
      </c>
      <c r="S111" s="27" t="n"/>
    </row>
    <row r="112">
      <c r="A112" s="24" t="n"/>
      <c r="B112" s="25" t="n"/>
      <c r="C112" s="25" t="n"/>
      <c r="D112" s="26">
        <f>IF(B112="","","CWP"&amp;MID(B112,4,12))</f>
        <v/>
      </c>
      <c r="E112" s="27" t="n"/>
      <c r="F112" s="25" t="n"/>
      <c r="G112" s="28" t="n"/>
      <c r="H112" s="29" t="n"/>
      <c r="I112" s="30">
        <f>IF(OR(B112="",H112="",C112=""),"",H112-7*VLOOKUP(C112,Plazos!$A$6:$F$8,2,FALSE))</f>
        <v/>
      </c>
      <c r="J112" s="30">
        <f>IF(OR(B112="",H112="",C112=""),"",H112-7*VLOOKUP(C112,Plazos!$A$6:$F$8,3,FALSE))</f>
        <v/>
      </c>
      <c r="K112" s="30">
        <f>IF(OR(B112="",H112="",C112=""),"",H112-7*VLOOKUP(C112,Plazos!$A$6:$F$8,4,FALSE))</f>
        <v/>
      </c>
      <c r="L112" s="30">
        <f>IF(OR(B112="",H112="",C112=""),"",H112-7*VLOOKUP(C112,Plazos!$A$6:$F$8,5,FALSE))</f>
        <v/>
      </c>
      <c r="M112" s="30">
        <f>IF(OR(B112="",H112="",C112=""),"",H112-7*VLOOKUP(C112,Plazos!$A$6:$F$8,6,FALSE))</f>
        <v/>
      </c>
      <c r="N112" s="29" t="n"/>
      <c r="O112" s="28" t="n"/>
      <c r="P112" s="25" t="n"/>
      <c r="Q112" s="31">
        <f>IF(OR(B112="",M112=""),"",IF(N112&lt;&gt;"",MAX(0,N112-M112),MAX(0,$B$3-M112)))</f>
        <v/>
      </c>
      <c r="R112" s="26">
        <f>IF(OR(B112="",M112=""),"",IF(N112&lt;&gt;"",IF(Q112&gt;0,"Liberado con atraso","Liberado a tiempo"),IF($B$3&gt;M112,"Vencido sin liberar",IF(M112-$B$3&lt;=14,"Próximo a liberar","En plazo"))))</f>
        <v/>
      </c>
      <c r="S112" s="27" t="n"/>
    </row>
    <row r="113">
      <c r="A113" s="24" t="n"/>
      <c r="B113" s="25" t="n"/>
      <c r="C113" s="25" t="n"/>
      <c r="D113" s="26">
        <f>IF(B113="","","CWP"&amp;MID(B113,4,12))</f>
        <v/>
      </c>
      <c r="E113" s="27" t="n"/>
      <c r="F113" s="25" t="n"/>
      <c r="G113" s="28" t="n"/>
      <c r="H113" s="29" t="n"/>
      <c r="I113" s="30">
        <f>IF(OR(B113="",H113="",C113=""),"",H113-7*VLOOKUP(C113,Plazos!$A$6:$F$8,2,FALSE))</f>
        <v/>
      </c>
      <c r="J113" s="30">
        <f>IF(OR(B113="",H113="",C113=""),"",H113-7*VLOOKUP(C113,Plazos!$A$6:$F$8,3,FALSE))</f>
        <v/>
      </c>
      <c r="K113" s="30">
        <f>IF(OR(B113="",H113="",C113=""),"",H113-7*VLOOKUP(C113,Plazos!$A$6:$F$8,4,FALSE))</f>
        <v/>
      </c>
      <c r="L113" s="30">
        <f>IF(OR(B113="",H113="",C113=""),"",H113-7*VLOOKUP(C113,Plazos!$A$6:$F$8,5,FALSE))</f>
        <v/>
      </c>
      <c r="M113" s="30">
        <f>IF(OR(B113="",H113="",C113=""),"",H113-7*VLOOKUP(C113,Plazos!$A$6:$F$8,6,FALSE))</f>
        <v/>
      </c>
      <c r="N113" s="29" t="n"/>
      <c r="O113" s="28" t="n"/>
      <c r="P113" s="25" t="n"/>
      <c r="Q113" s="31">
        <f>IF(OR(B113="",M113=""),"",IF(N113&lt;&gt;"",MAX(0,N113-M113),MAX(0,$B$3-M113)))</f>
        <v/>
      </c>
      <c r="R113" s="26">
        <f>IF(OR(B113="",M113=""),"",IF(N113&lt;&gt;"",IF(Q113&gt;0,"Liberado con atraso","Liberado a tiempo"),IF($B$3&gt;M113,"Vencido sin liberar",IF(M113-$B$3&lt;=14,"Próximo a liberar","En plazo"))))</f>
        <v/>
      </c>
      <c r="S113" s="27" t="n"/>
    </row>
    <row r="114">
      <c r="A114" s="24" t="n"/>
      <c r="B114" s="25" t="n"/>
      <c r="C114" s="25" t="n"/>
      <c r="D114" s="26">
        <f>IF(B114="","","CWP"&amp;MID(B114,4,12))</f>
        <v/>
      </c>
      <c r="E114" s="27" t="n"/>
      <c r="F114" s="25" t="n"/>
      <c r="G114" s="28" t="n"/>
      <c r="H114" s="29" t="n"/>
      <c r="I114" s="30">
        <f>IF(OR(B114="",H114="",C114=""),"",H114-7*VLOOKUP(C114,Plazos!$A$6:$F$8,2,FALSE))</f>
        <v/>
      </c>
      <c r="J114" s="30">
        <f>IF(OR(B114="",H114="",C114=""),"",H114-7*VLOOKUP(C114,Plazos!$A$6:$F$8,3,FALSE))</f>
        <v/>
      </c>
      <c r="K114" s="30">
        <f>IF(OR(B114="",H114="",C114=""),"",H114-7*VLOOKUP(C114,Plazos!$A$6:$F$8,4,FALSE))</f>
        <v/>
      </c>
      <c r="L114" s="30">
        <f>IF(OR(B114="",H114="",C114=""),"",H114-7*VLOOKUP(C114,Plazos!$A$6:$F$8,5,FALSE))</f>
        <v/>
      </c>
      <c r="M114" s="30">
        <f>IF(OR(B114="",H114="",C114=""),"",H114-7*VLOOKUP(C114,Plazos!$A$6:$F$8,6,FALSE))</f>
        <v/>
      </c>
      <c r="N114" s="29" t="n"/>
      <c r="O114" s="28" t="n"/>
      <c r="P114" s="25" t="n"/>
      <c r="Q114" s="31">
        <f>IF(OR(B114="",M114=""),"",IF(N114&lt;&gt;"",MAX(0,N114-M114),MAX(0,$B$3-M114)))</f>
        <v/>
      </c>
      <c r="R114" s="26">
        <f>IF(OR(B114="",M114=""),"",IF(N114&lt;&gt;"",IF(Q114&gt;0,"Liberado con atraso","Liberado a tiempo"),IF($B$3&gt;M114,"Vencido sin liberar",IF(M114-$B$3&lt;=14,"Próximo a liberar","En plazo"))))</f>
        <v/>
      </c>
      <c r="S114" s="27" t="n"/>
    </row>
    <row r="115">
      <c r="A115" s="24" t="n"/>
      <c r="B115" s="25" t="n"/>
      <c r="C115" s="25" t="n"/>
      <c r="D115" s="26">
        <f>IF(B115="","","CWP"&amp;MID(B115,4,12))</f>
        <v/>
      </c>
      <c r="E115" s="27" t="n"/>
      <c r="F115" s="25" t="n"/>
      <c r="G115" s="28" t="n"/>
      <c r="H115" s="29" t="n"/>
      <c r="I115" s="30">
        <f>IF(OR(B115="",H115="",C115=""),"",H115-7*VLOOKUP(C115,Plazos!$A$6:$F$8,2,FALSE))</f>
        <v/>
      </c>
      <c r="J115" s="30">
        <f>IF(OR(B115="",H115="",C115=""),"",H115-7*VLOOKUP(C115,Plazos!$A$6:$F$8,3,FALSE))</f>
        <v/>
      </c>
      <c r="K115" s="30">
        <f>IF(OR(B115="",H115="",C115=""),"",H115-7*VLOOKUP(C115,Plazos!$A$6:$F$8,4,FALSE))</f>
        <v/>
      </c>
      <c r="L115" s="30">
        <f>IF(OR(B115="",H115="",C115=""),"",H115-7*VLOOKUP(C115,Plazos!$A$6:$F$8,5,FALSE))</f>
        <v/>
      </c>
      <c r="M115" s="30">
        <f>IF(OR(B115="",H115="",C115=""),"",H115-7*VLOOKUP(C115,Plazos!$A$6:$F$8,6,FALSE))</f>
        <v/>
      </c>
      <c r="N115" s="29" t="n"/>
      <c r="O115" s="28" t="n"/>
      <c r="P115" s="25" t="n"/>
      <c r="Q115" s="31">
        <f>IF(OR(B115="",M115=""),"",IF(N115&lt;&gt;"",MAX(0,N115-M115),MAX(0,$B$3-M115)))</f>
        <v/>
      </c>
      <c r="R115" s="26">
        <f>IF(OR(B115="",M115=""),"",IF(N115&lt;&gt;"",IF(Q115&gt;0,"Liberado con atraso","Liberado a tiempo"),IF($B$3&gt;M115,"Vencido sin liberar",IF(M115-$B$3&lt;=14,"Próximo a liberar","En plazo"))))</f>
        <v/>
      </c>
      <c r="S115" s="27" t="n"/>
    </row>
    <row r="116">
      <c r="A116" s="24" t="n"/>
      <c r="B116" s="25" t="n"/>
      <c r="C116" s="25" t="n"/>
      <c r="D116" s="26">
        <f>IF(B116="","","CWP"&amp;MID(B116,4,12))</f>
        <v/>
      </c>
      <c r="E116" s="27" t="n"/>
      <c r="F116" s="25" t="n"/>
      <c r="G116" s="28" t="n"/>
      <c r="H116" s="29" t="n"/>
      <c r="I116" s="30">
        <f>IF(OR(B116="",H116="",C116=""),"",H116-7*VLOOKUP(C116,Plazos!$A$6:$F$8,2,FALSE))</f>
        <v/>
      </c>
      <c r="J116" s="30">
        <f>IF(OR(B116="",H116="",C116=""),"",H116-7*VLOOKUP(C116,Plazos!$A$6:$F$8,3,FALSE))</f>
        <v/>
      </c>
      <c r="K116" s="30">
        <f>IF(OR(B116="",H116="",C116=""),"",H116-7*VLOOKUP(C116,Plazos!$A$6:$F$8,4,FALSE))</f>
        <v/>
      </c>
      <c r="L116" s="30">
        <f>IF(OR(B116="",H116="",C116=""),"",H116-7*VLOOKUP(C116,Plazos!$A$6:$F$8,5,FALSE))</f>
        <v/>
      </c>
      <c r="M116" s="30">
        <f>IF(OR(B116="",H116="",C116=""),"",H116-7*VLOOKUP(C116,Plazos!$A$6:$F$8,6,FALSE))</f>
        <v/>
      </c>
      <c r="N116" s="29" t="n"/>
      <c r="O116" s="28" t="n"/>
      <c r="P116" s="25" t="n"/>
      <c r="Q116" s="31">
        <f>IF(OR(B116="",M116=""),"",IF(N116&lt;&gt;"",MAX(0,N116-M116),MAX(0,$B$3-M116)))</f>
        <v/>
      </c>
      <c r="R116" s="26">
        <f>IF(OR(B116="",M116=""),"",IF(N116&lt;&gt;"",IF(Q116&gt;0,"Liberado con atraso","Liberado a tiempo"),IF($B$3&gt;M116,"Vencido sin liberar",IF(M116-$B$3&lt;=14,"Próximo a liberar","En plazo"))))</f>
        <v/>
      </c>
      <c r="S116" s="27" t="n"/>
    </row>
    <row r="117">
      <c r="A117" s="24" t="n"/>
      <c r="B117" s="25" t="n"/>
      <c r="C117" s="25" t="n"/>
      <c r="D117" s="26">
        <f>IF(B117="","","CWP"&amp;MID(B117,4,12))</f>
        <v/>
      </c>
      <c r="E117" s="27" t="n"/>
      <c r="F117" s="25" t="n"/>
      <c r="G117" s="28" t="n"/>
      <c r="H117" s="29" t="n"/>
      <c r="I117" s="30">
        <f>IF(OR(B117="",H117="",C117=""),"",H117-7*VLOOKUP(C117,Plazos!$A$6:$F$8,2,FALSE))</f>
        <v/>
      </c>
      <c r="J117" s="30">
        <f>IF(OR(B117="",H117="",C117=""),"",H117-7*VLOOKUP(C117,Plazos!$A$6:$F$8,3,FALSE))</f>
        <v/>
      </c>
      <c r="K117" s="30">
        <f>IF(OR(B117="",H117="",C117=""),"",H117-7*VLOOKUP(C117,Plazos!$A$6:$F$8,4,FALSE))</f>
        <v/>
      </c>
      <c r="L117" s="30">
        <f>IF(OR(B117="",H117="",C117=""),"",H117-7*VLOOKUP(C117,Plazos!$A$6:$F$8,5,FALSE))</f>
        <v/>
      </c>
      <c r="M117" s="30">
        <f>IF(OR(B117="",H117="",C117=""),"",H117-7*VLOOKUP(C117,Plazos!$A$6:$F$8,6,FALSE))</f>
        <v/>
      </c>
      <c r="N117" s="29" t="n"/>
      <c r="O117" s="28" t="n"/>
      <c r="P117" s="25" t="n"/>
      <c r="Q117" s="31">
        <f>IF(OR(B117="",M117=""),"",IF(N117&lt;&gt;"",MAX(0,N117-M117),MAX(0,$B$3-M117)))</f>
        <v/>
      </c>
      <c r="R117" s="26">
        <f>IF(OR(B117="",M117=""),"",IF(N117&lt;&gt;"",IF(Q117&gt;0,"Liberado con atraso","Liberado a tiempo"),IF($B$3&gt;M117,"Vencido sin liberar",IF(M117-$B$3&lt;=14,"Próximo a liberar","En plazo"))))</f>
        <v/>
      </c>
      <c r="S117" s="27" t="n"/>
    </row>
    <row r="118">
      <c r="A118" s="24" t="n"/>
      <c r="B118" s="25" t="n"/>
      <c r="C118" s="25" t="n"/>
      <c r="D118" s="26">
        <f>IF(B118="","","CWP"&amp;MID(B118,4,12))</f>
        <v/>
      </c>
      <c r="E118" s="27" t="n"/>
      <c r="F118" s="25" t="n"/>
      <c r="G118" s="28" t="n"/>
      <c r="H118" s="29" t="n"/>
      <c r="I118" s="30">
        <f>IF(OR(B118="",H118="",C118=""),"",H118-7*VLOOKUP(C118,Plazos!$A$6:$F$8,2,FALSE))</f>
        <v/>
      </c>
      <c r="J118" s="30">
        <f>IF(OR(B118="",H118="",C118=""),"",H118-7*VLOOKUP(C118,Plazos!$A$6:$F$8,3,FALSE))</f>
        <v/>
      </c>
      <c r="K118" s="30">
        <f>IF(OR(B118="",H118="",C118=""),"",H118-7*VLOOKUP(C118,Plazos!$A$6:$F$8,4,FALSE))</f>
        <v/>
      </c>
      <c r="L118" s="30">
        <f>IF(OR(B118="",H118="",C118=""),"",H118-7*VLOOKUP(C118,Plazos!$A$6:$F$8,5,FALSE))</f>
        <v/>
      </c>
      <c r="M118" s="30">
        <f>IF(OR(B118="",H118="",C118=""),"",H118-7*VLOOKUP(C118,Plazos!$A$6:$F$8,6,FALSE))</f>
        <v/>
      </c>
      <c r="N118" s="29" t="n"/>
      <c r="O118" s="28" t="n"/>
      <c r="P118" s="25" t="n"/>
      <c r="Q118" s="31">
        <f>IF(OR(B118="",M118=""),"",IF(N118&lt;&gt;"",MAX(0,N118-M118),MAX(0,$B$3-M118)))</f>
        <v/>
      </c>
      <c r="R118" s="26">
        <f>IF(OR(B118="",M118=""),"",IF(N118&lt;&gt;"",IF(Q118&gt;0,"Liberado con atraso","Liberado a tiempo"),IF($B$3&gt;M118,"Vencido sin liberar",IF(M118-$B$3&lt;=14,"Próximo a liberar","En plazo"))))</f>
        <v/>
      </c>
      <c r="S118" s="27" t="n"/>
    </row>
    <row r="119">
      <c r="A119" s="24" t="n"/>
      <c r="B119" s="25" t="n"/>
      <c r="C119" s="25" t="n"/>
      <c r="D119" s="26">
        <f>IF(B119="","","CWP"&amp;MID(B119,4,12))</f>
        <v/>
      </c>
      <c r="E119" s="27" t="n"/>
      <c r="F119" s="25" t="n"/>
      <c r="G119" s="28" t="n"/>
      <c r="H119" s="29" t="n"/>
      <c r="I119" s="30">
        <f>IF(OR(B119="",H119="",C119=""),"",H119-7*VLOOKUP(C119,Plazos!$A$6:$F$8,2,FALSE))</f>
        <v/>
      </c>
      <c r="J119" s="30">
        <f>IF(OR(B119="",H119="",C119=""),"",H119-7*VLOOKUP(C119,Plazos!$A$6:$F$8,3,FALSE))</f>
        <v/>
      </c>
      <c r="K119" s="30">
        <f>IF(OR(B119="",H119="",C119=""),"",H119-7*VLOOKUP(C119,Plazos!$A$6:$F$8,4,FALSE))</f>
        <v/>
      </c>
      <c r="L119" s="30">
        <f>IF(OR(B119="",H119="",C119=""),"",H119-7*VLOOKUP(C119,Plazos!$A$6:$F$8,5,FALSE))</f>
        <v/>
      </c>
      <c r="M119" s="30">
        <f>IF(OR(B119="",H119="",C119=""),"",H119-7*VLOOKUP(C119,Plazos!$A$6:$F$8,6,FALSE))</f>
        <v/>
      </c>
      <c r="N119" s="29" t="n"/>
      <c r="O119" s="28" t="n"/>
      <c r="P119" s="25" t="n"/>
      <c r="Q119" s="31">
        <f>IF(OR(B119="",M119=""),"",IF(N119&lt;&gt;"",MAX(0,N119-M119),MAX(0,$B$3-M119)))</f>
        <v/>
      </c>
      <c r="R119" s="26">
        <f>IF(OR(B119="",M119=""),"",IF(N119&lt;&gt;"",IF(Q119&gt;0,"Liberado con atraso","Liberado a tiempo"),IF($B$3&gt;M119,"Vencido sin liberar",IF(M119-$B$3&lt;=14,"Próximo a liberar","En plazo"))))</f>
        <v/>
      </c>
      <c r="S119" s="27" t="n"/>
    </row>
    <row r="120">
      <c r="A120" s="24" t="n"/>
      <c r="B120" s="25" t="n"/>
      <c r="C120" s="25" t="n"/>
      <c r="D120" s="26">
        <f>IF(B120="","","CWP"&amp;MID(B120,4,12))</f>
        <v/>
      </c>
      <c r="E120" s="27" t="n"/>
      <c r="F120" s="25" t="n"/>
      <c r="G120" s="28" t="n"/>
      <c r="H120" s="29" t="n"/>
      <c r="I120" s="30">
        <f>IF(OR(B120="",H120="",C120=""),"",H120-7*VLOOKUP(C120,Plazos!$A$6:$F$8,2,FALSE))</f>
        <v/>
      </c>
      <c r="J120" s="30">
        <f>IF(OR(B120="",H120="",C120=""),"",H120-7*VLOOKUP(C120,Plazos!$A$6:$F$8,3,FALSE))</f>
        <v/>
      </c>
      <c r="K120" s="30">
        <f>IF(OR(B120="",H120="",C120=""),"",H120-7*VLOOKUP(C120,Plazos!$A$6:$F$8,4,FALSE))</f>
        <v/>
      </c>
      <c r="L120" s="30">
        <f>IF(OR(B120="",H120="",C120=""),"",H120-7*VLOOKUP(C120,Plazos!$A$6:$F$8,5,FALSE))</f>
        <v/>
      </c>
      <c r="M120" s="30">
        <f>IF(OR(B120="",H120="",C120=""),"",H120-7*VLOOKUP(C120,Plazos!$A$6:$F$8,6,FALSE))</f>
        <v/>
      </c>
      <c r="N120" s="29" t="n"/>
      <c r="O120" s="28" t="n"/>
      <c r="P120" s="25" t="n"/>
      <c r="Q120" s="31">
        <f>IF(OR(B120="",M120=""),"",IF(N120&lt;&gt;"",MAX(0,N120-M120),MAX(0,$B$3-M120)))</f>
        <v/>
      </c>
      <c r="R120" s="26">
        <f>IF(OR(B120="",M120=""),"",IF(N120&lt;&gt;"",IF(Q120&gt;0,"Liberado con atraso","Liberado a tiempo"),IF($B$3&gt;M120,"Vencido sin liberar",IF(M120-$B$3&lt;=14,"Próximo a liberar","En plazo"))))</f>
        <v/>
      </c>
      <c r="S120" s="27" t="n"/>
    </row>
    <row r="121">
      <c r="A121" s="24" t="n"/>
      <c r="B121" s="25" t="n"/>
      <c r="C121" s="25" t="n"/>
      <c r="D121" s="26">
        <f>IF(B121="","","CWP"&amp;MID(B121,4,12))</f>
        <v/>
      </c>
      <c r="E121" s="27" t="n"/>
      <c r="F121" s="25" t="n"/>
      <c r="G121" s="28" t="n"/>
      <c r="H121" s="29" t="n"/>
      <c r="I121" s="30">
        <f>IF(OR(B121="",H121="",C121=""),"",H121-7*VLOOKUP(C121,Plazos!$A$6:$F$8,2,FALSE))</f>
        <v/>
      </c>
      <c r="J121" s="30">
        <f>IF(OR(B121="",H121="",C121=""),"",H121-7*VLOOKUP(C121,Plazos!$A$6:$F$8,3,FALSE))</f>
        <v/>
      </c>
      <c r="K121" s="30">
        <f>IF(OR(B121="",H121="",C121=""),"",H121-7*VLOOKUP(C121,Plazos!$A$6:$F$8,4,FALSE))</f>
        <v/>
      </c>
      <c r="L121" s="30">
        <f>IF(OR(B121="",H121="",C121=""),"",H121-7*VLOOKUP(C121,Plazos!$A$6:$F$8,5,FALSE))</f>
        <v/>
      </c>
      <c r="M121" s="30">
        <f>IF(OR(B121="",H121="",C121=""),"",H121-7*VLOOKUP(C121,Plazos!$A$6:$F$8,6,FALSE))</f>
        <v/>
      </c>
      <c r="N121" s="29" t="n"/>
      <c r="O121" s="28" t="n"/>
      <c r="P121" s="25" t="n"/>
      <c r="Q121" s="31">
        <f>IF(OR(B121="",M121=""),"",IF(N121&lt;&gt;"",MAX(0,N121-M121),MAX(0,$B$3-M121)))</f>
        <v/>
      </c>
      <c r="R121" s="26">
        <f>IF(OR(B121="",M121=""),"",IF(N121&lt;&gt;"",IF(Q121&gt;0,"Liberado con atraso","Liberado a tiempo"),IF($B$3&gt;M121,"Vencido sin liberar",IF(M121-$B$3&lt;=14,"Próximo a liberar","En plazo"))))</f>
        <v/>
      </c>
      <c r="S121" s="27" t="n"/>
    </row>
    <row r="122">
      <c r="A122" s="24" t="n"/>
      <c r="B122" s="25" t="n"/>
      <c r="C122" s="25" t="n"/>
      <c r="D122" s="26">
        <f>IF(B122="","","CWP"&amp;MID(B122,4,12))</f>
        <v/>
      </c>
      <c r="E122" s="27" t="n"/>
      <c r="F122" s="25" t="n"/>
      <c r="G122" s="28" t="n"/>
      <c r="H122" s="29" t="n"/>
      <c r="I122" s="30">
        <f>IF(OR(B122="",H122="",C122=""),"",H122-7*VLOOKUP(C122,Plazos!$A$6:$F$8,2,FALSE))</f>
        <v/>
      </c>
      <c r="J122" s="30">
        <f>IF(OR(B122="",H122="",C122=""),"",H122-7*VLOOKUP(C122,Plazos!$A$6:$F$8,3,FALSE))</f>
        <v/>
      </c>
      <c r="K122" s="30">
        <f>IF(OR(B122="",H122="",C122=""),"",H122-7*VLOOKUP(C122,Plazos!$A$6:$F$8,4,FALSE))</f>
        <v/>
      </c>
      <c r="L122" s="30">
        <f>IF(OR(B122="",H122="",C122=""),"",H122-7*VLOOKUP(C122,Plazos!$A$6:$F$8,5,FALSE))</f>
        <v/>
      </c>
      <c r="M122" s="30">
        <f>IF(OR(B122="",H122="",C122=""),"",H122-7*VLOOKUP(C122,Plazos!$A$6:$F$8,6,FALSE))</f>
        <v/>
      </c>
      <c r="N122" s="29" t="n"/>
      <c r="O122" s="28" t="n"/>
      <c r="P122" s="25" t="n"/>
      <c r="Q122" s="31">
        <f>IF(OR(B122="",M122=""),"",IF(N122&lt;&gt;"",MAX(0,N122-M122),MAX(0,$B$3-M122)))</f>
        <v/>
      </c>
      <c r="R122" s="26">
        <f>IF(OR(B122="",M122=""),"",IF(N122&lt;&gt;"",IF(Q122&gt;0,"Liberado con atraso","Liberado a tiempo"),IF($B$3&gt;M122,"Vencido sin liberar",IF(M122-$B$3&lt;=14,"Próximo a liberar","En plazo"))))</f>
        <v/>
      </c>
      <c r="S122" s="27" t="n"/>
    </row>
    <row r="123">
      <c r="A123" s="24" t="n"/>
      <c r="B123" s="25" t="n"/>
      <c r="C123" s="25" t="n"/>
      <c r="D123" s="26">
        <f>IF(B123="","","CWP"&amp;MID(B123,4,12))</f>
        <v/>
      </c>
      <c r="E123" s="27" t="n"/>
      <c r="F123" s="25" t="n"/>
      <c r="G123" s="28" t="n"/>
      <c r="H123" s="29" t="n"/>
      <c r="I123" s="30">
        <f>IF(OR(B123="",H123="",C123=""),"",H123-7*VLOOKUP(C123,Plazos!$A$6:$F$8,2,FALSE))</f>
        <v/>
      </c>
      <c r="J123" s="30">
        <f>IF(OR(B123="",H123="",C123=""),"",H123-7*VLOOKUP(C123,Plazos!$A$6:$F$8,3,FALSE))</f>
        <v/>
      </c>
      <c r="K123" s="30">
        <f>IF(OR(B123="",H123="",C123=""),"",H123-7*VLOOKUP(C123,Plazos!$A$6:$F$8,4,FALSE))</f>
        <v/>
      </c>
      <c r="L123" s="30">
        <f>IF(OR(B123="",H123="",C123=""),"",H123-7*VLOOKUP(C123,Plazos!$A$6:$F$8,5,FALSE))</f>
        <v/>
      </c>
      <c r="M123" s="30">
        <f>IF(OR(B123="",H123="",C123=""),"",H123-7*VLOOKUP(C123,Plazos!$A$6:$F$8,6,FALSE))</f>
        <v/>
      </c>
      <c r="N123" s="29" t="n"/>
      <c r="O123" s="28" t="n"/>
      <c r="P123" s="25" t="n"/>
      <c r="Q123" s="31">
        <f>IF(OR(B123="",M123=""),"",IF(N123&lt;&gt;"",MAX(0,N123-M123),MAX(0,$B$3-M123)))</f>
        <v/>
      </c>
      <c r="R123" s="26">
        <f>IF(OR(B123="",M123=""),"",IF(N123&lt;&gt;"",IF(Q123&gt;0,"Liberado con atraso","Liberado a tiempo"),IF($B$3&gt;M123,"Vencido sin liberar",IF(M123-$B$3&lt;=14,"Próximo a liberar","En plazo"))))</f>
        <v/>
      </c>
      <c r="S123" s="27" t="n"/>
    </row>
    <row r="124">
      <c r="A124" s="24" t="n"/>
      <c r="B124" s="25" t="n"/>
      <c r="C124" s="25" t="n"/>
      <c r="D124" s="26">
        <f>IF(B124="","","CWP"&amp;MID(B124,4,12))</f>
        <v/>
      </c>
      <c r="E124" s="27" t="n"/>
      <c r="F124" s="25" t="n"/>
      <c r="G124" s="28" t="n"/>
      <c r="H124" s="29" t="n"/>
      <c r="I124" s="30">
        <f>IF(OR(B124="",H124="",C124=""),"",H124-7*VLOOKUP(C124,Plazos!$A$6:$F$8,2,FALSE))</f>
        <v/>
      </c>
      <c r="J124" s="30">
        <f>IF(OR(B124="",H124="",C124=""),"",H124-7*VLOOKUP(C124,Plazos!$A$6:$F$8,3,FALSE))</f>
        <v/>
      </c>
      <c r="K124" s="30">
        <f>IF(OR(B124="",H124="",C124=""),"",H124-7*VLOOKUP(C124,Plazos!$A$6:$F$8,4,FALSE))</f>
        <v/>
      </c>
      <c r="L124" s="30">
        <f>IF(OR(B124="",H124="",C124=""),"",H124-7*VLOOKUP(C124,Plazos!$A$6:$F$8,5,FALSE))</f>
        <v/>
      </c>
      <c r="M124" s="30">
        <f>IF(OR(B124="",H124="",C124=""),"",H124-7*VLOOKUP(C124,Plazos!$A$6:$F$8,6,FALSE))</f>
        <v/>
      </c>
      <c r="N124" s="29" t="n"/>
      <c r="O124" s="28" t="n"/>
      <c r="P124" s="25" t="n"/>
      <c r="Q124" s="31">
        <f>IF(OR(B124="",M124=""),"",IF(N124&lt;&gt;"",MAX(0,N124-M124),MAX(0,$B$3-M124)))</f>
        <v/>
      </c>
      <c r="R124" s="26">
        <f>IF(OR(B124="",M124=""),"",IF(N124&lt;&gt;"",IF(Q124&gt;0,"Liberado con atraso","Liberado a tiempo"),IF($B$3&gt;M124,"Vencido sin liberar",IF(M124-$B$3&lt;=14,"Próximo a liberar","En plazo"))))</f>
        <v/>
      </c>
      <c r="S124" s="27" t="n"/>
    </row>
    <row r="125">
      <c r="A125" s="24" t="n"/>
      <c r="B125" s="25" t="n"/>
      <c r="C125" s="25" t="n"/>
      <c r="D125" s="26">
        <f>IF(B125="","","CWP"&amp;MID(B125,4,12))</f>
        <v/>
      </c>
      <c r="E125" s="27" t="n"/>
      <c r="F125" s="25" t="n"/>
      <c r="G125" s="28" t="n"/>
      <c r="H125" s="29" t="n"/>
      <c r="I125" s="30">
        <f>IF(OR(B125="",H125="",C125=""),"",H125-7*VLOOKUP(C125,Plazos!$A$6:$F$8,2,FALSE))</f>
        <v/>
      </c>
      <c r="J125" s="30">
        <f>IF(OR(B125="",H125="",C125=""),"",H125-7*VLOOKUP(C125,Plazos!$A$6:$F$8,3,FALSE))</f>
        <v/>
      </c>
      <c r="K125" s="30">
        <f>IF(OR(B125="",H125="",C125=""),"",H125-7*VLOOKUP(C125,Plazos!$A$6:$F$8,4,FALSE))</f>
        <v/>
      </c>
      <c r="L125" s="30">
        <f>IF(OR(B125="",H125="",C125=""),"",H125-7*VLOOKUP(C125,Plazos!$A$6:$F$8,5,FALSE))</f>
        <v/>
      </c>
      <c r="M125" s="30">
        <f>IF(OR(B125="",H125="",C125=""),"",H125-7*VLOOKUP(C125,Plazos!$A$6:$F$8,6,FALSE))</f>
        <v/>
      </c>
      <c r="N125" s="29" t="n"/>
      <c r="O125" s="28" t="n"/>
      <c r="P125" s="25" t="n"/>
      <c r="Q125" s="31">
        <f>IF(OR(B125="",M125=""),"",IF(N125&lt;&gt;"",MAX(0,N125-M125),MAX(0,$B$3-M125)))</f>
        <v/>
      </c>
      <c r="R125" s="26">
        <f>IF(OR(B125="",M125=""),"",IF(N125&lt;&gt;"",IF(Q125&gt;0,"Liberado con atraso","Liberado a tiempo"),IF($B$3&gt;M125,"Vencido sin liberar",IF(M125-$B$3&lt;=14,"Próximo a liberar","En plazo"))))</f>
        <v/>
      </c>
      <c r="S125" s="27" t="n"/>
    </row>
    <row r="126">
      <c r="A126" s="24" t="n"/>
      <c r="B126" s="25" t="n"/>
      <c r="C126" s="25" t="n"/>
      <c r="D126" s="26">
        <f>IF(B126="","","CWP"&amp;MID(B126,4,12))</f>
        <v/>
      </c>
      <c r="E126" s="27" t="n"/>
      <c r="F126" s="25" t="n"/>
      <c r="G126" s="28" t="n"/>
      <c r="H126" s="29" t="n"/>
      <c r="I126" s="30">
        <f>IF(OR(B126="",H126="",C126=""),"",H126-7*VLOOKUP(C126,Plazos!$A$6:$F$8,2,FALSE))</f>
        <v/>
      </c>
      <c r="J126" s="30">
        <f>IF(OR(B126="",H126="",C126=""),"",H126-7*VLOOKUP(C126,Plazos!$A$6:$F$8,3,FALSE))</f>
        <v/>
      </c>
      <c r="K126" s="30">
        <f>IF(OR(B126="",H126="",C126=""),"",H126-7*VLOOKUP(C126,Plazos!$A$6:$F$8,4,FALSE))</f>
        <v/>
      </c>
      <c r="L126" s="30">
        <f>IF(OR(B126="",H126="",C126=""),"",H126-7*VLOOKUP(C126,Plazos!$A$6:$F$8,5,FALSE))</f>
        <v/>
      </c>
      <c r="M126" s="30">
        <f>IF(OR(B126="",H126="",C126=""),"",H126-7*VLOOKUP(C126,Plazos!$A$6:$F$8,6,FALSE))</f>
        <v/>
      </c>
      <c r="N126" s="29" t="n"/>
      <c r="O126" s="28" t="n"/>
      <c r="P126" s="25" t="n"/>
      <c r="Q126" s="31">
        <f>IF(OR(B126="",M126=""),"",IF(N126&lt;&gt;"",MAX(0,N126-M126),MAX(0,$B$3-M126)))</f>
        <v/>
      </c>
      <c r="R126" s="26">
        <f>IF(OR(B126="",M126=""),"",IF(N126&lt;&gt;"",IF(Q126&gt;0,"Liberado con atraso","Liberado a tiempo"),IF($B$3&gt;M126,"Vencido sin liberar",IF(M126-$B$3&lt;=14,"Próximo a liberar","En plazo"))))</f>
        <v/>
      </c>
      <c r="S126" s="27" t="n"/>
    </row>
    <row r="127">
      <c r="A127" s="24" t="n"/>
      <c r="B127" s="25" t="n"/>
      <c r="C127" s="25" t="n"/>
      <c r="D127" s="26">
        <f>IF(B127="","","CWP"&amp;MID(B127,4,12))</f>
        <v/>
      </c>
      <c r="E127" s="27" t="n"/>
      <c r="F127" s="25" t="n"/>
      <c r="G127" s="28" t="n"/>
      <c r="H127" s="29" t="n"/>
      <c r="I127" s="30">
        <f>IF(OR(B127="",H127="",C127=""),"",H127-7*VLOOKUP(C127,Plazos!$A$6:$F$8,2,FALSE))</f>
        <v/>
      </c>
      <c r="J127" s="30">
        <f>IF(OR(B127="",H127="",C127=""),"",H127-7*VLOOKUP(C127,Plazos!$A$6:$F$8,3,FALSE))</f>
        <v/>
      </c>
      <c r="K127" s="30">
        <f>IF(OR(B127="",H127="",C127=""),"",H127-7*VLOOKUP(C127,Plazos!$A$6:$F$8,4,FALSE))</f>
        <v/>
      </c>
      <c r="L127" s="30">
        <f>IF(OR(B127="",H127="",C127=""),"",H127-7*VLOOKUP(C127,Plazos!$A$6:$F$8,5,FALSE))</f>
        <v/>
      </c>
      <c r="M127" s="30">
        <f>IF(OR(B127="",H127="",C127=""),"",H127-7*VLOOKUP(C127,Plazos!$A$6:$F$8,6,FALSE))</f>
        <v/>
      </c>
      <c r="N127" s="29" t="n"/>
      <c r="O127" s="28" t="n"/>
      <c r="P127" s="25" t="n"/>
      <c r="Q127" s="31">
        <f>IF(OR(B127="",M127=""),"",IF(N127&lt;&gt;"",MAX(0,N127-M127),MAX(0,$B$3-M127)))</f>
        <v/>
      </c>
      <c r="R127" s="26">
        <f>IF(OR(B127="",M127=""),"",IF(N127&lt;&gt;"",IF(Q127&gt;0,"Liberado con atraso","Liberado a tiempo"),IF($B$3&gt;M127,"Vencido sin liberar",IF(M127-$B$3&lt;=14,"Próximo a liberar","En plazo"))))</f>
        <v/>
      </c>
      <c r="S127" s="27" t="n"/>
    </row>
    <row r="128">
      <c r="A128" s="24" t="n"/>
      <c r="B128" s="25" t="n"/>
      <c r="C128" s="25" t="n"/>
      <c r="D128" s="26">
        <f>IF(B128="","","CWP"&amp;MID(B128,4,12))</f>
        <v/>
      </c>
      <c r="E128" s="27" t="n"/>
      <c r="F128" s="25" t="n"/>
      <c r="G128" s="28" t="n"/>
      <c r="H128" s="29" t="n"/>
      <c r="I128" s="30">
        <f>IF(OR(B128="",H128="",C128=""),"",H128-7*VLOOKUP(C128,Plazos!$A$6:$F$8,2,FALSE))</f>
        <v/>
      </c>
      <c r="J128" s="30">
        <f>IF(OR(B128="",H128="",C128=""),"",H128-7*VLOOKUP(C128,Plazos!$A$6:$F$8,3,FALSE))</f>
        <v/>
      </c>
      <c r="K128" s="30">
        <f>IF(OR(B128="",H128="",C128=""),"",H128-7*VLOOKUP(C128,Plazos!$A$6:$F$8,4,FALSE))</f>
        <v/>
      </c>
      <c r="L128" s="30">
        <f>IF(OR(B128="",H128="",C128=""),"",H128-7*VLOOKUP(C128,Plazos!$A$6:$F$8,5,FALSE))</f>
        <v/>
      </c>
      <c r="M128" s="30">
        <f>IF(OR(B128="",H128="",C128=""),"",H128-7*VLOOKUP(C128,Plazos!$A$6:$F$8,6,FALSE))</f>
        <v/>
      </c>
      <c r="N128" s="29" t="n"/>
      <c r="O128" s="28" t="n"/>
      <c r="P128" s="25" t="n"/>
      <c r="Q128" s="31">
        <f>IF(OR(B128="",M128=""),"",IF(N128&lt;&gt;"",MAX(0,N128-M128),MAX(0,$B$3-M128)))</f>
        <v/>
      </c>
      <c r="R128" s="26">
        <f>IF(OR(B128="",M128=""),"",IF(N128&lt;&gt;"",IF(Q128&gt;0,"Liberado con atraso","Liberado a tiempo"),IF($B$3&gt;M128,"Vencido sin liberar",IF(M128-$B$3&lt;=14,"Próximo a liberar","En plazo"))))</f>
        <v/>
      </c>
      <c r="S128" s="27" t="n"/>
    </row>
    <row r="129">
      <c r="A129" s="24" t="n"/>
      <c r="B129" s="25" t="n"/>
      <c r="C129" s="25" t="n"/>
      <c r="D129" s="26">
        <f>IF(B129="","","CWP"&amp;MID(B129,4,12))</f>
        <v/>
      </c>
      <c r="E129" s="27" t="n"/>
      <c r="F129" s="25" t="n"/>
      <c r="G129" s="28" t="n"/>
      <c r="H129" s="29" t="n"/>
      <c r="I129" s="30">
        <f>IF(OR(B129="",H129="",C129=""),"",H129-7*VLOOKUP(C129,Plazos!$A$6:$F$8,2,FALSE))</f>
        <v/>
      </c>
      <c r="J129" s="30">
        <f>IF(OR(B129="",H129="",C129=""),"",H129-7*VLOOKUP(C129,Plazos!$A$6:$F$8,3,FALSE))</f>
        <v/>
      </c>
      <c r="K129" s="30">
        <f>IF(OR(B129="",H129="",C129=""),"",H129-7*VLOOKUP(C129,Plazos!$A$6:$F$8,4,FALSE))</f>
        <v/>
      </c>
      <c r="L129" s="30">
        <f>IF(OR(B129="",H129="",C129=""),"",H129-7*VLOOKUP(C129,Plazos!$A$6:$F$8,5,FALSE))</f>
        <v/>
      </c>
      <c r="M129" s="30">
        <f>IF(OR(B129="",H129="",C129=""),"",H129-7*VLOOKUP(C129,Plazos!$A$6:$F$8,6,FALSE))</f>
        <v/>
      </c>
      <c r="N129" s="29" t="n"/>
      <c r="O129" s="28" t="n"/>
      <c r="P129" s="25" t="n"/>
      <c r="Q129" s="31">
        <f>IF(OR(B129="",M129=""),"",IF(N129&lt;&gt;"",MAX(0,N129-M129),MAX(0,$B$3-M129)))</f>
        <v/>
      </c>
      <c r="R129" s="26">
        <f>IF(OR(B129="",M129=""),"",IF(N129&lt;&gt;"",IF(Q129&gt;0,"Liberado con atraso","Liberado a tiempo"),IF($B$3&gt;M129,"Vencido sin liberar",IF(M129-$B$3&lt;=14,"Próximo a liberar","En plazo"))))</f>
        <v/>
      </c>
      <c r="S129" s="27" t="n"/>
    </row>
    <row r="130">
      <c r="A130" s="24" t="n"/>
      <c r="B130" s="25" t="n"/>
      <c r="C130" s="25" t="n"/>
      <c r="D130" s="26">
        <f>IF(B130="","","CWP"&amp;MID(B130,4,12))</f>
        <v/>
      </c>
      <c r="E130" s="27" t="n"/>
      <c r="F130" s="25" t="n"/>
      <c r="G130" s="28" t="n"/>
      <c r="H130" s="29" t="n"/>
      <c r="I130" s="30">
        <f>IF(OR(B130="",H130="",C130=""),"",H130-7*VLOOKUP(C130,Plazos!$A$6:$F$8,2,FALSE))</f>
        <v/>
      </c>
      <c r="J130" s="30">
        <f>IF(OR(B130="",H130="",C130=""),"",H130-7*VLOOKUP(C130,Plazos!$A$6:$F$8,3,FALSE))</f>
        <v/>
      </c>
      <c r="K130" s="30">
        <f>IF(OR(B130="",H130="",C130=""),"",H130-7*VLOOKUP(C130,Plazos!$A$6:$F$8,4,FALSE))</f>
        <v/>
      </c>
      <c r="L130" s="30">
        <f>IF(OR(B130="",H130="",C130=""),"",H130-7*VLOOKUP(C130,Plazos!$A$6:$F$8,5,FALSE))</f>
        <v/>
      </c>
      <c r="M130" s="30">
        <f>IF(OR(B130="",H130="",C130=""),"",H130-7*VLOOKUP(C130,Plazos!$A$6:$F$8,6,FALSE))</f>
        <v/>
      </c>
      <c r="N130" s="29" t="n"/>
      <c r="O130" s="28" t="n"/>
      <c r="P130" s="25" t="n"/>
      <c r="Q130" s="31">
        <f>IF(OR(B130="",M130=""),"",IF(N130&lt;&gt;"",MAX(0,N130-M130),MAX(0,$B$3-M130)))</f>
        <v/>
      </c>
      <c r="R130" s="26">
        <f>IF(OR(B130="",M130=""),"",IF(N130&lt;&gt;"",IF(Q130&gt;0,"Liberado con atraso","Liberado a tiempo"),IF($B$3&gt;M130,"Vencido sin liberar",IF(M130-$B$3&lt;=14,"Próximo a liberar","En plazo"))))</f>
        <v/>
      </c>
      <c r="S130" s="27" t="n"/>
    </row>
    <row r="131">
      <c r="A131" s="24" t="n"/>
      <c r="B131" s="25" t="n"/>
      <c r="C131" s="25" t="n"/>
      <c r="D131" s="26">
        <f>IF(B131="","","CWP"&amp;MID(B131,4,12))</f>
        <v/>
      </c>
      <c r="E131" s="27" t="n"/>
      <c r="F131" s="25" t="n"/>
      <c r="G131" s="28" t="n"/>
      <c r="H131" s="29" t="n"/>
      <c r="I131" s="30">
        <f>IF(OR(B131="",H131="",C131=""),"",H131-7*VLOOKUP(C131,Plazos!$A$6:$F$8,2,FALSE))</f>
        <v/>
      </c>
      <c r="J131" s="30">
        <f>IF(OR(B131="",H131="",C131=""),"",H131-7*VLOOKUP(C131,Plazos!$A$6:$F$8,3,FALSE))</f>
        <v/>
      </c>
      <c r="K131" s="30">
        <f>IF(OR(B131="",H131="",C131=""),"",H131-7*VLOOKUP(C131,Plazos!$A$6:$F$8,4,FALSE))</f>
        <v/>
      </c>
      <c r="L131" s="30">
        <f>IF(OR(B131="",H131="",C131=""),"",H131-7*VLOOKUP(C131,Plazos!$A$6:$F$8,5,FALSE))</f>
        <v/>
      </c>
      <c r="M131" s="30">
        <f>IF(OR(B131="",H131="",C131=""),"",H131-7*VLOOKUP(C131,Plazos!$A$6:$F$8,6,FALSE))</f>
        <v/>
      </c>
      <c r="N131" s="29" t="n"/>
      <c r="O131" s="28" t="n"/>
      <c r="P131" s="25" t="n"/>
      <c r="Q131" s="31">
        <f>IF(OR(B131="",M131=""),"",IF(N131&lt;&gt;"",MAX(0,N131-M131),MAX(0,$B$3-M131)))</f>
        <v/>
      </c>
      <c r="R131" s="26">
        <f>IF(OR(B131="",M131=""),"",IF(N131&lt;&gt;"",IF(Q131&gt;0,"Liberado con atraso","Liberado a tiempo"),IF($B$3&gt;M131,"Vencido sin liberar",IF(M131-$B$3&lt;=14,"Próximo a liberar","En plazo"))))</f>
        <v/>
      </c>
      <c r="S131" s="27" t="n"/>
    </row>
    <row r="132">
      <c r="A132" s="24" t="n"/>
      <c r="B132" s="25" t="n"/>
      <c r="C132" s="25" t="n"/>
      <c r="D132" s="26">
        <f>IF(B132="","","CWP"&amp;MID(B132,4,12))</f>
        <v/>
      </c>
      <c r="E132" s="27" t="n"/>
      <c r="F132" s="25" t="n"/>
      <c r="G132" s="28" t="n"/>
      <c r="H132" s="29" t="n"/>
      <c r="I132" s="30">
        <f>IF(OR(B132="",H132="",C132=""),"",H132-7*VLOOKUP(C132,Plazos!$A$6:$F$8,2,FALSE))</f>
        <v/>
      </c>
      <c r="J132" s="30">
        <f>IF(OR(B132="",H132="",C132=""),"",H132-7*VLOOKUP(C132,Plazos!$A$6:$F$8,3,FALSE))</f>
        <v/>
      </c>
      <c r="K132" s="30">
        <f>IF(OR(B132="",H132="",C132=""),"",H132-7*VLOOKUP(C132,Plazos!$A$6:$F$8,4,FALSE))</f>
        <v/>
      </c>
      <c r="L132" s="30">
        <f>IF(OR(B132="",H132="",C132=""),"",H132-7*VLOOKUP(C132,Plazos!$A$6:$F$8,5,FALSE))</f>
        <v/>
      </c>
      <c r="M132" s="30">
        <f>IF(OR(B132="",H132="",C132=""),"",H132-7*VLOOKUP(C132,Plazos!$A$6:$F$8,6,FALSE))</f>
        <v/>
      </c>
      <c r="N132" s="29" t="n"/>
      <c r="O132" s="28" t="n"/>
      <c r="P132" s="25" t="n"/>
      <c r="Q132" s="31">
        <f>IF(OR(B132="",M132=""),"",IF(N132&lt;&gt;"",MAX(0,N132-M132),MAX(0,$B$3-M132)))</f>
        <v/>
      </c>
      <c r="R132" s="26">
        <f>IF(OR(B132="",M132=""),"",IF(N132&lt;&gt;"",IF(Q132&gt;0,"Liberado con atraso","Liberado a tiempo"),IF($B$3&gt;M132,"Vencido sin liberar",IF(M132-$B$3&lt;=14,"Próximo a liberar","En plazo"))))</f>
        <v/>
      </c>
      <c r="S132" s="27" t="n"/>
    </row>
    <row r="133">
      <c r="A133" s="24" t="n"/>
      <c r="B133" s="25" t="n"/>
      <c r="C133" s="25" t="n"/>
      <c r="D133" s="26">
        <f>IF(B133="","","CWP"&amp;MID(B133,4,12))</f>
        <v/>
      </c>
      <c r="E133" s="27" t="n"/>
      <c r="F133" s="25" t="n"/>
      <c r="G133" s="28" t="n"/>
      <c r="H133" s="29" t="n"/>
      <c r="I133" s="30">
        <f>IF(OR(B133="",H133="",C133=""),"",H133-7*VLOOKUP(C133,Plazos!$A$6:$F$8,2,FALSE))</f>
        <v/>
      </c>
      <c r="J133" s="30">
        <f>IF(OR(B133="",H133="",C133=""),"",H133-7*VLOOKUP(C133,Plazos!$A$6:$F$8,3,FALSE))</f>
        <v/>
      </c>
      <c r="K133" s="30">
        <f>IF(OR(B133="",H133="",C133=""),"",H133-7*VLOOKUP(C133,Plazos!$A$6:$F$8,4,FALSE))</f>
        <v/>
      </c>
      <c r="L133" s="30">
        <f>IF(OR(B133="",H133="",C133=""),"",H133-7*VLOOKUP(C133,Plazos!$A$6:$F$8,5,FALSE))</f>
        <v/>
      </c>
      <c r="M133" s="30">
        <f>IF(OR(B133="",H133="",C133=""),"",H133-7*VLOOKUP(C133,Plazos!$A$6:$F$8,6,FALSE))</f>
        <v/>
      </c>
      <c r="N133" s="29" t="n"/>
      <c r="O133" s="28" t="n"/>
      <c r="P133" s="25" t="n"/>
      <c r="Q133" s="31">
        <f>IF(OR(B133="",M133=""),"",IF(N133&lt;&gt;"",MAX(0,N133-M133),MAX(0,$B$3-M133)))</f>
        <v/>
      </c>
      <c r="R133" s="26">
        <f>IF(OR(B133="",M133=""),"",IF(N133&lt;&gt;"",IF(Q133&gt;0,"Liberado con atraso","Liberado a tiempo"),IF($B$3&gt;M133,"Vencido sin liberar",IF(M133-$B$3&lt;=14,"Próximo a liberar","En plazo"))))</f>
        <v/>
      </c>
      <c r="S133" s="27" t="n"/>
    </row>
    <row r="134">
      <c r="A134" s="24" t="n"/>
      <c r="B134" s="25" t="n"/>
      <c r="C134" s="25" t="n"/>
      <c r="D134" s="26">
        <f>IF(B134="","","CWP"&amp;MID(B134,4,12))</f>
        <v/>
      </c>
      <c r="E134" s="27" t="n"/>
      <c r="F134" s="25" t="n"/>
      <c r="G134" s="28" t="n"/>
      <c r="H134" s="29" t="n"/>
      <c r="I134" s="30">
        <f>IF(OR(B134="",H134="",C134=""),"",H134-7*VLOOKUP(C134,Plazos!$A$6:$F$8,2,FALSE))</f>
        <v/>
      </c>
      <c r="J134" s="30">
        <f>IF(OR(B134="",H134="",C134=""),"",H134-7*VLOOKUP(C134,Plazos!$A$6:$F$8,3,FALSE))</f>
        <v/>
      </c>
      <c r="K134" s="30">
        <f>IF(OR(B134="",H134="",C134=""),"",H134-7*VLOOKUP(C134,Plazos!$A$6:$F$8,4,FALSE))</f>
        <v/>
      </c>
      <c r="L134" s="30">
        <f>IF(OR(B134="",H134="",C134=""),"",H134-7*VLOOKUP(C134,Plazos!$A$6:$F$8,5,FALSE))</f>
        <v/>
      </c>
      <c r="M134" s="30">
        <f>IF(OR(B134="",H134="",C134=""),"",H134-7*VLOOKUP(C134,Plazos!$A$6:$F$8,6,FALSE))</f>
        <v/>
      </c>
      <c r="N134" s="29" t="n"/>
      <c r="O134" s="28" t="n"/>
      <c r="P134" s="25" t="n"/>
      <c r="Q134" s="31">
        <f>IF(OR(B134="",M134=""),"",IF(N134&lt;&gt;"",MAX(0,N134-M134),MAX(0,$B$3-M134)))</f>
        <v/>
      </c>
      <c r="R134" s="26">
        <f>IF(OR(B134="",M134=""),"",IF(N134&lt;&gt;"",IF(Q134&gt;0,"Liberado con atraso","Liberado a tiempo"),IF($B$3&gt;M134,"Vencido sin liberar",IF(M134-$B$3&lt;=14,"Próximo a liberar","En plazo"))))</f>
        <v/>
      </c>
      <c r="S134" s="27" t="n"/>
    </row>
    <row r="135">
      <c r="A135" s="24" t="n"/>
      <c r="B135" s="25" t="n"/>
      <c r="C135" s="25" t="n"/>
      <c r="D135" s="26">
        <f>IF(B135="","","CWP"&amp;MID(B135,4,12))</f>
        <v/>
      </c>
      <c r="E135" s="27" t="n"/>
      <c r="F135" s="25" t="n"/>
      <c r="G135" s="28" t="n"/>
      <c r="H135" s="29" t="n"/>
      <c r="I135" s="30">
        <f>IF(OR(B135="",H135="",C135=""),"",H135-7*VLOOKUP(C135,Plazos!$A$6:$F$8,2,FALSE))</f>
        <v/>
      </c>
      <c r="J135" s="30">
        <f>IF(OR(B135="",H135="",C135=""),"",H135-7*VLOOKUP(C135,Plazos!$A$6:$F$8,3,FALSE))</f>
        <v/>
      </c>
      <c r="K135" s="30">
        <f>IF(OR(B135="",H135="",C135=""),"",H135-7*VLOOKUP(C135,Plazos!$A$6:$F$8,4,FALSE))</f>
        <v/>
      </c>
      <c r="L135" s="30">
        <f>IF(OR(B135="",H135="",C135=""),"",H135-7*VLOOKUP(C135,Plazos!$A$6:$F$8,5,FALSE))</f>
        <v/>
      </c>
      <c r="M135" s="30">
        <f>IF(OR(B135="",H135="",C135=""),"",H135-7*VLOOKUP(C135,Plazos!$A$6:$F$8,6,FALSE))</f>
        <v/>
      </c>
      <c r="N135" s="29" t="n"/>
      <c r="O135" s="28" t="n"/>
      <c r="P135" s="25" t="n"/>
      <c r="Q135" s="31">
        <f>IF(OR(B135="",M135=""),"",IF(N135&lt;&gt;"",MAX(0,N135-M135),MAX(0,$B$3-M135)))</f>
        <v/>
      </c>
      <c r="R135" s="26">
        <f>IF(OR(B135="",M135=""),"",IF(N135&lt;&gt;"",IF(Q135&gt;0,"Liberado con atraso","Liberado a tiempo"),IF($B$3&gt;M135,"Vencido sin liberar",IF(M135-$B$3&lt;=14,"Próximo a liberar","En plazo"))))</f>
        <v/>
      </c>
      <c r="S135" s="27" t="n"/>
    </row>
    <row r="136">
      <c r="A136" s="24" t="n"/>
      <c r="B136" s="25" t="n"/>
      <c r="C136" s="25" t="n"/>
      <c r="D136" s="26">
        <f>IF(B136="","","CWP"&amp;MID(B136,4,12))</f>
        <v/>
      </c>
      <c r="E136" s="27" t="n"/>
      <c r="F136" s="25" t="n"/>
      <c r="G136" s="28" t="n"/>
      <c r="H136" s="29" t="n"/>
      <c r="I136" s="30">
        <f>IF(OR(B136="",H136="",C136=""),"",H136-7*VLOOKUP(C136,Plazos!$A$6:$F$8,2,FALSE))</f>
        <v/>
      </c>
      <c r="J136" s="30">
        <f>IF(OR(B136="",H136="",C136=""),"",H136-7*VLOOKUP(C136,Plazos!$A$6:$F$8,3,FALSE))</f>
        <v/>
      </c>
      <c r="K136" s="30">
        <f>IF(OR(B136="",H136="",C136=""),"",H136-7*VLOOKUP(C136,Plazos!$A$6:$F$8,4,FALSE))</f>
        <v/>
      </c>
      <c r="L136" s="30">
        <f>IF(OR(B136="",H136="",C136=""),"",H136-7*VLOOKUP(C136,Plazos!$A$6:$F$8,5,FALSE))</f>
        <v/>
      </c>
      <c r="M136" s="30">
        <f>IF(OR(B136="",H136="",C136=""),"",H136-7*VLOOKUP(C136,Plazos!$A$6:$F$8,6,FALSE))</f>
        <v/>
      </c>
      <c r="N136" s="29" t="n"/>
      <c r="O136" s="28" t="n"/>
      <c r="P136" s="25" t="n"/>
      <c r="Q136" s="31">
        <f>IF(OR(B136="",M136=""),"",IF(N136&lt;&gt;"",MAX(0,N136-M136),MAX(0,$B$3-M136)))</f>
        <v/>
      </c>
      <c r="R136" s="26">
        <f>IF(OR(B136="",M136=""),"",IF(N136&lt;&gt;"",IF(Q136&gt;0,"Liberado con atraso","Liberado a tiempo"),IF($B$3&gt;M136,"Vencido sin liberar",IF(M136-$B$3&lt;=14,"Próximo a liberar","En plazo"))))</f>
        <v/>
      </c>
      <c r="S136" s="27" t="n"/>
    </row>
    <row r="137">
      <c r="A137" s="24" t="n"/>
      <c r="B137" s="25" t="n"/>
      <c r="C137" s="25" t="n"/>
      <c r="D137" s="26">
        <f>IF(B137="","","CWP"&amp;MID(B137,4,12))</f>
        <v/>
      </c>
      <c r="E137" s="27" t="n"/>
      <c r="F137" s="25" t="n"/>
      <c r="G137" s="28" t="n"/>
      <c r="H137" s="29" t="n"/>
      <c r="I137" s="30">
        <f>IF(OR(B137="",H137="",C137=""),"",H137-7*VLOOKUP(C137,Plazos!$A$6:$F$8,2,FALSE))</f>
        <v/>
      </c>
      <c r="J137" s="30">
        <f>IF(OR(B137="",H137="",C137=""),"",H137-7*VLOOKUP(C137,Plazos!$A$6:$F$8,3,FALSE))</f>
        <v/>
      </c>
      <c r="K137" s="30">
        <f>IF(OR(B137="",H137="",C137=""),"",H137-7*VLOOKUP(C137,Plazos!$A$6:$F$8,4,FALSE))</f>
        <v/>
      </c>
      <c r="L137" s="30">
        <f>IF(OR(B137="",H137="",C137=""),"",H137-7*VLOOKUP(C137,Plazos!$A$6:$F$8,5,FALSE))</f>
        <v/>
      </c>
      <c r="M137" s="30">
        <f>IF(OR(B137="",H137="",C137=""),"",H137-7*VLOOKUP(C137,Plazos!$A$6:$F$8,6,FALSE))</f>
        <v/>
      </c>
      <c r="N137" s="29" t="n"/>
      <c r="O137" s="28" t="n"/>
      <c r="P137" s="25" t="n"/>
      <c r="Q137" s="31">
        <f>IF(OR(B137="",M137=""),"",IF(N137&lt;&gt;"",MAX(0,N137-M137),MAX(0,$B$3-M137)))</f>
        <v/>
      </c>
      <c r="R137" s="26">
        <f>IF(OR(B137="",M137=""),"",IF(N137&lt;&gt;"",IF(Q137&gt;0,"Liberado con atraso","Liberado a tiempo"),IF($B$3&gt;M137,"Vencido sin liberar",IF(M137-$B$3&lt;=14,"Próximo a liberar","En plazo"))))</f>
        <v/>
      </c>
      <c r="S137" s="27" t="n"/>
    </row>
    <row r="138">
      <c r="A138" s="24" t="n"/>
      <c r="B138" s="25" t="n"/>
      <c r="C138" s="25" t="n"/>
      <c r="D138" s="26">
        <f>IF(B138="","","CWP"&amp;MID(B138,4,12))</f>
        <v/>
      </c>
      <c r="E138" s="27" t="n"/>
      <c r="F138" s="25" t="n"/>
      <c r="G138" s="28" t="n"/>
      <c r="H138" s="29" t="n"/>
      <c r="I138" s="30">
        <f>IF(OR(B138="",H138="",C138=""),"",H138-7*VLOOKUP(C138,Plazos!$A$6:$F$8,2,FALSE))</f>
        <v/>
      </c>
      <c r="J138" s="30">
        <f>IF(OR(B138="",H138="",C138=""),"",H138-7*VLOOKUP(C138,Plazos!$A$6:$F$8,3,FALSE))</f>
        <v/>
      </c>
      <c r="K138" s="30">
        <f>IF(OR(B138="",H138="",C138=""),"",H138-7*VLOOKUP(C138,Plazos!$A$6:$F$8,4,FALSE))</f>
        <v/>
      </c>
      <c r="L138" s="30">
        <f>IF(OR(B138="",H138="",C138=""),"",H138-7*VLOOKUP(C138,Plazos!$A$6:$F$8,5,FALSE))</f>
        <v/>
      </c>
      <c r="M138" s="30">
        <f>IF(OR(B138="",H138="",C138=""),"",H138-7*VLOOKUP(C138,Plazos!$A$6:$F$8,6,FALSE))</f>
        <v/>
      </c>
      <c r="N138" s="29" t="n"/>
      <c r="O138" s="28" t="n"/>
      <c r="P138" s="25" t="n"/>
      <c r="Q138" s="31">
        <f>IF(OR(B138="",M138=""),"",IF(N138&lt;&gt;"",MAX(0,N138-M138),MAX(0,$B$3-M138)))</f>
        <v/>
      </c>
      <c r="R138" s="26">
        <f>IF(OR(B138="",M138=""),"",IF(N138&lt;&gt;"",IF(Q138&gt;0,"Liberado con atraso","Liberado a tiempo"),IF($B$3&gt;M138,"Vencido sin liberar",IF(M138-$B$3&lt;=14,"Próximo a liberar","En plazo"))))</f>
        <v/>
      </c>
      <c r="S138" s="27" t="n"/>
    </row>
    <row r="139">
      <c r="A139" s="24" t="n"/>
      <c r="B139" s="25" t="n"/>
      <c r="C139" s="25" t="n"/>
      <c r="D139" s="26">
        <f>IF(B139="","","CWP"&amp;MID(B139,4,12))</f>
        <v/>
      </c>
      <c r="E139" s="27" t="n"/>
      <c r="F139" s="25" t="n"/>
      <c r="G139" s="28" t="n"/>
      <c r="H139" s="29" t="n"/>
      <c r="I139" s="30">
        <f>IF(OR(B139="",H139="",C139=""),"",H139-7*VLOOKUP(C139,Plazos!$A$6:$F$8,2,FALSE))</f>
        <v/>
      </c>
      <c r="J139" s="30">
        <f>IF(OR(B139="",H139="",C139=""),"",H139-7*VLOOKUP(C139,Plazos!$A$6:$F$8,3,FALSE))</f>
        <v/>
      </c>
      <c r="K139" s="30">
        <f>IF(OR(B139="",H139="",C139=""),"",H139-7*VLOOKUP(C139,Plazos!$A$6:$F$8,4,FALSE))</f>
        <v/>
      </c>
      <c r="L139" s="30">
        <f>IF(OR(B139="",H139="",C139=""),"",H139-7*VLOOKUP(C139,Plazos!$A$6:$F$8,5,FALSE))</f>
        <v/>
      </c>
      <c r="M139" s="30">
        <f>IF(OR(B139="",H139="",C139=""),"",H139-7*VLOOKUP(C139,Plazos!$A$6:$F$8,6,FALSE))</f>
        <v/>
      </c>
      <c r="N139" s="29" t="n"/>
      <c r="O139" s="28" t="n"/>
      <c r="P139" s="25" t="n"/>
      <c r="Q139" s="31">
        <f>IF(OR(B139="",M139=""),"",IF(N139&lt;&gt;"",MAX(0,N139-M139),MAX(0,$B$3-M139)))</f>
        <v/>
      </c>
      <c r="R139" s="26">
        <f>IF(OR(B139="",M139=""),"",IF(N139&lt;&gt;"",IF(Q139&gt;0,"Liberado con atraso","Liberado a tiempo"),IF($B$3&gt;M139,"Vencido sin liberar",IF(M139-$B$3&lt;=14,"Próximo a liberar","En plazo"))))</f>
        <v/>
      </c>
      <c r="S139" s="27" t="n"/>
    </row>
    <row r="140">
      <c r="A140" s="24" t="n"/>
      <c r="B140" s="25" t="n"/>
      <c r="C140" s="25" t="n"/>
      <c r="D140" s="26">
        <f>IF(B140="","","CWP"&amp;MID(B140,4,12))</f>
        <v/>
      </c>
      <c r="E140" s="27" t="n"/>
      <c r="F140" s="25" t="n"/>
      <c r="G140" s="28" t="n"/>
      <c r="H140" s="29" t="n"/>
      <c r="I140" s="30">
        <f>IF(OR(B140="",H140="",C140=""),"",H140-7*VLOOKUP(C140,Plazos!$A$6:$F$8,2,FALSE))</f>
        <v/>
      </c>
      <c r="J140" s="30">
        <f>IF(OR(B140="",H140="",C140=""),"",H140-7*VLOOKUP(C140,Plazos!$A$6:$F$8,3,FALSE))</f>
        <v/>
      </c>
      <c r="K140" s="30">
        <f>IF(OR(B140="",H140="",C140=""),"",H140-7*VLOOKUP(C140,Plazos!$A$6:$F$8,4,FALSE))</f>
        <v/>
      </c>
      <c r="L140" s="30">
        <f>IF(OR(B140="",H140="",C140=""),"",H140-7*VLOOKUP(C140,Plazos!$A$6:$F$8,5,FALSE))</f>
        <v/>
      </c>
      <c r="M140" s="30">
        <f>IF(OR(B140="",H140="",C140=""),"",H140-7*VLOOKUP(C140,Plazos!$A$6:$F$8,6,FALSE))</f>
        <v/>
      </c>
      <c r="N140" s="29" t="n"/>
      <c r="O140" s="28" t="n"/>
      <c r="P140" s="25" t="n"/>
      <c r="Q140" s="31">
        <f>IF(OR(B140="",M140=""),"",IF(N140&lt;&gt;"",MAX(0,N140-M140),MAX(0,$B$3-M140)))</f>
        <v/>
      </c>
      <c r="R140" s="26">
        <f>IF(OR(B140="",M140=""),"",IF(N140&lt;&gt;"",IF(Q140&gt;0,"Liberado con atraso","Liberado a tiempo"),IF($B$3&gt;M140,"Vencido sin liberar",IF(M140-$B$3&lt;=14,"Próximo a liberar","En plazo"))))</f>
        <v/>
      </c>
      <c r="S140" s="27" t="n"/>
    </row>
    <row r="141">
      <c r="A141" s="24" t="n"/>
      <c r="B141" s="25" t="n"/>
      <c r="C141" s="25" t="n"/>
      <c r="D141" s="26">
        <f>IF(B141="","","CWP"&amp;MID(B141,4,12))</f>
        <v/>
      </c>
      <c r="E141" s="27" t="n"/>
      <c r="F141" s="25" t="n"/>
      <c r="G141" s="28" t="n"/>
      <c r="H141" s="29" t="n"/>
      <c r="I141" s="30">
        <f>IF(OR(B141="",H141="",C141=""),"",H141-7*VLOOKUP(C141,Plazos!$A$6:$F$8,2,FALSE))</f>
        <v/>
      </c>
      <c r="J141" s="30">
        <f>IF(OR(B141="",H141="",C141=""),"",H141-7*VLOOKUP(C141,Plazos!$A$6:$F$8,3,FALSE))</f>
        <v/>
      </c>
      <c r="K141" s="30">
        <f>IF(OR(B141="",H141="",C141=""),"",H141-7*VLOOKUP(C141,Plazos!$A$6:$F$8,4,FALSE))</f>
        <v/>
      </c>
      <c r="L141" s="30">
        <f>IF(OR(B141="",H141="",C141=""),"",H141-7*VLOOKUP(C141,Plazos!$A$6:$F$8,5,FALSE))</f>
        <v/>
      </c>
      <c r="M141" s="30">
        <f>IF(OR(B141="",H141="",C141=""),"",H141-7*VLOOKUP(C141,Plazos!$A$6:$F$8,6,FALSE))</f>
        <v/>
      </c>
      <c r="N141" s="29" t="n"/>
      <c r="O141" s="28" t="n"/>
      <c r="P141" s="25" t="n"/>
      <c r="Q141" s="31">
        <f>IF(OR(B141="",M141=""),"",IF(N141&lt;&gt;"",MAX(0,N141-M141),MAX(0,$B$3-M141)))</f>
        <v/>
      </c>
      <c r="R141" s="26">
        <f>IF(OR(B141="",M141=""),"",IF(N141&lt;&gt;"",IF(Q141&gt;0,"Liberado con atraso","Liberado a tiempo"),IF($B$3&gt;M141,"Vencido sin liberar",IF(M141-$B$3&lt;=14,"Próximo a liberar","En plazo"))))</f>
        <v/>
      </c>
      <c r="S141" s="27" t="n"/>
    </row>
    <row r="142">
      <c r="A142" s="24" t="n"/>
      <c r="B142" s="25" t="n"/>
      <c r="C142" s="25" t="n"/>
      <c r="D142" s="26">
        <f>IF(B142="","","CWP"&amp;MID(B142,4,12))</f>
        <v/>
      </c>
      <c r="E142" s="27" t="n"/>
      <c r="F142" s="25" t="n"/>
      <c r="G142" s="28" t="n"/>
      <c r="H142" s="29" t="n"/>
      <c r="I142" s="30">
        <f>IF(OR(B142="",H142="",C142=""),"",H142-7*VLOOKUP(C142,Plazos!$A$6:$F$8,2,FALSE))</f>
        <v/>
      </c>
      <c r="J142" s="30">
        <f>IF(OR(B142="",H142="",C142=""),"",H142-7*VLOOKUP(C142,Plazos!$A$6:$F$8,3,FALSE))</f>
        <v/>
      </c>
      <c r="K142" s="30">
        <f>IF(OR(B142="",H142="",C142=""),"",H142-7*VLOOKUP(C142,Plazos!$A$6:$F$8,4,FALSE))</f>
        <v/>
      </c>
      <c r="L142" s="30">
        <f>IF(OR(B142="",H142="",C142=""),"",H142-7*VLOOKUP(C142,Plazos!$A$6:$F$8,5,FALSE))</f>
        <v/>
      </c>
      <c r="M142" s="30">
        <f>IF(OR(B142="",H142="",C142=""),"",H142-7*VLOOKUP(C142,Plazos!$A$6:$F$8,6,FALSE))</f>
        <v/>
      </c>
      <c r="N142" s="29" t="n"/>
      <c r="O142" s="28" t="n"/>
      <c r="P142" s="25" t="n"/>
      <c r="Q142" s="31">
        <f>IF(OR(B142="",M142=""),"",IF(N142&lt;&gt;"",MAX(0,N142-M142),MAX(0,$B$3-M142)))</f>
        <v/>
      </c>
      <c r="R142" s="26">
        <f>IF(OR(B142="",M142=""),"",IF(N142&lt;&gt;"",IF(Q142&gt;0,"Liberado con atraso","Liberado a tiempo"),IF($B$3&gt;M142,"Vencido sin liberar",IF(M142-$B$3&lt;=14,"Próximo a liberar","En plazo"))))</f>
        <v/>
      </c>
      <c r="S142" s="27" t="n"/>
    </row>
    <row r="143">
      <c r="A143" s="24" t="n"/>
      <c r="B143" s="25" t="n"/>
      <c r="C143" s="25" t="n"/>
      <c r="D143" s="26">
        <f>IF(B143="","","CWP"&amp;MID(B143,4,12))</f>
        <v/>
      </c>
      <c r="E143" s="27" t="n"/>
      <c r="F143" s="25" t="n"/>
      <c r="G143" s="28" t="n"/>
      <c r="H143" s="29" t="n"/>
      <c r="I143" s="30">
        <f>IF(OR(B143="",H143="",C143=""),"",H143-7*VLOOKUP(C143,Plazos!$A$6:$F$8,2,FALSE))</f>
        <v/>
      </c>
      <c r="J143" s="30">
        <f>IF(OR(B143="",H143="",C143=""),"",H143-7*VLOOKUP(C143,Plazos!$A$6:$F$8,3,FALSE))</f>
        <v/>
      </c>
      <c r="K143" s="30">
        <f>IF(OR(B143="",H143="",C143=""),"",H143-7*VLOOKUP(C143,Plazos!$A$6:$F$8,4,FALSE))</f>
        <v/>
      </c>
      <c r="L143" s="30">
        <f>IF(OR(B143="",H143="",C143=""),"",H143-7*VLOOKUP(C143,Plazos!$A$6:$F$8,5,FALSE))</f>
        <v/>
      </c>
      <c r="M143" s="30">
        <f>IF(OR(B143="",H143="",C143=""),"",H143-7*VLOOKUP(C143,Plazos!$A$6:$F$8,6,FALSE))</f>
        <v/>
      </c>
      <c r="N143" s="29" t="n"/>
      <c r="O143" s="28" t="n"/>
      <c r="P143" s="25" t="n"/>
      <c r="Q143" s="31">
        <f>IF(OR(B143="",M143=""),"",IF(N143&lt;&gt;"",MAX(0,N143-M143),MAX(0,$B$3-M143)))</f>
        <v/>
      </c>
      <c r="R143" s="26">
        <f>IF(OR(B143="",M143=""),"",IF(N143&lt;&gt;"",IF(Q143&gt;0,"Liberado con atraso","Liberado a tiempo"),IF($B$3&gt;M143,"Vencido sin liberar",IF(M143-$B$3&lt;=14,"Próximo a liberar","En plazo"))))</f>
        <v/>
      </c>
      <c r="S143" s="27" t="n"/>
    </row>
    <row r="144">
      <c r="A144" s="24" t="n"/>
      <c r="B144" s="25" t="n"/>
      <c r="C144" s="25" t="n"/>
      <c r="D144" s="26">
        <f>IF(B144="","","CWP"&amp;MID(B144,4,12))</f>
        <v/>
      </c>
      <c r="E144" s="27" t="n"/>
      <c r="F144" s="25" t="n"/>
      <c r="G144" s="28" t="n"/>
      <c r="H144" s="29" t="n"/>
      <c r="I144" s="30">
        <f>IF(OR(B144="",H144="",C144=""),"",H144-7*VLOOKUP(C144,Plazos!$A$6:$F$8,2,FALSE))</f>
        <v/>
      </c>
      <c r="J144" s="30">
        <f>IF(OR(B144="",H144="",C144=""),"",H144-7*VLOOKUP(C144,Plazos!$A$6:$F$8,3,FALSE))</f>
        <v/>
      </c>
      <c r="K144" s="30">
        <f>IF(OR(B144="",H144="",C144=""),"",H144-7*VLOOKUP(C144,Plazos!$A$6:$F$8,4,FALSE))</f>
        <v/>
      </c>
      <c r="L144" s="30">
        <f>IF(OR(B144="",H144="",C144=""),"",H144-7*VLOOKUP(C144,Plazos!$A$6:$F$8,5,FALSE))</f>
        <v/>
      </c>
      <c r="M144" s="30">
        <f>IF(OR(B144="",H144="",C144=""),"",H144-7*VLOOKUP(C144,Plazos!$A$6:$F$8,6,FALSE))</f>
        <v/>
      </c>
      <c r="N144" s="29" t="n"/>
      <c r="O144" s="28" t="n"/>
      <c r="P144" s="25" t="n"/>
      <c r="Q144" s="31">
        <f>IF(OR(B144="",M144=""),"",IF(N144&lt;&gt;"",MAX(0,N144-M144),MAX(0,$B$3-M144)))</f>
        <v/>
      </c>
      <c r="R144" s="26">
        <f>IF(OR(B144="",M144=""),"",IF(N144&lt;&gt;"",IF(Q144&gt;0,"Liberado con atraso","Liberado a tiempo"),IF($B$3&gt;M144,"Vencido sin liberar",IF(M144-$B$3&lt;=14,"Próximo a liberar","En plazo"))))</f>
        <v/>
      </c>
      <c r="S144" s="27" t="n"/>
    </row>
    <row r="145">
      <c r="A145" s="24" t="n"/>
      <c r="B145" s="25" t="n"/>
      <c r="C145" s="25" t="n"/>
      <c r="D145" s="26">
        <f>IF(B145="","","CWP"&amp;MID(B145,4,12))</f>
        <v/>
      </c>
      <c r="E145" s="27" t="n"/>
      <c r="F145" s="25" t="n"/>
      <c r="G145" s="28" t="n"/>
      <c r="H145" s="29" t="n"/>
      <c r="I145" s="30">
        <f>IF(OR(B145="",H145="",C145=""),"",H145-7*VLOOKUP(C145,Plazos!$A$6:$F$8,2,FALSE))</f>
        <v/>
      </c>
      <c r="J145" s="30">
        <f>IF(OR(B145="",H145="",C145=""),"",H145-7*VLOOKUP(C145,Plazos!$A$6:$F$8,3,FALSE))</f>
        <v/>
      </c>
      <c r="K145" s="30">
        <f>IF(OR(B145="",H145="",C145=""),"",H145-7*VLOOKUP(C145,Plazos!$A$6:$F$8,4,FALSE))</f>
        <v/>
      </c>
      <c r="L145" s="30">
        <f>IF(OR(B145="",H145="",C145=""),"",H145-7*VLOOKUP(C145,Plazos!$A$6:$F$8,5,FALSE))</f>
        <v/>
      </c>
      <c r="M145" s="30">
        <f>IF(OR(B145="",H145="",C145=""),"",H145-7*VLOOKUP(C145,Plazos!$A$6:$F$8,6,FALSE))</f>
        <v/>
      </c>
      <c r="N145" s="29" t="n"/>
      <c r="O145" s="28" t="n"/>
      <c r="P145" s="25" t="n"/>
      <c r="Q145" s="31">
        <f>IF(OR(B145="",M145=""),"",IF(N145&lt;&gt;"",MAX(0,N145-M145),MAX(0,$B$3-M145)))</f>
        <v/>
      </c>
      <c r="R145" s="26">
        <f>IF(OR(B145="",M145=""),"",IF(N145&lt;&gt;"",IF(Q145&gt;0,"Liberado con atraso","Liberado a tiempo"),IF($B$3&gt;M145,"Vencido sin liberar",IF(M145-$B$3&lt;=14,"Próximo a liberar","En plazo"))))</f>
        <v/>
      </c>
      <c r="S145" s="27" t="n"/>
    </row>
    <row r="146">
      <c r="A146" s="24" t="n"/>
      <c r="B146" s="25" t="n"/>
      <c r="C146" s="25" t="n"/>
      <c r="D146" s="26">
        <f>IF(B146="","","CWP"&amp;MID(B146,4,12))</f>
        <v/>
      </c>
      <c r="E146" s="27" t="n"/>
      <c r="F146" s="25" t="n"/>
      <c r="G146" s="28" t="n"/>
      <c r="H146" s="29" t="n"/>
      <c r="I146" s="30">
        <f>IF(OR(B146="",H146="",C146=""),"",H146-7*VLOOKUP(C146,Plazos!$A$6:$F$8,2,FALSE))</f>
        <v/>
      </c>
      <c r="J146" s="30">
        <f>IF(OR(B146="",H146="",C146=""),"",H146-7*VLOOKUP(C146,Plazos!$A$6:$F$8,3,FALSE))</f>
        <v/>
      </c>
      <c r="K146" s="30">
        <f>IF(OR(B146="",H146="",C146=""),"",H146-7*VLOOKUP(C146,Plazos!$A$6:$F$8,4,FALSE))</f>
        <v/>
      </c>
      <c r="L146" s="30">
        <f>IF(OR(B146="",H146="",C146=""),"",H146-7*VLOOKUP(C146,Plazos!$A$6:$F$8,5,FALSE))</f>
        <v/>
      </c>
      <c r="M146" s="30">
        <f>IF(OR(B146="",H146="",C146=""),"",H146-7*VLOOKUP(C146,Plazos!$A$6:$F$8,6,FALSE))</f>
        <v/>
      </c>
      <c r="N146" s="29" t="n"/>
      <c r="O146" s="28" t="n"/>
      <c r="P146" s="25" t="n"/>
      <c r="Q146" s="31">
        <f>IF(OR(B146="",M146=""),"",IF(N146&lt;&gt;"",MAX(0,N146-M146),MAX(0,$B$3-M146)))</f>
        <v/>
      </c>
      <c r="R146" s="26">
        <f>IF(OR(B146="",M146=""),"",IF(N146&lt;&gt;"",IF(Q146&gt;0,"Liberado con atraso","Liberado a tiempo"),IF($B$3&gt;M146,"Vencido sin liberar",IF(M146-$B$3&lt;=14,"Próximo a liberar","En plazo"))))</f>
        <v/>
      </c>
      <c r="S146" s="27" t="n"/>
    </row>
    <row r="147">
      <c r="A147" s="24" t="n"/>
      <c r="B147" s="25" t="n"/>
      <c r="C147" s="25" t="n"/>
      <c r="D147" s="26">
        <f>IF(B147="","","CWP"&amp;MID(B147,4,12))</f>
        <v/>
      </c>
      <c r="E147" s="27" t="n"/>
      <c r="F147" s="25" t="n"/>
      <c r="G147" s="28" t="n"/>
      <c r="H147" s="29" t="n"/>
      <c r="I147" s="30">
        <f>IF(OR(B147="",H147="",C147=""),"",H147-7*VLOOKUP(C147,Plazos!$A$6:$F$8,2,FALSE))</f>
        <v/>
      </c>
      <c r="J147" s="30">
        <f>IF(OR(B147="",H147="",C147=""),"",H147-7*VLOOKUP(C147,Plazos!$A$6:$F$8,3,FALSE))</f>
        <v/>
      </c>
      <c r="K147" s="30">
        <f>IF(OR(B147="",H147="",C147=""),"",H147-7*VLOOKUP(C147,Plazos!$A$6:$F$8,4,FALSE))</f>
        <v/>
      </c>
      <c r="L147" s="30">
        <f>IF(OR(B147="",H147="",C147=""),"",H147-7*VLOOKUP(C147,Plazos!$A$6:$F$8,5,FALSE))</f>
        <v/>
      </c>
      <c r="M147" s="30">
        <f>IF(OR(B147="",H147="",C147=""),"",H147-7*VLOOKUP(C147,Plazos!$A$6:$F$8,6,FALSE))</f>
        <v/>
      </c>
      <c r="N147" s="29" t="n"/>
      <c r="O147" s="28" t="n"/>
      <c r="P147" s="25" t="n"/>
      <c r="Q147" s="31">
        <f>IF(OR(B147="",M147=""),"",IF(N147&lt;&gt;"",MAX(0,N147-M147),MAX(0,$B$3-M147)))</f>
        <v/>
      </c>
      <c r="R147" s="26">
        <f>IF(OR(B147="",M147=""),"",IF(N147&lt;&gt;"",IF(Q147&gt;0,"Liberado con atraso","Liberado a tiempo"),IF($B$3&gt;M147,"Vencido sin liberar",IF(M147-$B$3&lt;=14,"Próximo a liberar","En plazo"))))</f>
        <v/>
      </c>
      <c r="S147" s="27" t="n"/>
    </row>
    <row r="148">
      <c r="A148" s="24" t="n"/>
      <c r="B148" s="25" t="n"/>
      <c r="C148" s="25" t="n"/>
      <c r="D148" s="26">
        <f>IF(B148="","","CWP"&amp;MID(B148,4,12))</f>
        <v/>
      </c>
      <c r="E148" s="27" t="n"/>
      <c r="F148" s="25" t="n"/>
      <c r="G148" s="28" t="n"/>
      <c r="H148" s="29" t="n"/>
      <c r="I148" s="30">
        <f>IF(OR(B148="",H148="",C148=""),"",H148-7*VLOOKUP(C148,Plazos!$A$6:$F$8,2,FALSE))</f>
        <v/>
      </c>
      <c r="J148" s="30">
        <f>IF(OR(B148="",H148="",C148=""),"",H148-7*VLOOKUP(C148,Plazos!$A$6:$F$8,3,FALSE))</f>
        <v/>
      </c>
      <c r="K148" s="30">
        <f>IF(OR(B148="",H148="",C148=""),"",H148-7*VLOOKUP(C148,Plazos!$A$6:$F$8,4,FALSE))</f>
        <v/>
      </c>
      <c r="L148" s="30">
        <f>IF(OR(B148="",H148="",C148=""),"",H148-7*VLOOKUP(C148,Plazos!$A$6:$F$8,5,FALSE))</f>
        <v/>
      </c>
      <c r="M148" s="30">
        <f>IF(OR(B148="",H148="",C148=""),"",H148-7*VLOOKUP(C148,Plazos!$A$6:$F$8,6,FALSE))</f>
        <v/>
      </c>
      <c r="N148" s="29" t="n"/>
      <c r="O148" s="28" t="n"/>
      <c r="P148" s="25" t="n"/>
      <c r="Q148" s="31">
        <f>IF(OR(B148="",M148=""),"",IF(N148&lt;&gt;"",MAX(0,N148-M148),MAX(0,$B$3-M148)))</f>
        <v/>
      </c>
      <c r="R148" s="26">
        <f>IF(OR(B148="",M148=""),"",IF(N148&lt;&gt;"",IF(Q148&gt;0,"Liberado con atraso","Liberado a tiempo"),IF($B$3&gt;M148,"Vencido sin liberar",IF(M148-$B$3&lt;=14,"Próximo a liberar","En plazo"))))</f>
        <v/>
      </c>
      <c r="S148" s="27" t="n"/>
    </row>
    <row r="149">
      <c r="A149" s="24" t="n"/>
      <c r="B149" s="25" t="n"/>
      <c r="C149" s="25" t="n"/>
      <c r="D149" s="26">
        <f>IF(B149="","","CWP"&amp;MID(B149,4,12))</f>
        <v/>
      </c>
      <c r="E149" s="27" t="n"/>
      <c r="F149" s="25" t="n"/>
      <c r="G149" s="28" t="n"/>
      <c r="H149" s="29" t="n"/>
      <c r="I149" s="30">
        <f>IF(OR(B149="",H149="",C149=""),"",H149-7*VLOOKUP(C149,Plazos!$A$6:$F$8,2,FALSE))</f>
        <v/>
      </c>
      <c r="J149" s="30">
        <f>IF(OR(B149="",H149="",C149=""),"",H149-7*VLOOKUP(C149,Plazos!$A$6:$F$8,3,FALSE))</f>
        <v/>
      </c>
      <c r="K149" s="30">
        <f>IF(OR(B149="",H149="",C149=""),"",H149-7*VLOOKUP(C149,Plazos!$A$6:$F$8,4,FALSE))</f>
        <v/>
      </c>
      <c r="L149" s="30">
        <f>IF(OR(B149="",H149="",C149=""),"",H149-7*VLOOKUP(C149,Plazos!$A$6:$F$8,5,FALSE))</f>
        <v/>
      </c>
      <c r="M149" s="30">
        <f>IF(OR(B149="",H149="",C149=""),"",H149-7*VLOOKUP(C149,Plazos!$A$6:$F$8,6,FALSE))</f>
        <v/>
      </c>
      <c r="N149" s="29" t="n"/>
      <c r="O149" s="28" t="n"/>
      <c r="P149" s="25" t="n"/>
      <c r="Q149" s="31">
        <f>IF(OR(B149="",M149=""),"",IF(N149&lt;&gt;"",MAX(0,N149-M149),MAX(0,$B$3-M149)))</f>
        <v/>
      </c>
      <c r="R149" s="26">
        <f>IF(OR(B149="",M149=""),"",IF(N149&lt;&gt;"",IF(Q149&gt;0,"Liberado con atraso","Liberado a tiempo"),IF($B$3&gt;M149,"Vencido sin liberar",IF(M149-$B$3&lt;=14,"Próximo a liberar","En plazo"))))</f>
        <v/>
      </c>
      <c r="S149" s="27" t="n"/>
    </row>
    <row r="150">
      <c r="A150" s="24" t="n"/>
      <c r="B150" s="25" t="n"/>
      <c r="C150" s="25" t="n"/>
      <c r="D150" s="26">
        <f>IF(B150="","","CWP"&amp;MID(B150,4,12))</f>
        <v/>
      </c>
      <c r="E150" s="27" t="n"/>
      <c r="F150" s="25" t="n"/>
      <c r="G150" s="28" t="n"/>
      <c r="H150" s="29" t="n"/>
      <c r="I150" s="30">
        <f>IF(OR(B150="",H150="",C150=""),"",H150-7*VLOOKUP(C150,Plazos!$A$6:$F$8,2,FALSE))</f>
        <v/>
      </c>
      <c r="J150" s="30">
        <f>IF(OR(B150="",H150="",C150=""),"",H150-7*VLOOKUP(C150,Plazos!$A$6:$F$8,3,FALSE))</f>
        <v/>
      </c>
      <c r="K150" s="30">
        <f>IF(OR(B150="",H150="",C150=""),"",H150-7*VLOOKUP(C150,Plazos!$A$6:$F$8,4,FALSE))</f>
        <v/>
      </c>
      <c r="L150" s="30">
        <f>IF(OR(B150="",H150="",C150=""),"",H150-7*VLOOKUP(C150,Plazos!$A$6:$F$8,5,FALSE))</f>
        <v/>
      </c>
      <c r="M150" s="30">
        <f>IF(OR(B150="",H150="",C150=""),"",H150-7*VLOOKUP(C150,Plazos!$A$6:$F$8,6,FALSE))</f>
        <v/>
      </c>
      <c r="N150" s="29" t="n"/>
      <c r="O150" s="28" t="n"/>
      <c r="P150" s="25" t="n"/>
      <c r="Q150" s="31">
        <f>IF(OR(B150="",M150=""),"",IF(N150&lt;&gt;"",MAX(0,N150-M150),MAX(0,$B$3-M150)))</f>
        <v/>
      </c>
      <c r="R150" s="26">
        <f>IF(OR(B150="",M150=""),"",IF(N150&lt;&gt;"",IF(Q150&gt;0,"Liberado con atraso","Liberado a tiempo"),IF($B$3&gt;M150,"Vencido sin liberar",IF(M150-$B$3&lt;=14,"Próximo a liberar","En plazo"))))</f>
        <v/>
      </c>
      <c r="S150" s="27" t="n"/>
    </row>
    <row r="151">
      <c r="A151" s="24" t="n"/>
      <c r="B151" s="25" t="n"/>
      <c r="C151" s="25" t="n"/>
      <c r="D151" s="26">
        <f>IF(B151="","","CWP"&amp;MID(B151,4,12))</f>
        <v/>
      </c>
      <c r="E151" s="27" t="n"/>
      <c r="F151" s="25" t="n"/>
      <c r="G151" s="28" t="n"/>
      <c r="H151" s="29" t="n"/>
      <c r="I151" s="30">
        <f>IF(OR(B151="",H151="",C151=""),"",H151-7*VLOOKUP(C151,Plazos!$A$6:$F$8,2,FALSE))</f>
        <v/>
      </c>
      <c r="J151" s="30">
        <f>IF(OR(B151="",H151="",C151=""),"",H151-7*VLOOKUP(C151,Plazos!$A$6:$F$8,3,FALSE))</f>
        <v/>
      </c>
      <c r="K151" s="30">
        <f>IF(OR(B151="",H151="",C151=""),"",H151-7*VLOOKUP(C151,Plazos!$A$6:$F$8,4,FALSE))</f>
        <v/>
      </c>
      <c r="L151" s="30">
        <f>IF(OR(B151="",H151="",C151=""),"",H151-7*VLOOKUP(C151,Plazos!$A$6:$F$8,5,FALSE))</f>
        <v/>
      </c>
      <c r="M151" s="30">
        <f>IF(OR(B151="",H151="",C151=""),"",H151-7*VLOOKUP(C151,Plazos!$A$6:$F$8,6,FALSE))</f>
        <v/>
      </c>
      <c r="N151" s="29" t="n"/>
      <c r="O151" s="28" t="n"/>
      <c r="P151" s="25" t="n"/>
      <c r="Q151" s="31">
        <f>IF(OR(B151="",M151=""),"",IF(N151&lt;&gt;"",MAX(0,N151-M151),MAX(0,$B$3-M151)))</f>
        <v/>
      </c>
      <c r="R151" s="26">
        <f>IF(OR(B151="",M151=""),"",IF(N151&lt;&gt;"",IF(Q151&gt;0,"Liberado con atraso","Liberado a tiempo"),IF($B$3&gt;M151,"Vencido sin liberar",IF(M151-$B$3&lt;=14,"Próximo a liberar","En plazo"))))</f>
        <v/>
      </c>
      <c r="S151" s="27" t="n"/>
    </row>
    <row r="152">
      <c r="A152" s="24" t="n"/>
      <c r="B152" s="25" t="n"/>
      <c r="C152" s="25" t="n"/>
      <c r="D152" s="26">
        <f>IF(B152="","","CWP"&amp;MID(B152,4,12))</f>
        <v/>
      </c>
      <c r="E152" s="27" t="n"/>
      <c r="F152" s="25" t="n"/>
      <c r="G152" s="28" t="n"/>
      <c r="H152" s="29" t="n"/>
      <c r="I152" s="30">
        <f>IF(OR(B152="",H152="",C152=""),"",H152-7*VLOOKUP(C152,Plazos!$A$6:$F$8,2,FALSE))</f>
        <v/>
      </c>
      <c r="J152" s="30">
        <f>IF(OR(B152="",H152="",C152=""),"",H152-7*VLOOKUP(C152,Plazos!$A$6:$F$8,3,FALSE))</f>
        <v/>
      </c>
      <c r="K152" s="30">
        <f>IF(OR(B152="",H152="",C152=""),"",H152-7*VLOOKUP(C152,Plazos!$A$6:$F$8,4,FALSE))</f>
        <v/>
      </c>
      <c r="L152" s="30">
        <f>IF(OR(B152="",H152="",C152=""),"",H152-7*VLOOKUP(C152,Plazos!$A$6:$F$8,5,FALSE))</f>
        <v/>
      </c>
      <c r="M152" s="30">
        <f>IF(OR(B152="",H152="",C152=""),"",H152-7*VLOOKUP(C152,Plazos!$A$6:$F$8,6,FALSE))</f>
        <v/>
      </c>
      <c r="N152" s="29" t="n"/>
      <c r="O152" s="28" t="n"/>
      <c r="P152" s="25" t="n"/>
      <c r="Q152" s="31">
        <f>IF(OR(B152="",M152=""),"",IF(N152&lt;&gt;"",MAX(0,N152-M152),MAX(0,$B$3-M152)))</f>
        <v/>
      </c>
      <c r="R152" s="26">
        <f>IF(OR(B152="",M152=""),"",IF(N152&lt;&gt;"",IF(Q152&gt;0,"Liberado con atraso","Liberado a tiempo"),IF($B$3&gt;M152,"Vencido sin liberar",IF(M152-$B$3&lt;=14,"Próximo a liberar","En plazo"))))</f>
        <v/>
      </c>
      <c r="S152" s="27" t="n"/>
    </row>
    <row r="153">
      <c r="A153" s="24" t="n"/>
      <c r="B153" s="25" t="n"/>
      <c r="C153" s="25" t="n"/>
      <c r="D153" s="26">
        <f>IF(B153="","","CWP"&amp;MID(B153,4,12))</f>
        <v/>
      </c>
      <c r="E153" s="27" t="n"/>
      <c r="F153" s="25" t="n"/>
      <c r="G153" s="28" t="n"/>
      <c r="H153" s="29" t="n"/>
      <c r="I153" s="30">
        <f>IF(OR(B153="",H153="",C153=""),"",H153-7*VLOOKUP(C153,Plazos!$A$6:$F$8,2,FALSE))</f>
        <v/>
      </c>
      <c r="J153" s="30">
        <f>IF(OR(B153="",H153="",C153=""),"",H153-7*VLOOKUP(C153,Plazos!$A$6:$F$8,3,FALSE))</f>
        <v/>
      </c>
      <c r="K153" s="30">
        <f>IF(OR(B153="",H153="",C153=""),"",H153-7*VLOOKUP(C153,Plazos!$A$6:$F$8,4,FALSE))</f>
        <v/>
      </c>
      <c r="L153" s="30">
        <f>IF(OR(B153="",H153="",C153=""),"",H153-7*VLOOKUP(C153,Plazos!$A$6:$F$8,5,FALSE))</f>
        <v/>
      </c>
      <c r="M153" s="30">
        <f>IF(OR(B153="",H153="",C153=""),"",H153-7*VLOOKUP(C153,Plazos!$A$6:$F$8,6,FALSE))</f>
        <v/>
      </c>
      <c r="N153" s="29" t="n"/>
      <c r="O153" s="28" t="n"/>
      <c r="P153" s="25" t="n"/>
      <c r="Q153" s="31">
        <f>IF(OR(B153="",M153=""),"",IF(N153&lt;&gt;"",MAX(0,N153-M153),MAX(0,$B$3-M153)))</f>
        <v/>
      </c>
      <c r="R153" s="26">
        <f>IF(OR(B153="",M153=""),"",IF(N153&lt;&gt;"",IF(Q153&gt;0,"Liberado con atraso","Liberado a tiempo"),IF($B$3&gt;M153,"Vencido sin liberar",IF(M153-$B$3&lt;=14,"Próximo a liberar","En plazo"))))</f>
        <v/>
      </c>
      <c r="S153" s="27" t="n"/>
    </row>
    <row r="154">
      <c r="A154" s="24" t="n"/>
      <c r="B154" s="25" t="n"/>
      <c r="C154" s="25" t="n"/>
      <c r="D154" s="26">
        <f>IF(B154="","","CWP"&amp;MID(B154,4,12))</f>
        <v/>
      </c>
      <c r="E154" s="27" t="n"/>
      <c r="F154" s="25" t="n"/>
      <c r="G154" s="28" t="n"/>
      <c r="H154" s="29" t="n"/>
      <c r="I154" s="30">
        <f>IF(OR(B154="",H154="",C154=""),"",H154-7*VLOOKUP(C154,Plazos!$A$6:$F$8,2,FALSE))</f>
        <v/>
      </c>
      <c r="J154" s="30">
        <f>IF(OR(B154="",H154="",C154=""),"",H154-7*VLOOKUP(C154,Plazos!$A$6:$F$8,3,FALSE))</f>
        <v/>
      </c>
      <c r="K154" s="30">
        <f>IF(OR(B154="",H154="",C154=""),"",H154-7*VLOOKUP(C154,Plazos!$A$6:$F$8,4,FALSE))</f>
        <v/>
      </c>
      <c r="L154" s="30">
        <f>IF(OR(B154="",H154="",C154=""),"",H154-7*VLOOKUP(C154,Plazos!$A$6:$F$8,5,FALSE))</f>
        <v/>
      </c>
      <c r="M154" s="30">
        <f>IF(OR(B154="",H154="",C154=""),"",H154-7*VLOOKUP(C154,Plazos!$A$6:$F$8,6,FALSE))</f>
        <v/>
      </c>
      <c r="N154" s="29" t="n"/>
      <c r="O154" s="28" t="n"/>
      <c r="P154" s="25" t="n"/>
      <c r="Q154" s="31">
        <f>IF(OR(B154="",M154=""),"",IF(N154&lt;&gt;"",MAX(0,N154-M154),MAX(0,$B$3-M154)))</f>
        <v/>
      </c>
      <c r="R154" s="26">
        <f>IF(OR(B154="",M154=""),"",IF(N154&lt;&gt;"",IF(Q154&gt;0,"Liberado con atraso","Liberado a tiempo"),IF($B$3&gt;M154,"Vencido sin liberar",IF(M154-$B$3&lt;=14,"Próximo a liberar","En plazo"))))</f>
        <v/>
      </c>
      <c r="S154" s="27" t="n"/>
    </row>
    <row r="155">
      <c r="A155" s="24" t="n"/>
      <c r="B155" s="25" t="n"/>
      <c r="C155" s="25" t="n"/>
      <c r="D155" s="26">
        <f>IF(B155="","","CWP"&amp;MID(B155,4,12))</f>
        <v/>
      </c>
      <c r="E155" s="27" t="n"/>
      <c r="F155" s="25" t="n"/>
      <c r="G155" s="28" t="n"/>
      <c r="H155" s="29" t="n"/>
      <c r="I155" s="30">
        <f>IF(OR(B155="",H155="",C155=""),"",H155-7*VLOOKUP(C155,Plazos!$A$6:$F$8,2,FALSE))</f>
        <v/>
      </c>
      <c r="J155" s="30">
        <f>IF(OR(B155="",H155="",C155=""),"",H155-7*VLOOKUP(C155,Plazos!$A$6:$F$8,3,FALSE))</f>
        <v/>
      </c>
      <c r="K155" s="30">
        <f>IF(OR(B155="",H155="",C155=""),"",H155-7*VLOOKUP(C155,Plazos!$A$6:$F$8,4,FALSE))</f>
        <v/>
      </c>
      <c r="L155" s="30">
        <f>IF(OR(B155="",H155="",C155=""),"",H155-7*VLOOKUP(C155,Plazos!$A$6:$F$8,5,FALSE))</f>
        <v/>
      </c>
      <c r="M155" s="30">
        <f>IF(OR(B155="",H155="",C155=""),"",H155-7*VLOOKUP(C155,Plazos!$A$6:$F$8,6,FALSE))</f>
        <v/>
      </c>
      <c r="N155" s="29" t="n"/>
      <c r="O155" s="28" t="n"/>
      <c r="P155" s="25" t="n"/>
      <c r="Q155" s="31">
        <f>IF(OR(B155="",M155=""),"",IF(N155&lt;&gt;"",MAX(0,N155-M155),MAX(0,$B$3-M155)))</f>
        <v/>
      </c>
      <c r="R155" s="26">
        <f>IF(OR(B155="",M155=""),"",IF(N155&lt;&gt;"",IF(Q155&gt;0,"Liberado con atraso","Liberado a tiempo"),IF($B$3&gt;M155,"Vencido sin liberar",IF(M155-$B$3&lt;=14,"Próximo a liberar","En plazo"))))</f>
        <v/>
      </c>
      <c r="S155" s="27" t="n"/>
    </row>
    <row r="156">
      <c r="A156" s="24" t="n"/>
      <c r="B156" s="25" t="n"/>
      <c r="C156" s="25" t="n"/>
      <c r="D156" s="26">
        <f>IF(B156="","","CWP"&amp;MID(B156,4,12))</f>
        <v/>
      </c>
      <c r="E156" s="27" t="n"/>
      <c r="F156" s="25" t="n"/>
      <c r="G156" s="28" t="n"/>
      <c r="H156" s="29" t="n"/>
      <c r="I156" s="30">
        <f>IF(OR(B156="",H156="",C156=""),"",H156-7*VLOOKUP(C156,Plazos!$A$6:$F$8,2,FALSE))</f>
        <v/>
      </c>
      <c r="J156" s="30">
        <f>IF(OR(B156="",H156="",C156=""),"",H156-7*VLOOKUP(C156,Plazos!$A$6:$F$8,3,FALSE))</f>
        <v/>
      </c>
      <c r="K156" s="30">
        <f>IF(OR(B156="",H156="",C156=""),"",H156-7*VLOOKUP(C156,Plazos!$A$6:$F$8,4,FALSE))</f>
        <v/>
      </c>
      <c r="L156" s="30">
        <f>IF(OR(B156="",H156="",C156=""),"",H156-7*VLOOKUP(C156,Plazos!$A$6:$F$8,5,FALSE))</f>
        <v/>
      </c>
      <c r="M156" s="30">
        <f>IF(OR(B156="",H156="",C156=""),"",H156-7*VLOOKUP(C156,Plazos!$A$6:$F$8,6,FALSE))</f>
        <v/>
      </c>
      <c r="N156" s="29" t="n"/>
      <c r="O156" s="28" t="n"/>
      <c r="P156" s="25" t="n"/>
      <c r="Q156" s="31">
        <f>IF(OR(B156="",M156=""),"",IF(N156&lt;&gt;"",MAX(0,N156-M156),MAX(0,$B$3-M156)))</f>
        <v/>
      </c>
      <c r="R156" s="26">
        <f>IF(OR(B156="",M156=""),"",IF(N156&lt;&gt;"",IF(Q156&gt;0,"Liberado con atraso","Liberado a tiempo"),IF($B$3&gt;M156,"Vencido sin liberar",IF(M156-$B$3&lt;=14,"Próximo a liberar","En plazo"))))</f>
        <v/>
      </c>
      <c r="S156" s="27" t="n"/>
    </row>
    <row r="157">
      <c r="A157" s="24" t="n"/>
      <c r="B157" s="25" t="n"/>
      <c r="C157" s="25" t="n"/>
      <c r="D157" s="26">
        <f>IF(B157="","","CWP"&amp;MID(B157,4,12))</f>
        <v/>
      </c>
      <c r="E157" s="27" t="n"/>
      <c r="F157" s="25" t="n"/>
      <c r="G157" s="28" t="n"/>
      <c r="H157" s="29" t="n"/>
      <c r="I157" s="30">
        <f>IF(OR(B157="",H157="",C157=""),"",H157-7*VLOOKUP(C157,Plazos!$A$6:$F$8,2,FALSE))</f>
        <v/>
      </c>
      <c r="J157" s="30">
        <f>IF(OR(B157="",H157="",C157=""),"",H157-7*VLOOKUP(C157,Plazos!$A$6:$F$8,3,FALSE))</f>
        <v/>
      </c>
      <c r="K157" s="30">
        <f>IF(OR(B157="",H157="",C157=""),"",H157-7*VLOOKUP(C157,Plazos!$A$6:$F$8,4,FALSE))</f>
        <v/>
      </c>
      <c r="L157" s="30">
        <f>IF(OR(B157="",H157="",C157=""),"",H157-7*VLOOKUP(C157,Plazos!$A$6:$F$8,5,FALSE))</f>
        <v/>
      </c>
      <c r="M157" s="30">
        <f>IF(OR(B157="",H157="",C157=""),"",H157-7*VLOOKUP(C157,Plazos!$A$6:$F$8,6,FALSE))</f>
        <v/>
      </c>
      <c r="N157" s="29" t="n"/>
      <c r="O157" s="28" t="n"/>
      <c r="P157" s="25" t="n"/>
      <c r="Q157" s="31">
        <f>IF(OR(B157="",M157=""),"",IF(N157&lt;&gt;"",MAX(0,N157-M157),MAX(0,$B$3-M157)))</f>
        <v/>
      </c>
      <c r="R157" s="26">
        <f>IF(OR(B157="",M157=""),"",IF(N157&lt;&gt;"",IF(Q157&gt;0,"Liberado con atraso","Liberado a tiempo"),IF($B$3&gt;M157,"Vencido sin liberar",IF(M157-$B$3&lt;=14,"Próximo a liberar","En plazo"))))</f>
        <v/>
      </c>
      <c r="S157" s="27" t="n"/>
    </row>
    <row r="158">
      <c r="A158" s="24" t="n"/>
      <c r="B158" s="25" t="n"/>
      <c r="C158" s="25" t="n"/>
      <c r="D158" s="26">
        <f>IF(B158="","","CWP"&amp;MID(B158,4,12))</f>
        <v/>
      </c>
      <c r="E158" s="27" t="n"/>
      <c r="F158" s="25" t="n"/>
      <c r="G158" s="28" t="n"/>
      <c r="H158" s="29" t="n"/>
      <c r="I158" s="30">
        <f>IF(OR(B158="",H158="",C158=""),"",H158-7*VLOOKUP(C158,Plazos!$A$6:$F$8,2,FALSE))</f>
        <v/>
      </c>
      <c r="J158" s="30">
        <f>IF(OR(B158="",H158="",C158=""),"",H158-7*VLOOKUP(C158,Plazos!$A$6:$F$8,3,FALSE))</f>
        <v/>
      </c>
      <c r="K158" s="30">
        <f>IF(OR(B158="",H158="",C158=""),"",H158-7*VLOOKUP(C158,Plazos!$A$6:$F$8,4,FALSE))</f>
        <v/>
      </c>
      <c r="L158" s="30">
        <f>IF(OR(B158="",H158="",C158=""),"",H158-7*VLOOKUP(C158,Plazos!$A$6:$F$8,5,FALSE))</f>
        <v/>
      </c>
      <c r="M158" s="30">
        <f>IF(OR(B158="",H158="",C158=""),"",H158-7*VLOOKUP(C158,Plazos!$A$6:$F$8,6,FALSE))</f>
        <v/>
      </c>
      <c r="N158" s="29" t="n"/>
      <c r="O158" s="28" t="n"/>
      <c r="P158" s="25" t="n"/>
      <c r="Q158" s="31">
        <f>IF(OR(B158="",M158=""),"",IF(N158&lt;&gt;"",MAX(0,N158-M158),MAX(0,$B$3-M158)))</f>
        <v/>
      </c>
      <c r="R158" s="26">
        <f>IF(OR(B158="",M158=""),"",IF(N158&lt;&gt;"",IF(Q158&gt;0,"Liberado con atraso","Liberado a tiempo"),IF($B$3&gt;M158,"Vencido sin liberar",IF(M158-$B$3&lt;=14,"Próximo a liberar","En plazo"))))</f>
        <v/>
      </c>
      <c r="S158" s="27" t="n"/>
    </row>
    <row r="159">
      <c r="A159" s="24" t="n"/>
      <c r="B159" s="25" t="n"/>
      <c r="C159" s="25" t="n"/>
      <c r="D159" s="26">
        <f>IF(B159="","","CWP"&amp;MID(B159,4,12))</f>
        <v/>
      </c>
      <c r="E159" s="27" t="n"/>
      <c r="F159" s="25" t="n"/>
      <c r="G159" s="28" t="n"/>
      <c r="H159" s="29" t="n"/>
      <c r="I159" s="30">
        <f>IF(OR(B159="",H159="",C159=""),"",H159-7*VLOOKUP(C159,Plazos!$A$6:$F$8,2,FALSE))</f>
        <v/>
      </c>
      <c r="J159" s="30">
        <f>IF(OR(B159="",H159="",C159=""),"",H159-7*VLOOKUP(C159,Plazos!$A$6:$F$8,3,FALSE))</f>
        <v/>
      </c>
      <c r="K159" s="30">
        <f>IF(OR(B159="",H159="",C159=""),"",H159-7*VLOOKUP(C159,Plazos!$A$6:$F$8,4,FALSE))</f>
        <v/>
      </c>
      <c r="L159" s="30">
        <f>IF(OR(B159="",H159="",C159=""),"",H159-7*VLOOKUP(C159,Plazos!$A$6:$F$8,5,FALSE))</f>
        <v/>
      </c>
      <c r="M159" s="30">
        <f>IF(OR(B159="",H159="",C159=""),"",H159-7*VLOOKUP(C159,Plazos!$A$6:$F$8,6,FALSE))</f>
        <v/>
      </c>
      <c r="N159" s="29" t="n"/>
      <c r="O159" s="28" t="n"/>
      <c r="P159" s="25" t="n"/>
      <c r="Q159" s="31">
        <f>IF(OR(B159="",M159=""),"",IF(N159&lt;&gt;"",MAX(0,N159-M159),MAX(0,$B$3-M159)))</f>
        <v/>
      </c>
      <c r="R159" s="26">
        <f>IF(OR(B159="",M159=""),"",IF(N159&lt;&gt;"",IF(Q159&gt;0,"Liberado con atraso","Liberado a tiempo"),IF($B$3&gt;M159,"Vencido sin liberar",IF(M159-$B$3&lt;=14,"Próximo a liberar","En plazo"))))</f>
        <v/>
      </c>
      <c r="S159" s="27" t="n"/>
    </row>
    <row r="160">
      <c r="A160" s="24" t="n"/>
      <c r="B160" s="25" t="n"/>
      <c r="C160" s="25" t="n"/>
      <c r="D160" s="26">
        <f>IF(B160="","","CWP"&amp;MID(B160,4,12))</f>
        <v/>
      </c>
      <c r="E160" s="27" t="n"/>
      <c r="F160" s="25" t="n"/>
      <c r="G160" s="28" t="n"/>
      <c r="H160" s="29" t="n"/>
      <c r="I160" s="30">
        <f>IF(OR(B160="",H160="",C160=""),"",H160-7*VLOOKUP(C160,Plazos!$A$6:$F$8,2,FALSE))</f>
        <v/>
      </c>
      <c r="J160" s="30">
        <f>IF(OR(B160="",H160="",C160=""),"",H160-7*VLOOKUP(C160,Plazos!$A$6:$F$8,3,FALSE))</f>
        <v/>
      </c>
      <c r="K160" s="30">
        <f>IF(OR(B160="",H160="",C160=""),"",H160-7*VLOOKUP(C160,Plazos!$A$6:$F$8,4,FALSE))</f>
        <v/>
      </c>
      <c r="L160" s="30">
        <f>IF(OR(B160="",H160="",C160=""),"",H160-7*VLOOKUP(C160,Plazos!$A$6:$F$8,5,FALSE))</f>
        <v/>
      </c>
      <c r="M160" s="30">
        <f>IF(OR(B160="",H160="",C160=""),"",H160-7*VLOOKUP(C160,Plazos!$A$6:$F$8,6,FALSE))</f>
        <v/>
      </c>
      <c r="N160" s="29" t="n"/>
      <c r="O160" s="28" t="n"/>
      <c r="P160" s="25" t="n"/>
      <c r="Q160" s="31">
        <f>IF(OR(B160="",M160=""),"",IF(N160&lt;&gt;"",MAX(0,N160-M160),MAX(0,$B$3-M160)))</f>
        <v/>
      </c>
      <c r="R160" s="26">
        <f>IF(OR(B160="",M160=""),"",IF(N160&lt;&gt;"",IF(Q160&gt;0,"Liberado con atraso","Liberado a tiempo"),IF($B$3&gt;M160,"Vencido sin liberar",IF(M160-$B$3&lt;=14,"Próximo a liberar","En plazo"))))</f>
        <v/>
      </c>
      <c r="S160" s="27" t="n"/>
    </row>
    <row r="161">
      <c r="A161" s="24" t="n"/>
      <c r="B161" s="25" t="n"/>
      <c r="C161" s="25" t="n"/>
      <c r="D161" s="26">
        <f>IF(B161="","","CWP"&amp;MID(B161,4,12))</f>
        <v/>
      </c>
      <c r="E161" s="27" t="n"/>
      <c r="F161" s="25" t="n"/>
      <c r="G161" s="28" t="n"/>
      <c r="H161" s="29" t="n"/>
      <c r="I161" s="30">
        <f>IF(OR(B161="",H161="",C161=""),"",H161-7*VLOOKUP(C161,Plazos!$A$6:$F$8,2,FALSE))</f>
        <v/>
      </c>
      <c r="J161" s="30">
        <f>IF(OR(B161="",H161="",C161=""),"",H161-7*VLOOKUP(C161,Plazos!$A$6:$F$8,3,FALSE))</f>
        <v/>
      </c>
      <c r="K161" s="30">
        <f>IF(OR(B161="",H161="",C161=""),"",H161-7*VLOOKUP(C161,Plazos!$A$6:$F$8,4,FALSE))</f>
        <v/>
      </c>
      <c r="L161" s="30">
        <f>IF(OR(B161="",H161="",C161=""),"",H161-7*VLOOKUP(C161,Plazos!$A$6:$F$8,5,FALSE))</f>
        <v/>
      </c>
      <c r="M161" s="30">
        <f>IF(OR(B161="",H161="",C161=""),"",H161-7*VLOOKUP(C161,Plazos!$A$6:$F$8,6,FALSE))</f>
        <v/>
      </c>
      <c r="N161" s="29" t="n"/>
      <c r="O161" s="28" t="n"/>
      <c r="P161" s="25" t="n"/>
      <c r="Q161" s="31">
        <f>IF(OR(B161="",M161=""),"",IF(N161&lt;&gt;"",MAX(0,N161-M161),MAX(0,$B$3-M161)))</f>
        <v/>
      </c>
      <c r="R161" s="26">
        <f>IF(OR(B161="",M161=""),"",IF(N161&lt;&gt;"",IF(Q161&gt;0,"Liberado con atraso","Liberado a tiempo"),IF($B$3&gt;M161,"Vencido sin liberar",IF(M161-$B$3&lt;=14,"Próximo a liberar","En plazo"))))</f>
        <v/>
      </c>
      <c r="S161" s="27" t="n"/>
    </row>
    <row r="162">
      <c r="A162" s="24" t="n"/>
      <c r="B162" s="25" t="n"/>
      <c r="C162" s="25" t="n"/>
      <c r="D162" s="26">
        <f>IF(B162="","","CWP"&amp;MID(B162,4,12))</f>
        <v/>
      </c>
      <c r="E162" s="27" t="n"/>
      <c r="F162" s="25" t="n"/>
      <c r="G162" s="28" t="n"/>
      <c r="H162" s="29" t="n"/>
      <c r="I162" s="30">
        <f>IF(OR(B162="",H162="",C162=""),"",H162-7*VLOOKUP(C162,Plazos!$A$6:$F$8,2,FALSE))</f>
        <v/>
      </c>
      <c r="J162" s="30">
        <f>IF(OR(B162="",H162="",C162=""),"",H162-7*VLOOKUP(C162,Plazos!$A$6:$F$8,3,FALSE))</f>
        <v/>
      </c>
      <c r="K162" s="30">
        <f>IF(OR(B162="",H162="",C162=""),"",H162-7*VLOOKUP(C162,Plazos!$A$6:$F$8,4,FALSE))</f>
        <v/>
      </c>
      <c r="L162" s="30">
        <f>IF(OR(B162="",H162="",C162=""),"",H162-7*VLOOKUP(C162,Plazos!$A$6:$F$8,5,FALSE))</f>
        <v/>
      </c>
      <c r="M162" s="30">
        <f>IF(OR(B162="",H162="",C162=""),"",H162-7*VLOOKUP(C162,Plazos!$A$6:$F$8,6,FALSE))</f>
        <v/>
      </c>
      <c r="N162" s="29" t="n"/>
      <c r="O162" s="28" t="n"/>
      <c r="P162" s="25" t="n"/>
      <c r="Q162" s="31">
        <f>IF(OR(B162="",M162=""),"",IF(N162&lt;&gt;"",MAX(0,N162-M162),MAX(0,$B$3-M162)))</f>
        <v/>
      </c>
      <c r="R162" s="26">
        <f>IF(OR(B162="",M162=""),"",IF(N162&lt;&gt;"",IF(Q162&gt;0,"Liberado con atraso","Liberado a tiempo"),IF($B$3&gt;M162,"Vencido sin liberar",IF(M162-$B$3&lt;=14,"Próximo a liberar","En plazo"))))</f>
        <v/>
      </c>
      <c r="S162" s="27" t="n"/>
    </row>
    <row r="163">
      <c r="A163" s="24" t="n"/>
      <c r="B163" s="25" t="n"/>
      <c r="C163" s="25" t="n"/>
      <c r="D163" s="26">
        <f>IF(B163="","","CWP"&amp;MID(B163,4,12))</f>
        <v/>
      </c>
      <c r="E163" s="27" t="n"/>
      <c r="F163" s="25" t="n"/>
      <c r="G163" s="28" t="n"/>
      <c r="H163" s="29" t="n"/>
      <c r="I163" s="30">
        <f>IF(OR(B163="",H163="",C163=""),"",H163-7*VLOOKUP(C163,Plazos!$A$6:$F$8,2,FALSE))</f>
        <v/>
      </c>
      <c r="J163" s="30">
        <f>IF(OR(B163="",H163="",C163=""),"",H163-7*VLOOKUP(C163,Plazos!$A$6:$F$8,3,FALSE))</f>
        <v/>
      </c>
      <c r="K163" s="30">
        <f>IF(OR(B163="",H163="",C163=""),"",H163-7*VLOOKUP(C163,Plazos!$A$6:$F$8,4,FALSE))</f>
        <v/>
      </c>
      <c r="L163" s="30">
        <f>IF(OR(B163="",H163="",C163=""),"",H163-7*VLOOKUP(C163,Plazos!$A$6:$F$8,5,FALSE))</f>
        <v/>
      </c>
      <c r="M163" s="30">
        <f>IF(OR(B163="",H163="",C163=""),"",H163-7*VLOOKUP(C163,Plazos!$A$6:$F$8,6,FALSE))</f>
        <v/>
      </c>
      <c r="N163" s="29" t="n"/>
      <c r="O163" s="28" t="n"/>
      <c r="P163" s="25" t="n"/>
      <c r="Q163" s="31">
        <f>IF(OR(B163="",M163=""),"",IF(N163&lt;&gt;"",MAX(0,N163-M163),MAX(0,$B$3-M163)))</f>
        <v/>
      </c>
      <c r="R163" s="26">
        <f>IF(OR(B163="",M163=""),"",IF(N163&lt;&gt;"",IF(Q163&gt;0,"Liberado con atraso","Liberado a tiempo"),IF($B$3&gt;M163,"Vencido sin liberar",IF(M163-$B$3&lt;=14,"Próximo a liberar","En plazo"))))</f>
        <v/>
      </c>
      <c r="S163" s="27" t="n"/>
    </row>
    <row r="164">
      <c r="A164" s="24" t="n"/>
      <c r="B164" s="25" t="n"/>
      <c r="C164" s="25" t="n"/>
      <c r="D164" s="26">
        <f>IF(B164="","","CWP"&amp;MID(B164,4,12))</f>
        <v/>
      </c>
      <c r="E164" s="27" t="n"/>
      <c r="F164" s="25" t="n"/>
      <c r="G164" s="28" t="n"/>
      <c r="H164" s="29" t="n"/>
      <c r="I164" s="30">
        <f>IF(OR(B164="",H164="",C164=""),"",H164-7*VLOOKUP(C164,Plazos!$A$6:$F$8,2,FALSE))</f>
        <v/>
      </c>
      <c r="J164" s="30">
        <f>IF(OR(B164="",H164="",C164=""),"",H164-7*VLOOKUP(C164,Plazos!$A$6:$F$8,3,FALSE))</f>
        <v/>
      </c>
      <c r="K164" s="30">
        <f>IF(OR(B164="",H164="",C164=""),"",H164-7*VLOOKUP(C164,Plazos!$A$6:$F$8,4,FALSE))</f>
        <v/>
      </c>
      <c r="L164" s="30">
        <f>IF(OR(B164="",H164="",C164=""),"",H164-7*VLOOKUP(C164,Plazos!$A$6:$F$8,5,FALSE))</f>
        <v/>
      </c>
      <c r="M164" s="30">
        <f>IF(OR(B164="",H164="",C164=""),"",H164-7*VLOOKUP(C164,Plazos!$A$6:$F$8,6,FALSE))</f>
        <v/>
      </c>
      <c r="N164" s="29" t="n"/>
      <c r="O164" s="28" t="n"/>
      <c r="P164" s="25" t="n"/>
      <c r="Q164" s="31">
        <f>IF(OR(B164="",M164=""),"",IF(N164&lt;&gt;"",MAX(0,N164-M164),MAX(0,$B$3-M164)))</f>
        <v/>
      </c>
      <c r="R164" s="26">
        <f>IF(OR(B164="",M164=""),"",IF(N164&lt;&gt;"",IF(Q164&gt;0,"Liberado con atraso","Liberado a tiempo"),IF($B$3&gt;M164,"Vencido sin liberar",IF(M164-$B$3&lt;=14,"Próximo a liberar","En plazo"))))</f>
        <v/>
      </c>
      <c r="S164" s="27" t="n"/>
    </row>
    <row r="165">
      <c r="A165" s="24" t="n"/>
      <c r="B165" s="25" t="n"/>
      <c r="C165" s="25" t="n"/>
      <c r="D165" s="26">
        <f>IF(B165="","","CWP"&amp;MID(B165,4,12))</f>
        <v/>
      </c>
      <c r="E165" s="27" t="n"/>
      <c r="F165" s="25" t="n"/>
      <c r="G165" s="28" t="n"/>
      <c r="H165" s="29" t="n"/>
      <c r="I165" s="30">
        <f>IF(OR(B165="",H165="",C165=""),"",H165-7*VLOOKUP(C165,Plazos!$A$6:$F$8,2,FALSE))</f>
        <v/>
      </c>
      <c r="J165" s="30">
        <f>IF(OR(B165="",H165="",C165=""),"",H165-7*VLOOKUP(C165,Plazos!$A$6:$F$8,3,FALSE))</f>
        <v/>
      </c>
      <c r="K165" s="30">
        <f>IF(OR(B165="",H165="",C165=""),"",H165-7*VLOOKUP(C165,Plazos!$A$6:$F$8,4,FALSE))</f>
        <v/>
      </c>
      <c r="L165" s="30">
        <f>IF(OR(B165="",H165="",C165=""),"",H165-7*VLOOKUP(C165,Plazos!$A$6:$F$8,5,FALSE))</f>
        <v/>
      </c>
      <c r="M165" s="30">
        <f>IF(OR(B165="",H165="",C165=""),"",H165-7*VLOOKUP(C165,Plazos!$A$6:$F$8,6,FALSE))</f>
        <v/>
      </c>
      <c r="N165" s="29" t="n"/>
      <c r="O165" s="28" t="n"/>
      <c r="P165" s="25" t="n"/>
      <c r="Q165" s="31">
        <f>IF(OR(B165="",M165=""),"",IF(N165&lt;&gt;"",MAX(0,N165-M165),MAX(0,$B$3-M165)))</f>
        <v/>
      </c>
      <c r="R165" s="26">
        <f>IF(OR(B165="",M165=""),"",IF(N165&lt;&gt;"",IF(Q165&gt;0,"Liberado con atraso","Liberado a tiempo"),IF($B$3&gt;M165,"Vencido sin liberar",IF(M165-$B$3&lt;=14,"Próximo a liberar","En plazo"))))</f>
        <v/>
      </c>
      <c r="S165" s="27" t="n"/>
    </row>
    <row r="166">
      <c r="A166" s="24" t="n"/>
      <c r="B166" s="25" t="n"/>
      <c r="C166" s="25" t="n"/>
      <c r="D166" s="26">
        <f>IF(B166="","","CWP"&amp;MID(B166,4,12))</f>
        <v/>
      </c>
      <c r="E166" s="27" t="n"/>
      <c r="F166" s="25" t="n"/>
      <c r="G166" s="28" t="n"/>
      <c r="H166" s="29" t="n"/>
      <c r="I166" s="30">
        <f>IF(OR(B166="",H166="",C166=""),"",H166-7*VLOOKUP(C166,Plazos!$A$6:$F$8,2,FALSE))</f>
        <v/>
      </c>
      <c r="J166" s="30">
        <f>IF(OR(B166="",H166="",C166=""),"",H166-7*VLOOKUP(C166,Plazos!$A$6:$F$8,3,FALSE))</f>
        <v/>
      </c>
      <c r="K166" s="30">
        <f>IF(OR(B166="",H166="",C166=""),"",H166-7*VLOOKUP(C166,Plazos!$A$6:$F$8,4,FALSE))</f>
        <v/>
      </c>
      <c r="L166" s="30">
        <f>IF(OR(B166="",H166="",C166=""),"",H166-7*VLOOKUP(C166,Plazos!$A$6:$F$8,5,FALSE))</f>
        <v/>
      </c>
      <c r="M166" s="30">
        <f>IF(OR(B166="",H166="",C166=""),"",H166-7*VLOOKUP(C166,Plazos!$A$6:$F$8,6,FALSE))</f>
        <v/>
      </c>
      <c r="N166" s="29" t="n"/>
      <c r="O166" s="28" t="n"/>
      <c r="P166" s="25" t="n"/>
      <c r="Q166" s="31">
        <f>IF(OR(B166="",M166=""),"",IF(N166&lt;&gt;"",MAX(0,N166-M166),MAX(0,$B$3-M166)))</f>
        <v/>
      </c>
      <c r="R166" s="26">
        <f>IF(OR(B166="",M166=""),"",IF(N166&lt;&gt;"",IF(Q166&gt;0,"Liberado con atraso","Liberado a tiempo"),IF($B$3&gt;M166,"Vencido sin liberar",IF(M166-$B$3&lt;=14,"Próximo a liberar","En plazo"))))</f>
        <v/>
      </c>
      <c r="S166" s="27" t="n"/>
    </row>
    <row r="167">
      <c r="A167" s="24" t="n"/>
      <c r="B167" s="25" t="n"/>
      <c r="C167" s="25" t="n"/>
      <c r="D167" s="26">
        <f>IF(B167="","","CWP"&amp;MID(B167,4,12))</f>
        <v/>
      </c>
      <c r="E167" s="27" t="n"/>
      <c r="F167" s="25" t="n"/>
      <c r="G167" s="28" t="n"/>
      <c r="H167" s="29" t="n"/>
      <c r="I167" s="30">
        <f>IF(OR(B167="",H167="",C167=""),"",H167-7*VLOOKUP(C167,Plazos!$A$6:$F$8,2,FALSE))</f>
        <v/>
      </c>
      <c r="J167" s="30">
        <f>IF(OR(B167="",H167="",C167=""),"",H167-7*VLOOKUP(C167,Plazos!$A$6:$F$8,3,FALSE))</f>
        <v/>
      </c>
      <c r="K167" s="30">
        <f>IF(OR(B167="",H167="",C167=""),"",H167-7*VLOOKUP(C167,Plazos!$A$6:$F$8,4,FALSE))</f>
        <v/>
      </c>
      <c r="L167" s="30">
        <f>IF(OR(B167="",H167="",C167=""),"",H167-7*VLOOKUP(C167,Plazos!$A$6:$F$8,5,FALSE))</f>
        <v/>
      </c>
      <c r="M167" s="30">
        <f>IF(OR(B167="",H167="",C167=""),"",H167-7*VLOOKUP(C167,Plazos!$A$6:$F$8,6,FALSE))</f>
        <v/>
      </c>
      <c r="N167" s="29" t="n"/>
      <c r="O167" s="28" t="n"/>
      <c r="P167" s="25" t="n"/>
      <c r="Q167" s="31">
        <f>IF(OR(B167="",M167=""),"",IF(N167&lt;&gt;"",MAX(0,N167-M167),MAX(0,$B$3-M167)))</f>
        <v/>
      </c>
      <c r="R167" s="26">
        <f>IF(OR(B167="",M167=""),"",IF(N167&lt;&gt;"",IF(Q167&gt;0,"Liberado con atraso","Liberado a tiempo"),IF($B$3&gt;M167,"Vencido sin liberar",IF(M167-$B$3&lt;=14,"Próximo a liberar","En plazo"))))</f>
        <v/>
      </c>
      <c r="S167" s="27" t="n"/>
    </row>
    <row r="168">
      <c r="A168" s="24" t="n"/>
      <c r="B168" s="25" t="n"/>
      <c r="C168" s="25" t="n"/>
      <c r="D168" s="26">
        <f>IF(B168="","","CWP"&amp;MID(B168,4,12))</f>
        <v/>
      </c>
      <c r="E168" s="27" t="n"/>
      <c r="F168" s="25" t="n"/>
      <c r="G168" s="28" t="n"/>
      <c r="H168" s="29" t="n"/>
      <c r="I168" s="30">
        <f>IF(OR(B168="",H168="",C168=""),"",H168-7*VLOOKUP(C168,Plazos!$A$6:$F$8,2,FALSE))</f>
        <v/>
      </c>
      <c r="J168" s="30">
        <f>IF(OR(B168="",H168="",C168=""),"",H168-7*VLOOKUP(C168,Plazos!$A$6:$F$8,3,FALSE))</f>
        <v/>
      </c>
      <c r="K168" s="30">
        <f>IF(OR(B168="",H168="",C168=""),"",H168-7*VLOOKUP(C168,Plazos!$A$6:$F$8,4,FALSE))</f>
        <v/>
      </c>
      <c r="L168" s="30">
        <f>IF(OR(B168="",H168="",C168=""),"",H168-7*VLOOKUP(C168,Plazos!$A$6:$F$8,5,FALSE))</f>
        <v/>
      </c>
      <c r="M168" s="30">
        <f>IF(OR(B168="",H168="",C168=""),"",H168-7*VLOOKUP(C168,Plazos!$A$6:$F$8,6,FALSE))</f>
        <v/>
      </c>
      <c r="N168" s="29" t="n"/>
      <c r="O168" s="28" t="n"/>
      <c r="P168" s="25" t="n"/>
      <c r="Q168" s="31">
        <f>IF(OR(B168="",M168=""),"",IF(N168&lt;&gt;"",MAX(0,N168-M168),MAX(0,$B$3-M168)))</f>
        <v/>
      </c>
      <c r="R168" s="26">
        <f>IF(OR(B168="",M168=""),"",IF(N168&lt;&gt;"",IF(Q168&gt;0,"Liberado con atraso","Liberado a tiempo"),IF($B$3&gt;M168,"Vencido sin liberar",IF(M168-$B$3&lt;=14,"Próximo a liberar","En plazo"))))</f>
        <v/>
      </c>
      <c r="S168" s="27" t="n"/>
    </row>
    <row r="169">
      <c r="A169" s="24" t="n"/>
      <c r="B169" s="25" t="n"/>
      <c r="C169" s="25" t="n"/>
      <c r="D169" s="26">
        <f>IF(B169="","","CWP"&amp;MID(B169,4,12))</f>
        <v/>
      </c>
      <c r="E169" s="27" t="n"/>
      <c r="F169" s="25" t="n"/>
      <c r="G169" s="28" t="n"/>
      <c r="H169" s="29" t="n"/>
      <c r="I169" s="30">
        <f>IF(OR(B169="",H169="",C169=""),"",H169-7*VLOOKUP(C169,Plazos!$A$6:$F$8,2,FALSE))</f>
        <v/>
      </c>
      <c r="J169" s="30">
        <f>IF(OR(B169="",H169="",C169=""),"",H169-7*VLOOKUP(C169,Plazos!$A$6:$F$8,3,FALSE))</f>
        <v/>
      </c>
      <c r="K169" s="30">
        <f>IF(OR(B169="",H169="",C169=""),"",H169-7*VLOOKUP(C169,Plazos!$A$6:$F$8,4,FALSE))</f>
        <v/>
      </c>
      <c r="L169" s="30">
        <f>IF(OR(B169="",H169="",C169=""),"",H169-7*VLOOKUP(C169,Plazos!$A$6:$F$8,5,FALSE))</f>
        <v/>
      </c>
      <c r="M169" s="30">
        <f>IF(OR(B169="",H169="",C169=""),"",H169-7*VLOOKUP(C169,Plazos!$A$6:$F$8,6,FALSE))</f>
        <v/>
      </c>
      <c r="N169" s="29" t="n"/>
      <c r="O169" s="28" t="n"/>
      <c r="P169" s="25" t="n"/>
      <c r="Q169" s="31">
        <f>IF(OR(B169="",M169=""),"",IF(N169&lt;&gt;"",MAX(0,N169-M169),MAX(0,$B$3-M169)))</f>
        <v/>
      </c>
      <c r="R169" s="26">
        <f>IF(OR(B169="",M169=""),"",IF(N169&lt;&gt;"",IF(Q169&gt;0,"Liberado con atraso","Liberado a tiempo"),IF($B$3&gt;M169,"Vencido sin liberar",IF(M169-$B$3&lt;=14,"Próximo a liberar","En plazo"))))</f>
        <v/>
      </c>
      <c r="S169" s="27" t="n"/>
    </row>
    <row r="170">
      <c r="A170" s="24" t="n"/>
      <c r="B170" s="25" t="n"/>
      <c r="C170" s="25" t="n"/>
      <c r="D170" s="26">
        <f>IF(B170="","","CWP"&amp;MID(B170,4,12))</f>
        <v/>
      </c>
      <c r="E170" s="27" t="n"/>
      <c r="F170" s="25" t="n"/>
      <c r="G170" s="28" t="n"/>
      <c r="H170" s="29" t="n"/>
      <c r="I170" s="30">
        <f>IF(OR(B170="",H170="",C170=""),"",H170-7*VLOOKUP(C170,Plazos!$A$6:$F$8,2,FALSE))</f>
        <v/>
      </c>
      <c r="J170" s="30">
        <f>IF(OR(B170="",H170="",C170=""),"",H170-7*VLOOKUP(C170,Plazos!$A$6:$F$8,3,FALSE))</f>
        <v/>
      </c>
      <c r="K170" s="30">
        <f>IF(OR(B170="",H170="",C170=""),"",H170-7*VLOOKUP(C170,Plazos!$A$6:$F$8,4,FALSE))</f>
        <v/>
      </c>
      <c r="L170" s="30">
        <f>IF(OR(B170="",H170="",C170=""),"",H170-7*VLOOKUP(C170,Plazos!$A$6:$F$8,5,FALSE))</f>
        <v/>
      </c>
      <c r="M170" s="30">
        <f>IF(OR(B170="",H170="",C170=""),"",H170-7*VLOOKUP(C170,Plazos!$A$6:$F$8,6,FALSE))</f>
        <v/>
      </c>
      <c r="N170" s="29" t="n"/>
      <c r="O170" s="28" t="n"/>
      <c r="P170" s="25" t="n"/>
      <c r="Q170" s="31">
        <f>IF(OR(B170="",M170=""),"",IF(N170&lt;&gt;"",MAX(0,N170-M170),MAX(0,$B$3-M170)))</f>
        <v/>
      </c>
      <c r="R170" s="26">
        <f>IF(OR(B170="",M170=""),"",IF(N170&lt;&gt;"",IF(Q170&gt;0,"Liberado con atraso","Liberado a tiempo"),IF($B$3&gt;M170,"Vencido sin liberar",IF(M170-$B$3&lt;=14,"Próximo a liberar","En plazo"))))</f>
        <v/>
      </c>
      <c r="S170" s="27" t="n"/>
    </row>
    <row r="171">
      <c r="A171" s="24" t="n"/>
      <c r="B171" s="25" t="n"/>
      <c r="C171" s="25" t="n"/>
      <c r="D171" s="26">
        <f>IF(B171="","","CWP"&amp;MID(B171,4,12))</f>
        <v/>
      </c>
      <c r="E171" s="27" t="n"/>
      <c r="F171" s="25" t="n"/>
      <c r="G171" s="28" t="n"/>
      <c r="H171" s="29" t="n"/>
      <c r="I171" s="30">
        <f>IF(OR(B171="",H171="",C171=""),"",H171-7*VLOOKUP(C171,Plazos!$A$6:$F$8,2,FALSE))</f>
        <v/>
      </c>
      <c r="J171" s="30">
        <f>IF(OR(B171="",H171="",C171=""),"",H171-7*VLOOKUP(C171,Plazos!$A$6:$F$8,3,FALSE))</f>
        <v/>
      </c>
      <c r="K171" s="30">
        <f>IF(OR(B171="",H171="",C171=""),"",H171-7*VLOOKUP(C171,Plazos!$A$6:$F$8,4,FALSE))</f>
        <v/>
      </c>
      <c r="L171" s="30">
        <f>IF(OR(B171="",H171="",C171=""),"",H171-7*VLOOKUP(C171,Plazos!$A$6:$F$8,5,FALSE))</f>
        <v/>
      </c>
      <c r="M171" s="30">
        <f>IF(OR(B171="",H171="",C171=""),"",H171-7*VLOOKUP(C171,Plazos!$A$6:$F$8,6,FALSE))</f>
        <v/>
      </c>
      <c r="N171" s="29" t="n"/>
      <c r="O171" s="28" t="n"/>
      <c r="P171" s="25" t="n"/>
      <c r="Q171" s="31">
        <f>IF(OR(B171="",M171=""),"",IF(N171&lt;&gt;"",MAX(0,N171-M171),MAX(0,$B$3-M171)))</f>
        <v/>
      </c>
      <c r="R171" s="26">
        <f>IF(OR(B171="",M171=""),"",IF(N171&lt;&gt;"",IF(Q171&gt;0,"Liberado con atraso","Liberado a tiempo"),IF($B$3&gt;M171,"Vencido sin liberar",IF(M171-$B$3&lt;=14,"Próximo a liberar","En plazo"))))</f>
        <v/>
      </c>
      <c r="S171" s="27" t="n"/>
    </row>
    <row r="172">
      <c r="A172" s="24" t="n"/>
      <c r="B172" s="25" t="n"/>
      <c r="C172" s="25" t="n"/>
      <c r="D172" s="26">
        <f>IF(B172="","","CWP"&amp;MID(B172,4,12))</f>
        <v/>
      </c>
      <c r="E172" s="27" t="n"/>
      <c r="F172" s="25" t="n"/>
      <c r="G172" s="28" t="n"/>
      <c r="H172" s="29" t="n"/>
      <c r="I172" s="30">
        <f>IF(OR(B172="",H172="",C172=""),"",H172-7*VLOOKUP(C172,Plazos!$A$6:$F$8,2,FALSE))</f>
        <v/>
      </c>
      <c r="J172" s="30">
        <f>IF(OR(B172="",H172="",C172=""),"",H172-7*VLOOKUP(C172,Plazos!$A$6:$F$8,3,FALSE))</f>
        <v/>
      </c>
      <c r="K172" s="30">
        <f>IF(OR(B172="",H172="",C172=""),"",H172-7*VLOOKUP(C172,Plazos!$A$6:$F$8,4,FALSE))</f>
        <v/>
      </c>
      <c r="L172" s="30">
        <f>IF(OR(B172="",H172="",C172=""),"",H172-7*VLOOKUP(C172,Plazos!$A$6:$F$8,5,FALSE))</f>
        <v/>
      </c>
      <c r="M172" s="30">
        <f>IF(OR(B172="",H172="",C172=""),"",H172-7*VLOOKUP(C172,Plazos!$A$6:$F$8,6,FALSE))</f>
        <v/>
      </c>
      <c r="N172" s="29" t="n"/>
      <c r="O172" s="28" t="n"/>
      <c r="P172" s="25" t="n"/>
      <c r="Q172" s="31">
        <f>IF(OR(B172="",M172=""),"",IF(N172&lt;&gt;"",MAX(0,N172-M172),MAX(0,$B$3-M172)))</f>
        <v/>
      </c>
      <c r="R172" s="26">
        <f>IF(OR(B172="",M172=""),"",IF(N172&lt;&gt;"",IF(Q172&gt;0,"Liberado con atraso","Liberado a tiempo"),IF($B$3&gt;M172,"Vencido sin liberar",IF(M172-$B$3&lt;=14,"Próximo a liberar","En plazo"))))</f>
        <v/>
      </c>
      <c r="S172" s="27" t="n"/>
    </row>
    <row r="173">
      <c r="A173" s="24" t="n"/>
      <c r="B173" s="25" t="n"/>
      <c r="C173" s="25" t="n"/>
      <c r="D173" s="26">
        <f>IF(B173="","","CWP"&amp;MID(B173,4,12))</f>
        <v/>
      </c>
      <c r="E173" s="27" t="n"/>
      <c r="F173" s="25" t="n"/>
      <c r="G173" s="28" t="n"/>
      <c r="H173" s="29" t="n"/>
      <c r="I173" s="30">
        <f>IF(OR(B173="",H173="",C173=""),"",H173-7*VLOOKUP(C173,Plazos!$A$6:$F$8,2,FALSE))</f>
        <v/>
      </c>
      <c r="J173" s="30">
        <f>IF(OR(B173="",H173="",C173=""),"",H173-7*VLOOKUP(C173,Plazos!$A$6:$F$8,3,FALSE))</f>
        <v/>
      </c>
      <c r="K173" s="30">
        <f>IF(OR(B173="",H173="",C173=""),"",H173-7*VLOOKUP(C173,Plazos!$A$6:$F$8,4,FALSE))</f>
        <v/>
      </c>
      <c r="L173" s="30">
        <f>IF(OR(B173="",H173="",C173=""),"",H173-7*VLOOKUP(C173,Plazos!$A$6:$F$8,5,FALSE))</f>
        <v/>
      </c>
      <c r="M173" s="30">
        <f>IF(OR(B173="",H173="",C173=""),"",H173-7*VLOOKUP(C173,Plazos!$A$6:$F$8,6,FALSE))</f>
        <v/>
      </c>
      <c r="N173" s="29" t="n"/>
      <c r="O173" s="28" t="n"/>
      <c r="P173" s="25" t="n"/>
      <c r="Q173" s="31">
        <f>IF(OR(B173="",M173=""),"",IF(N173&lt;&gt;"",MAX(0,N173-M173),MAX(0,$B$3-M173)))</f>
        <v/>
      </c>
      <c r="R173" s="26">
        <f>IF(OR(B173="",M173=""),"",IF(N173&lt;&gt;"",IF(Q173&gt;0,"Liberado con atraso","Liberado a tiempo"),IF($B$3&gt;M173,"Vencido sin liberar",IF(M173-$B$3&lt;=14,"Próximo a liberar","En plazo"))))</f>
        <v/>
      </c>
      <c r="S173" s="27" t="n"/>
    </row>
    <row r="174">
      <c r="A174" s="24" t="n"/>
      <c r="B174" s="25" t="n"/>
      <c r="C174" s="25" t="n"/>
      <c r="D174" s="26">
        <f>IF(B174="","","CWP"&amp;MID(B174,4,12))</f>
        <v/>
      </c>
      <c r="E174" s="27" t="n"/>
      <c r="F174" s="25" t="n"/>
      <c r="G174" s="28" t="n"/>
      <c r="H174" s="29" t="n"/>
      <c r="I174" s="30">
        <f>IF(OR(B174="",H174="",C174=""),"",H174-7*VLOOKUP(C174,Plazos!$A$6:$F$8,2,FALSE))</f>
        <v/>
      </c>
      <c r="J174" s="30">
        <f>IF(OR(B174="",H174="",C174=""),"",H174-7*VLOOKUP(C174,Plazos!$A$6:$F$8,3,FALSE))</f>
        <v/>
      </c>
      <c r="K174" s="30">
        <f>IF(OR(B174="",H174="",C174=""),"",H174-7*VLOOKUP(C174,Plazos!$A$6:$F$8,4,FALSE))</f>
        <v/>
      </c>
      <c r="L174" s="30">
        <f>IF(OR(B174="",H174="",C174=""),"",H174-7*VLOOKUP(C174,Plazos!$A$6:$F$8,5,FALSE))</f>
        <v/>
      </c>
      <c r="M174" s="30">
        <f>IF(OR(B174="",H174="",C174=""),"",H174-7*VLOOKUP(C174,Plazos!$A$6:$F$8,6,FALSE))</f>
        <v/>
      </c>
      <c r="N174" s="29" t="n"/>
      <c r="O174" s="28" t="n"/>
      <c r="P174" s="25" t="n"/>
      <c r="Q174" s="31">
        <f>IF(OR(B174="",M174=""),"",IF(N174&lt;&gt;"",MAX(0,N174-M174),MAX(0,$B$3-M174)))</f>
        <v/>
      </c>
      <c r="R174" s="26">
        <f>IF(OR(B174="",M174=""),"",IF(N174&lt;&gt;"",IF(Q174&gt;0,"Liberado con atraso","Liberado a tiempo"),IF($B$3&gt;M174,"Vencido sin liberar",IF(M174-$B$3&lt;=14,"Próximo a liberar","En plazo"))))</f>
        <v/>
      </c>
      <c r="S174" s="27" t="n"/>
    </row>
    <row r="175">
      <c r="A175" s="24" t="n"/>
      <c r="B175" s="25" t="n"/>
      <c r="C175" s="25" t="n"/>
      <c r="D175" s="26">
        <f>IF(B175="","","CWP"&amp;MID(B175,4,12))</f>
        <v/>
      </c>
      <c r="E175" s="27" t="n"/>
      <c r="F175" s="25" t="n"/>
      <c r="G175" s="28" t="n"/>
      <c r="H175" s="29" t="n"/>
      <c r="I175" s="30">
        <f>IF(OR(B175="",H175="",C175=""),"",H175-7*VLOOKUP(C175,Plazos!$A$6:$F$8,2,FALSE))</f>
        <v/>
      </c>
      <c r="J175" s="30">
        <f>IF(OR(B175="",H175="",C175=""),"",H175-7*VLOOKUP(C175,Plazos!$A$6:$F$8,3,FALSE))</f>
        <v/>
      </c>
      <c r="K175" s="30">
        <f>IF(OR(B175="",H175="",C175=""),"",H175-7*VLOOKUP(C175,Plazos!$A$6:$F$8,4,FALSE))</f>
        <v/>
      </c>
      <c r="L175" s="30">
        <f>IF(OR(B175="",H175="",C175=""),"",H175-7*VLOOKUP(C175,Plazos!$A$6:$F$8,5,FALSE))</f>
        <v/>
      </c>
      <c r="M175" s="30">
        <f>IF(OR(B175="",H175="",C175=""),"",H175-7*VLOOKUP(C175,Plazos!$A$6:$F$8,6,FALSE))</f>
        <v/>
      </c>
      <c r="N175" s="29" t="n"/>
      <c r="O175" s="28" t="n"/>
      <c r="P175" s="25" t="n"/>
      <c r="Q175" s="31">
        <f>IF(OR(B175="",M175=""),"",IF(N175&lt;&gt;"",MAX(0,N175-M175),MAX(0,$B$3-M175)))</f>
        <v/>
      </c>
      <c r="R175" s="26">
        <f>IF(OR(B175="",M175=""),"",IF(N175&lt;&gt;"",IF(Q175&gt;0,"Liberado con atraso","Liberado a tiempo"),IF($B$3&gt;M175,"Vencido sin liberar",IF(M175-$B$3&lt;=14,"Próximo a liberar","En plazo"))))</f>
        <v/>
      </c>
      <c r="S175" s="27" t="n"/>
    </row>
    <row r="176">
      <c r="A176" s="24" t="n"/>
      <c r="B176" s="25" t="n"/>
      <c r="C176" s="25" t="n"/>
      <c r="D176" s="26">
        <f>IF(B176="","","CWP"&amp;MID(B176,4,12))</f>
        <v/>
      </c>
      <c r="E176" s="27" t="n"/>
      <c r="F176" s="25" t="n"/>
      <c r="G176" s="28" t="n"/>
      <c r="H176" s="29" t="n"/>
      <c r="I176" s="30">
        <f>IF(OR(B176="",H176="",C176=""),"",H176-7*VLOOKUP(C176,Plazos!$A$6:$F$8,2,FALSE))</f>
        <v/>
      </c>
      <c r="J176" s="30">
        <f>IF(OR(B176="",H176="",C176=""),"",H176-7*VLOOKUP(C176,Plazos!$A$6:$F$8,3,FALSE))</f>
        <v/>
      </c>
      <c r="K176" s="30">
        <f>IF(OR(B176="",H176="",C176=""),"",H176-7*VLOOKUP(C176,Plazos!$A$6:$F$8,4,FALSE))</f>
        <v/>
      </c>
      <c r="L176" s="30">
        <f>IF(OR(B176="",H176="",C176=""),"",H176-7*VLOOKUP(C176,Plazos!$A$6:$F$8,5,FALSE))</f>
        <v/>
      </c>
      <c r="M176" s="30">
        <f>IF(OR(B176="",H176="",C176=""),"",H176-7*VLOOKUP(C176,Plazos!$A$6:$F$8,6,FALSE))</f>
        <v/>
      </c>
      <c r="N176" s="29" t="n"/>
      <c r="O176" s="28" t="n"/>
      <c r="P176" s="25" t="n"/>
      <c r="Q176" s="31">
        <f>IF(OR(B176="",M176=""),"",IF(N176&lt;&gt;"",MAX(0,N176-M176),MAX(0,$B$3-M176)))</f>
        <v/>
      </c>
      <c r="R176" s="26">
        <f>IF(OR(B176="",M176=""),"",IF(N176&lt;&gt;"",IF(Q176&gt;0,"Liberado con atraso","Liberado a tiempo"),IF($B$3&gt;M176,"Vencido sin liberar",IF(M176-$B$3&lt;=14,"Próximo a liberar","En plazo"))))</f>
        <v/>
      </c>
      <c r="S176" s="27" t="n"/>
    </row>
    <row r="177">
      <c r="A177" s="24" t="n"/>
      <c r="B177" s="25" t="n"/>
      <c r="C177" s="25" t="n"/>
      <c r="D177" s="26">
        <f>IF(B177="","","CWP"&amp;MID(B177,4,12))</f>
        <v/>
      </c>
      <c r="E177" s="27" t="n"/>
      <c r="F177" s="25" t="n"/>
      <c r="G177" s="28" t="n"/>
      <c r="H177" s="29" t="n"/>
      <c r="I177" s="30">
        <f>IF(OR(B177="",H177="",C177=""),"",H177-7*VLOOKUP(C177,Plazos!$A$6:$F$8,2,FALSE))</f>
        <v/>
      </c>
      <c r="J177" s="30">
        <f>IF(OR(B177="",H177="",C177=""),"",H177-7*VLOOKUP(C177,Plazos!$A$6:$F$8,3,FALSE))</f>
        <v/>
      </c>
      <c r="K177" s="30">
        <f>IF(OR(B177="",H177="",C177=""),"",H177-7*VLOOKUP(C177,Plazos!$A$6:$F$8,4,FALSE))</f>
        <v/>
      </c>
      <c r="L177" s="30">
        <f>IF(OR(B177="",H177="",C177=""),"",H177-7*VLOOKUP(C177,Plazos!$A$6:$F$8,5,FALSE))</f>
        <v/>
      </c>
      <c r="M177" s="30">
        <f>IF(OR(B177="",H177="",C177=""),"",H177-7*VLOOKUP(C177,Plazos!$A$6:$F$8,6,FALSE))</f>
        <v/>
      </c>
      <c r="N177" s="29" t="n"/>
      <c r="O177" s="28" t="n"/>
      <c r="P177" s="25" t="n"/>
      <c r="Q177" s="31">
        <f>IF(OR(B177="",M177=""),"",IF(N177&lt;&gt;"",MAX(0,N177-M177),MAX(0,$B$3-M177)))</f>
        <v/>
      </c>
      <c r="R177" s="26">
        <f>IF(OR(B177="",M177=""),"",IF(N177&lt;&gt;"",IF(Q177&gt;0,"Liberado con atraso","Liberado a tiempo"),IF($B$3&gt;M177,"Vencido sin liberar",IF(M177-$B$3&lt;=14,"Próximo a liberar","En plazo"))))</f>
        <v/>
      </c>
      <c r="S177" s="27" t="n"/>
    </row>
    <row r="178">
      <c r="A178" s="24" t="n"/>
      <c r="B178" s="25" t="n"/>
      <c r="C178" s="25" t="n"/>
      <c r="D178" s="26">
        <f>IF(B178="","","CWP"&amp;MID(B178,4,12))</f>
        <v/>
      </c>
      <c r="E178" s="27" t="n"/>
      <c r="F178" s="25" t="n"/>
      <c r="G178" s="28" t="n"/>
      <c r="H178" s="29" t="n"/>
      <c r="I178" s="30">
        <f>IF(OR(B178="",H178="",C178=""),"",H178-7*VLOOKUP(C178,Plazos!$A$6:$F$8,2,FALSE))</f>
        <v/>
      </c>
      <c r="J178" s="30">
        <f>IF(OR(B178="",H178="",C178=""),"",H178-7*VLOOKUP(C178,Plazos!$A$6:$F$8,3,FALSE))</f>
        <v/>
      </c>
      <c r="K178" s="30">
        <f>IF(OR(B178="",H178="",C178=""),"",H178-7*VLOOKUP(C178,Plazos!$A$6:$F$8,4,FALSE))</f>
        <v/>
      </c>
      <c r="L178" s="30">
        <f>IF(OR(B178="",H178="",C178=""),"",H178-7*VLOOKUP(C178,Plazos!$A$6:$F$8,5,FALSE))</f>
        <v/>
      </c>
      <c r="M178" s="30">
        <f>IF(OR(B178="",H178="",C178=""),"",H178-7*VLOOKUP(C178,Plazos!$A$6:$F$8,6,FALSE))</f>
        <v/>
      </c>
      <c r="N178" s="29" t="n"/>
      <c r="O178" s="28" t="n"/>
      <c r="P178" s="25" t="n"/>
      <c r="Q178" s="31">
        <f>IF(OR(B178="",M178=""),"",IF(N178&lt;&gt;"",MAX(0,N178-M178),MAX(0,$B$3-M178)))</f>
        <v/>
      </c>
      <c r="R178" s="26">
        <f>IF(OR(B178="",M178=""),"",IF(N178&lt;&gt;"",IF(Q178&gt;0,"Liberado con atraso","Liberado a tiempo"),IF($B$3&gt;M178,"Vencido sin liberar",IF(M178-$B$3&lt;=14,"Próximo a liberar","En plazo"))))</f>
        <v/>
      </c>
      <c r="S178" s="27" t="n"/>
    </row>
    <row r="179">
      <c r="A179" s="24" t="n"/>
      <c r="B179" s="25" t="n"/>
      <c r="C179" s="25" t="n"/>
      <c r="D179" s="26">
        <f>IF(B179="","","CWP"&amp;MID(B179,4,12))</f>
        <v/>
      </c>
      <c r="E179" s="27" t="n"/>
      <c r="F179" s="25" t="n"/>
      <c r="G179" s="28" t="n"/>
      <c r="H179" s="29" t="n"/>
      <c r="I179" s="30">
        <f>IF(OR(B179="",H179="",C179=""),"",H179-7*VLOOKUP(C179,Plazos!$A$6:$F$8,2,FALSE))</f>
        <v/>
      </c>
      <c r="J179" s="30">
        <f>IF(OR(B179="",H179="",C179=""),"",H179-7*VLOOKUP(C179,Plazos!$A$6:$F$8,3,FALSE))</f>
        <v/>
      </c>
      <c r="K179" s="30">
        <f>IF(OR(B179="",H179="",C179=""),"",H179-7*VLOOKUP(C179,Plazos!$A$6:$F$8,4,FALSE))</f>
        <v/>
      </c>
      <c r="L179" s="30">
        <f>IF(OR(B179="",H179="",C179=""),"",H179-7*VLOOKUP(C179,Plazos!$A$6:$F$8,5,FALSE))</f>
        <v/>
      </c>
      <c r="M179" s="30">
        <f>IF(OR(B179="",H179="",C179=""),"",H179-7*VLOOKUP(C179,Plazos!$A$6:$F$8,6,FALSE))</f>
        <v/>
      </c>
      <c r="N179" s="29" t="n"/>
      <c r="O179" s="28" t="n"/>
      <c r="P179" s="25" t="n"/>
      <c r="Q179" s="31">
        <f>IF(OR(B179="",M179=""),"",IF(N179&lt;&gt;"",MAX(0,N179-M179),MAX(0,$B$3-M179)))</f>
        <v/>
      </c>
      <c r="R179" s="26">
        <f>IF(OR(B179="",M179=""),"",IF(N179&lt;&gt;"",IF(Q179&gt;0,"Liberado con atraso","Liberado a tiempo"),IF($B$3&gt;M179,"Vencido sin liberar",IF(M179-$B$3&lt;=14,"Próximo a liberar","En plazo"))))</f>
        <v/>
      </c>
      <c r="S179" s="27" t="n"/>
    </row>
    <row r="180">
      <c r="A180" s="24" t="n"/>
      <c r="B180" s="25" t="n"/>
      <c r="C180" s="25" t="n"/>
      <c r="D180" s="26">
        <f>IF(B180="","","CWP"&amp;MID(B180,4,12))</f>
        <v/>
      </c>
      <c r="E180" s="27" t="n"/>
      <c r="F180" s="25" t="n"/>
      <c r="G180" s="28" t="n"/>
      <c r="H180" s="29" t="n"/>
      <c r="I180" s="30">
        <f>IF(OR(B180="",H180="",C180=""),"",H180-7*VLOOKUP(C180,Plazos!$A$6:$F$8,2,FALSE))</f>
        <v/>
      </c>
      <c r="J180" s="30">
        <f>IF(OR(B180="",H180="",C180=""),"",H180-7*VLOOKUP(C180,Plazos!$A$6:$F$8,3,FALSE))</f>
        <v/>
      </c>
      <c r="K180" s="30">
        <f>IF(OR(B180="",H180="",C180=""),"",H180-7*VLOOKUP(C180,Plazos!$A$6:$F$8,4,FALSE))</f>
        <v/>
      </c>
      <c r="L180" s="30">
        <f>IF(OR(B180="",H180="",C180=""),"",H180-7*VLOOKUP(C180,Plazos!$A$6:$F$8,5,FALSE))</f>
        <v/>
      </c>
      <c r="M180" s="30">
        <f>IF(OR(B180="",H180="",C180=""),"",H180-7*VLOOKUP(C180,Plazos!$A$6:$F$8,6,FALSE))</f>
        <v/>
      </c>
      <c r="N180" s="29" t="n"/>
      <c r="O180" s="28" t="n"/>
      <c r="P180" s="25" t="n"/>
      <c r="Q180" s="31">
        <f>IF(OR(B180="",M180=""),"",IF(N180&lt;&gt;"",MAX(0,N180-M180),MAX(0,$B$3-M180)))</f>
        <v/>
      </c>
      <c r="R180" s="26">
        <f>IF(OR(B180="",M180=""),"",IF(N180&lt;&gt;"",IF(Q180&gt;0,"Liberado con atraso","Liberado a tiempo"),IF($B$3&gt;M180,"Vencido sin liberar",IF(M180-$B$3&lt;=14,"Próximo a liberar","En plazo"))))</f>
        <v/>
      </c>
      <c r="S180" s="27" t="n"/>
    </row>
    <row r="181">
      <c r="A181" s="24" t="n"/>
      <c r="B181" s="25" t="n"/>
      <c r="C181" s="25" t="n"/>
      <c r="D181" s="26">
        <f>IF(B181="","","CWP"&amp;MID(B181,4,12))</f>
        <v/>
      </c>
      <c r="E181" s="27" t="n"/>
      <c r="F181" s="25" t="n"/>
      <c r="G181" s="28" t="n"/>
      <c r="H181" s="29" t="n"/>
      <c r="I181" s="30">
        <f>IF(OR(B181="",H181="",C181=""),"",H181-7*VLOOKUP(C181,Plazos!$A$6:$F$8,2,FALSE))</f>
        <v/>
      </c>
      <c r="J181" s="30">
        <f>IF(OR(B181="",H181="",C181=""),"",H181-7*VLOOKUP(C181,Plazos!$A$6:$F$8,3,FALSE))</f>
        <v/>
      </c>
      <c r="K181" s="30">
        <f>IF(OR(B181="",H181="",C181=""),"",H181-7*VLOOKUP(C181,Plazos!$A$6:$F$8,4,FALSE))</f>
        <v/>
      </c>
      <c r="L181" s="30">
        <f>IF(OR(B181="",H181="",C181=""),"",H181-7*VLOOKUP(C181,Plazos!$A$6:$F$8,5,FALSE))</f>
        <v/>
      </c>
      <c r="M181" s="30">
        <f>IF(OR(B181="",H181="",C181=""),"",H181-7*VLOOKUP(C181,Plazos!$A$6:$F$8,6,FALSE))</f>
        <v/>
      </c>
      <c r="N181" s="29" t="n"/>
      <c r="O181" s="28" t="n"/>
      <c r="P181" s="25" t="n"/>
      <c r="Q181" s="31">
        <f>IF(OR(B181="",M181=""),"",IF(N181&lt;&gt;"",MAX(0,N181-M181),MAX(0,$B$3-M181)))</f>
        <v/>
      </c>
      <c r="R181" s="26">
        <f>IF(OR(B181="",M181=""),"",IF(N181&lt;&gt;"",IF(Q181&gt;0,"Liberado con atraso","Liberado a tiempo"),IF($B$3&gt;M181,"Vencido sin liberar",IF(M181-$B$3&lt;=14,"Próximo a liberar","En plazo"))))</f>
        <v/>
      </c>
      <c r="S181" s="27" t="n"/>
    </row>
    <row r="182">
      <c r="A182" s="24" t="n"/>
      <c r="B182" s="25" t="n"/>
      <c r="C182" s="25" t="n"/>
      <c r="D182" s="26">
        <f>IF(B182="","","CWP"&amp;MID(B182,4,12))</f>
        <v/>
      </c>
      <c r="E182" s="27" t="n"/>
      <c r="F182" s="25" t="n"/>
      <c r="G182" s="28" t="n"/>
      <c r="H182" s="29" t="n"/>
      <c r="I182" s="30">
        <f>IF(OR(B182="",H182="",C182=""),"",H182-7*VLOOKUP(C182,Plazos!$A$6:$F$8,2,FALSE))</f>
        <v/>
      </c>
      <c r="J182" s="30">
        <f>IF(OR(B182="",H182="",C182=""),"",H182-7*VLOOKUP(C182,Plazos!$A$6:$F$8,3,FALSE))</f>
        <v/>
      </c>
      <c r="K182" s="30">
        <f>IF(OR(B182="",H182="",C182=""),"",H182-7*VLOOKUP(C182,Plazos!$A$6:$F$8,4,FALSE))</f>
        <v/>
      </c>
      <c r="L182" s="30">
        <f>IF(OR(B182="",H182="",C182=""),"",H182-7*VLOOKUP(C182,Plazos!$A$6:$F$8,5,FALSE))</f>
        <v/>
      </c>
      <c r="M182" s="30">
        <f>IF(OR(B182="",H182="",C182=""),"",H182-7*VLOOKUP(C182,Plazos!$A$6:$F$8,6,FALSE))</f>
        <v/>
      </c>
      <c r="N182" s="29" t="n"/>
      <c r="O182" s="28" t="n"/>
      <c r="P182" s="25" t="n"/>
      <c r="Q182" s="31">
        <f>IF(OR(B182="",M182=""),"",IF(N182&lt;&gt;"",MAX(0,N182-M182),MAX(0,$B$3-M182)))</f>
        <v/>
      </c>
      <c r="R182" s="26">
        <f>IF(OR(B182="",M182=""),"",IF(N182&lt;&gt;"",IF(Q182&gt;0,"Liberado con atraso","Liberado a tiempo"),IF($B$3&gt;M182,"Vencido sin liberar",IF(M182-$B$3&lt;=14,"Próximo a liberar","En plazo"))))</f>
        <v/>
      </c>
      <c r="S182" s="27" t="n"/>
    </row>
    <row r="183">
      <c r="A183" s="24" t="n"/>
      <c r="B183" s="25" t="n"/>
      <c r="C183" s="25" t="n"/>
      <c r="D183" s="26">
        <f>IF(B183="","","CWP"&amp;MID(B183,4,12))</f>
        <v/>
      </c>
      <c r="E183" s="27" t="n"/>
      <c r="F183" s="25" t="n"/>
      <c r="G183" s="28" t="n"/>
      <c r="H183" s="29" t="n"/>
      <c r="I183" s="30">
        <f>IF(OR(B183="",H183="",C183=""),"",H183-7*VLOOKUP(C183,Plazos!$A$6:$F$8,2,FALSE))</f>
        <v/>
      </c>
      <c r="J183" s="30">
        <f>IF(OR(B183="",H183="",C183=""),"",H183-7*VLOOKUP(C183,Plazos!$A$6:$F$8,3,FALSE))</f>
        <v/>
      </c>
      <c r="K183" s="30">
        <f>IF(OR(B183="",H183="",C183=""),"",H183-7*VLOOKUP(C183,Plazos!$A$6:$F$8,4,FALSE))</f>
        <v/>
      </c>
      <c r="L183" s="30">
        <f>IF(OR(B183="",H183="",C183=""),"",H183-7*VLOOKUP(C183,Plazos!$A$6:$F$8,5,FALSE))</f>
        <v/>
      </c>
      <c r="M183" s="30">
        <f>IF(OR(B183="",H183="",C183=""),"",H183-7*VLOOKUP(C183,Plazos!$A$6:$F$8,6,FALSE))</f>
        <v/>
      </c>
      <c r="N183" s="29" t="n"/>
      <c r="O183" s="28" t="n"/>
      <c r="P183" s="25" t="n"/>
      <c r="Q183" s="31">
        <f>IF(OR(B183="",M183=""),"",IF(N183&lt;&gt;"",MAX(0,N183-M183),MAX(0,$B$3-M183)))</f>
        <v/>
      </c>
      <c r="R183" s="26">
        <f>IF(OR(B183="",M183=""),"",IF(N183&lt;&gt;"",IF(Q183&gt;0,"Liberado con atraso","Liberado a tiempo"),IF($B$3&gt;M183,"Vencido sin liberar",IF(M183-$B$3&lt;=14,"Próximo a liberar","En plazo"))))</f>
        <v/>
      </c>
      <c r="S183" s="27" t="n"/>
    </row>
    <row r="184">
      <c r="A184" s="24" t="n"/>
      <c r="B184" s="25" t="n"/>
      <c r="C184" s="25" t="n"/>
      <c r="D184" s="26">
        <f>IF(B184="","","CWP"&amp;MID(B184,4,12))</f>
        <v/>
      </c>
      <c r="E184" s="27" t="n"/>
      <c r="F184" s="25" t="n"/>
      <c r="G184" s="28" t="n"/>
      <c r="H184" s="29" t="n"/>
      <c r="I184" s="30">
        <f>IF(OR(B184="",H184="",C184=""),"",H184-7*VLOOKUP(C184,Plazos!$A$6:$F$8,2,FALSE))</f>
        <v/>
      </c>
      <c r="J184" s="30">
        <f>IF(OR(B184="",H184="",C184=""),"",H184-7*VLOOKUP(C184,Plazos!$A$6:$F$8,3,FALSE))</f>
        <v/>
      </c>
      <c r="K184" s="30">
        <f>IF(OR(B184="",H184="",C184=""),"",H184-7*VLOOKUP(C184,Plazos!$A$6:$F$8,4,FALSE))</f>
        <v/>
      </c>
      <c r="L184" s="30">
        <f>IF(OR(B184="",H184="",C184=""),"",H184-7*VLOOKUP(C184,Plazos!$A$6:$F$8,5,FALSE))</f>
        <v/>
      </c>
      <c r="M184" s="30">
        <f>IF(OR(B184="",H184="",C184=""),"",H184-7*VLOOKUP(C184,Plazos!$A$6:$F$8,6,FALSE))</f>
        <v/>
      </c>
      <c r="N184" s="29" t="n"/>
      <c r="O184" s="28" t="n"/>
      <c r="P184" s="25" t="n"/>
      <c r="Q184" s="31">
        <f>IF(OR(B184="",M184=""),"",IF(N184&lt;&gt;"",MAX(0,N184-M184),MAX(0,$B$3-M184)))</f>
        <v/>
      </c>
      <c r="R184" s="26">
        <f>IF(OR(B184="",M184=""),"",IF(N184&lt;&gt;"",IF(Q184&gt;0,"Liberado con atraso","Liberado a tiempo"),IF($B$3&gt;M184,"Vencido sin liberar",IF(M184-$B$3&lt;=14,"Próximo a liberar","En plazo"))))</f>
        <v/>
      </c>
      <c r="S184" s="27" t="n"/>
    </row>
    <row r="185">
      <c r="A185" s="24" t="n"/>
      <c r="B185" s="25" t="n"/>
      <c r="C185" s="25" t="n"/>
      <c r="D185" s="26">
        <f>IF(B185="","","CWP"&amp;MID(B185,4,12))</f>
        <v/>
      </c>
      <c r="E185" s="27" t="n"/>
      <c r="F185" s="25" t="n"/>
      <c r="G185" s="28" t="n"/>
      <c r="H185" s="29" t="n"/>
      <c r="I185" s="30">
        <f>IF(OR(B185="",H185="",C185=""),"",H185-7*VLOOKUP(C185,Plazos!$A$6:$F$8,2,FALSE))</f>
        <v/>
      </c>
      <c r="J185" s="30">
        <f>IF(OR(B185="",H185="",C185=""),"",H185-7*VLOOKUP(C185,Plazos!$A$6:$F$8,3,FALSE))</f>
        <v/>
      </c>
      <c r="K185" s="30">
        <f>IF(OR(B185="",H185="",C185=""),"",H185-7*VLOOKUP(C185,Plazos!$A$6:$F$8,4,FALSE))</f>
        <v/>
      </c>
      <c r="L185" s="30">
        <f>IF(OR(B185="",H185="",C185=""),"",H185-7*VLOOKUP(C185,Plazos!$A$6:$F$8,5,FALSE))</f>
        <v/>
      </c>
      <c r="M185" s="30">
        <f>IF(OR(B185="",H185="",C185=""),"",H185-7*VLOOKUP(C185,Plazos!$A$6:$F$8,6,FALSE))</f>
        <v/>
      </c>
      <c r="N185" s="29" t="n"/>
      <c r="O185" s="28" t="n"/>
      <c r="P185" s="25" t="n"/>
      <c r="Q185" s="31">
        <f>IF(OR(B185="",M185=""),"",IF(N185&lt;&gt;"",MAX(0,N185-M185),MAX(0,$B$3-M185)))</f>
        <v/>
      </c>
      <c r="R185" s="26">
        <f>IF(OR(B185="",M185=""),"",IF(N185&lt;&gt;"",IF(Q185&gt;0,"Liberado con atraso","Liberado a tiempo"),IF($B$3&gt;M185,"Vencido sin liberar",IF(M185-$B$3&lt;=14,"Próximo a liberar","En plazo"))))</f>
        <v/>
      </c>
      <c r="S185" s="27" t="n"/>
    </row>
    <row r="186">
      <c r="A186" s="24" t="n"/>
      <c r="B186" s="25" t="n"/>
      <c r="C186" s="25" t="n"/>
      <c r="D186" s="26">
        <f>IF(B186="","","CWP"&amp;MID(B186,4,12))</f>
        <v/>
      </c>
      <c r="E186" s="27" t="n"/>
      <c r="F186" s="25" t="n"/>
      <c r="G186" s="28" t="n"/>
      <c r="H186" s="29" t="n"/>
      <c r="I186" s="30">
        <f>IF(OR(B186="",H186="",C186=""),"",H186-7*VLOOKUP(C186,Plazos!$A$6:$F$8,2,FALSE))</f>
        <v/>
      </c>
      <c r="J186" s="30">
        <f>IF(OR(B186="",H186="",C186=""),"",H186-7*VLOOKUP(C186,Plazos!$A$6:$F$8,3,FALSE))</f>
        <v/>
      </c>
      <c r="K186" s="30">
        <f>IF(OR(B186="",H186="",C186=""),"",H186-7*VLOOKUP(C186,Plazos!$A$6:$F$8,4,FALSE))</f>
        <v/>
      </c>
      <c r="L186" s="30">
        <f>IF(OR(B186="",H186="",C186=""),"",H186-7*VLOOKUP(C186,Plazos!$A$6:$F$8,5,FALSE))</f>
        <v/>
      </c>
      <c r="M186" s="30">
        <f>IF(OR(B186="",H186="",C186=""),"",H186-7*VLOOKUP(C186,Plazos!$A$6:$F$8,6,FALSE))</f>
        <v/>
      </c>
      <c r="N186" s="29" t="n"/>
      <c r="O186" s="28" t="n"/>
      <c r="P186" s="25" t="n"/>
      <c r="Q186" s="31">
        <f>IF(OR(B186="",M186=""),"",IF(N186&lt;&gt;"",MAX(0,N186-M186),MAX(0,$B$3-M186)))</f>
        <v/>
      </c>
      <c r="R186" s="26">
        <f>IF(OR(B186="",M186=""),"",IF(N186&lt;&gt;"",IF(Q186&gt;0,"Liberado con atraso","Liberado a tiempo"),IF($B$3&gt;M186,"Vencido sin liberar",IF(M186-$B$3&lt;=14,"Próximo a liberar","En plazo"))))</f>
        <v/>
      </c>
      <c r="S186" s="27" t="n"/>
    </row>
    <row r="187">
      <c r="A187" s="24" t="n"/>
      <c r="B187" s="25" t="n"/>
      <c r="C187" s="25" t="n"/>
      <c r="D187" s="26">
        <f>IF(B187="","","CWP"&amp;MID(B187,4,12))</f>
        <v/>
      </c>
      <c r="E187" s="27" t="n"/>
      <c r="F187" s="25" t="n"/>
      <c r="G187" s="28" t="n"/>
      <c r="H187" s="29" t="n"/>
      <c r="I187" s="30">
        <f>IF(OR(B187="",H187="",C187=""),"",H187-7*VLOOKUP(C187,Plazos!$A$6:$F$8,2,FALSE))</f>
        <v/>
      </c>
      <c r="J187" s="30">
        <f>IF(OR(B187="",H187="",C187=""),"",H187-7*VLOOKUP(C187,Plazos!$A$6:$F$8,3,FALSE))</f>
        <v/>
      </c>
      <c r="K187" s="30">
        <f>IF(OR(B187="",H187="",C187=""),"",H187-7*VLOOKUP(C187,Plazos!$A$6:$F$8,4,FALSE))</f>
        <v/>
      </c>
      <c r="L187" s="30">
        <f>IF(OR(B187="",H187="",C187=""),"",H187-7*VLOOKUP(C187,Plazos!$A$6:$F$8,5,FALSE))</f>
        <v/>
      </c>
      <c r="M187" s="30">
        <f>IF(OR(B187="",H187="",C187=""),"",H187-7*VLOOKUP(C187,Plazos!$A$6:$F$8,6,FALSE))</f>
        <v/>
      </c>
      <c r="N187" s="29" t="n"/>
      <c r="O187" s="28" t="n"/>
      <c r="P187" s="25" t="n"/>
      <c r="Q187" s="31">
        <f>IF(OR(B187="",M187=""),"",IF(N187&lt;&gt;"",MAX(0,N187-M187),MAX(0,$B$3-M187)))</f>
        <v/>
      </c>
      <c r="R187" s="26">
        <f>IF(OR(B187="",M187=""),"",IF(N187&lt;&gt;"",IF(Q187&gt;0,"Liberado con atraso","Liberado a tiempo"),IF($B$3&gt;M187,"Vencido sin liberar",IF(M187-$B$3&lt;=14,"Próximo a liberar","En plazo"))))</f>
        <v/>
      </c>
      <c r="S187" s="27" t="n"/>
    </row>
    <row r="188">
      <c r="A188" s="24" t="n"/>
      <c r="B188" s="25" t="n"/>
      <c r="C188" s="25" t="n"/>
      <c r="D188" s="26">
        <f>IF(B188="","","CWP"&amp;MID(B188,4,12))</f>
        <v/>
      </c>
      <c r="E188" s="27" t="n"/>
      <c r="F188" s="25" t="n"/>
      <c r="G188" s="28" t="n"/>
      <c r="H188" s="29" t="n"/>
      <c r="I188" s="30">
        <f>IF(OR(B188="",H188="",C188=""),"",H188-7*VLOOKUP(C188,Plazos!$A$6:$F$8,2,FALSE))</f>
        <v/>
      </c>
      <c r="J188" s="30">
        <f>IF(OR(B188="",H188="",C188=""),"",H188-7*VLOOKUP(C188,Plazos!$A$6:$F$8,3,FALSE))</f>
        <v/>
      </c>
      <c r="K188" s="30">
        <f>IF(OR(B188="",H188="",C188=""),"",H188-7*VLOOKUP(C188,Plazos!$A$6:$F$8,4,FALSE))</f>
        <v/>
      </c>
      <c r="L188" s="30">
        <f>IF(OR(B188="",H188="",C188=""),"",H188-7*VLOOKUP(C188,Plazos!$A$6:$F$8,5,FALSE))</f>
        <v/>
      </c>
      <c r="M188" s="30">
        <f>IF(OR(B188="",H188="",C188=""),"",H188-7*VLOOKUP(C188,Plazos!$A$6:$F$8,6,FALSE))</f>
        <v/>
      </c>
      <c r="N188" s="29" t="n"/>
      <c r="O188" s="28" t="n"/>
      <c r="P188" s="25" t="n"/>
      <c r="Q188" s="31">
        <f>IF(OR(B188="",M188=""),"",IF(N188&lt;&gt;"",MAX(0,N188-M188),MAX(0,$B$3-M188)))</f>
        <v/>
      </c>
      <c r="R188" s="26">
        <f>IF(OR(B188="",M188=""),"",IF(N188&lt;&gt;"",IF(Q188&gt;0,"Liberado con atraso","Liberado a tiempo"),IF($B$3&gt;M188,"Vencido sin liberar",IF(M188-$B$3&lt;=14,"Próximo a liberar","En plazo"))))</f>
        <v/>
      </c>
      <c r="S188" s="27" t="n"/>
    </row>
    <row r="189">
      <c r="A189" s="24" t="n"/>
      <c r="B189" s="25" t="n"/>
      <c r="C189" s="25" t="n"/>
      <c r="D189" s="26">
        <f>IF(B189="","","CWP"&amp;MID(B189,4,12))</f>
        <v/>
      </c>
      <c r="E189" s="27" t="n"/>
      <c r="F189" s="25" t="n"/>
      <c r="G189" s="28" t="n"/>
      <c r="H189" s="29" t="n"/>
      <c r="I189" s="30">
        <f>IF(OR(B189="",H189="",C189=""),"",H189-7*VLOOKUP(C189,Plazos!$A$6:$F$8,2,FALSE))</f>
        <v/>
      </c>
      <c r="J189" s="30">
        <f>IF(OR(B189="",H189="",C189=""),"",H189-7*VLOOKUP(C189,Plazos!$A$6:$F$8,3,FALSE))</f>
        <v/>
      </c>
      <c r="K189" s="30">
        <f>IF(OR(B189="",H189="",C189=""),"",H189-7*VLOOKUP(C189,Plazos!$A$6:$F$8,4,FALSE))</f>
        <v/>
      </c>
      <c r="L189" s="30">
        <f>IF(OR(B189="",H189="",C189=""),"",H189-7*VLOOKUP(C189,Plazos!$A$6:$F$8,5,FALSE))</f>
        <v/>
      </c>
      <c r="M189" s="30">
        <f>IF(OR(B189="",H189="",C189=""),"",H189-7*VLOOKUP(C189,Plazos!$A$6:$F$8,6,FALSE))</f>
        <v/>
      </c>
      <c r="N189" s="29" t="n"/>
      <c r="O189" s="28" t="n"/>
      <c r="P189" s="25" t="n"/>
      <c r="Q189" s="31">
        <f>IF(OR(B189="",M189=""),"",IF(N189&lt;&gt;"",MAX(0,N189-M189),MAX(0,$B$3-M189)))</f>
        <v/>
      </c>
      <c r="R189" s="26">
        <f>IF(OR(B189="",M189=""),"",IF(N189&lt;&gt;"",IF(Q189&gt;0,"Liberado con atraso","Liberado a tiempo"),IF($B$3&gt;M189,"Vencido sin liberar",IF(M189-$B$3&lt;=14,"Próximo a liberar","En plazo"))))</f>
        <v/>
      </c>
      <c r="S189" s="27" t="n"/>
    </row>
    <row r="190">
      <c r="A190" s="24" t="n"/>
      <c r="B190" s="25" t="n"/>
      <c r="C190" s="25" t="n"/>
      <c r="D190" s="26">
        <f>IF(B190="","","CWP"&amp;MID(B190,4,12))</f>
        <v/>
      </c>
      <c r="E190" s="27" t="n"/>
      <c r="F190" s="25" t="n"/>
      <c r="G190" s="28" t="n"/>
      <c r="H190" s="29" t="n"/>
      <c r="I190" s="30">
        <f>IF(OR(B190="",H190="",C190=""),"",H190-7*VLOOKUP(C190,Plazos!$A$6:$F$8,2,FALSE))</f>
        <v/>
      </c>
      <c r="J190" s="30">
        <f>IF(OR(B190="",H190="",C190=""),"",H190-7*VLOOKUP(C190,Plazos!$A$6:$F$8,3,FALSE))</f>
        <v/>
      </c>
      <c r="K190" s="30">
        <f>IF(OR(B190="",H190="",C190=""),"",H190-7*VLOOKUP(C190,Plazos!$A$6:$F$8,4,FALSE))</f>
        <v/>
      </c>
      <c r="L190" s="30">
        <f>IF(OR(B190="",H190="",C190=""),"",H190-7*VLOOKUP(C190,Plazos!$A$6:$F$8,5,FALSE))</f>
        <v/>
      </c>
      <c r="M190" s="30">
        <f>IF(OR(B190="",H190="",C190=""),"",H190-7*VLOOKUP(C190,Plazos!$A$6:$F$8,6,FALSE))</f>
        <v/>
      </c>
      <c r="N190" s="29" t="n"/>
      <c r="O190" s="28" t="n"/>
      <c r="P190" s="25" t="n"/>
      <c r="Q190" s="31">
        <f>IF(OR(B190="",M190=""),"",IF(N190&lt;&gt;"",MAX(0,N190-M190),MAX(0,$B$3-M190)))</f>
        <v/>
      </c>
      <c r="R190" s="26">
        <f>IF(OR(B190="",M190=""),"",IF(N190&lt;&gt;"",IF(Q190&gt;0,"Liberado con atraso","Liberado a tiempo"),IF($B$3&gt;M190,"Vencido sin liberar",IF(M190-$B$3&lt;=14,"Próximo a liberar","En plazo"))))</f>
        <v/>
      </c>
      <c r="S190" s="27" t="n"/>
    </row>
    <row r="191">
      <c r="A191" s="24" t="n"/>
      <c r="B191" s="25" t="n"/>
      <c r="C191" s="25" t="n"/>
      <c r="D191" s="26">
        <f>IF(B191="","","CWP"&amp;MID(B191,4,12))</f>
        <v/>
      </c>
      <c r="E191" s="27" t="n"/>
      <c r="F191" s="25" t="n"/>
      <c r="G191" s="28" t="n"/>
      <c r="H191" s="29" t="n"/>
      <c r="I191" s="30">
        <f>IF(OR(B191="",H191="",C191=""),"",H191-7*VLOOKUP(C191,Plazos!$A$6:$F$8,2,FALSE))</f>
        <v/>
      </c>
      <c r="J191" s="30">
        <f>IF(OR(B191="",H191="",C191=""),"",H191-7*VLOOKUP(C191,Plazos!$A$6:$F$8,3,FALSE))</f>
        <v/>
      </c>
      <c r="K191" s="30">
        <f>IF(OR(B191="",H191="",C191=""),"",H191-7*VLOOKUP(C191,Plazos!$A$6:$F$8,4,FALSE))</f>
        <v/>
      </c>
      <c r="L191" s="30">
        <f>IF(OR(B191="",H191="",C191=""),"",H191-7*VLOOKUP(C191,Plazos!$A$6:$F$8,5,FALSE))</f>
        <v/>
      </c>
      <c r="M191" s="30">
        <f>IF(OR(B191="",H191="",C191=""),"",H191-7*VLOOKUP(C191,Plazos!$A$6:$F$8,6,FALSE))</f>
        <v/>
      </c>
      <c r="N191" s="29" t="n"/>
      <c r="O191" s="28" t="n"/>
      <c r="P191" s="25" t="n"/>
      <c r="Q191" s="31">
        <f>IF(OR(B191="",M191=""),"",IF(N191&lt;&gt;"",MAX(0,N191-M191),MAX(0,$B$3-M191)))</f>
        <v/>
      </c>
      <c r="R191" s="26">
        <f>IF(OR(B191="",M191=""),"",IF(N191&lt;&gt;"",IF(Q191&gt;0,"Liberado con atraso","Liberado a tiempo"),IF($B$3&gt;M191,"Vencido sin liberar",IF(M191-$B$3&lt;=14,"Próximo a liberar","En plazo"))))</f>
        <v/>
      </c>
      <c r="S191" s="27" t="n"/>
    </row>
    <row r="192">
      <c r="A192" s="24" t="n"/>
      <c r="B192" s="25" t="n"/>
      <c r="C192" s="25" t="n"/>
      <c r="D192" s="26">
        <f>IF(B192="","","CWP"&amp;MID(B192,4,12))</f>
        <v/>
      </c>
      <c r="E192" s="27" t="n"/>
      <c r="F192" s="25" t="n"/>
      <c r="G192" s="28" t="n"/>
      <c r="H192" s="29" t="n"/>
      <c r="I192" s="30">
        <f>IF(OR(B192="",H192="",C192=""),"",H192-7*VLOOKUP(C192,Plazos!$A$6:$F$8,2,FALSE))</f>
        <v/>
      </c>
      <c r="J192" s="30">
        <f>IF(OR(B192="",H192="",C192=""),"",H192-7*VLOOKUP(C192,Plazos!$A$6:$F$8,3,FALSE))</f>
        <v/>
      </c>
      <c r="K192" s="30">
        <f>IF(OR(B192="",H192="",C192=""),"",H192-7*VLOOKUP(C192,Plazos!$A$6:$F$8,4,FALSE))</f>
        <v/>
      </c>
      <c r="L192" s="30">
        <f>IF(OR(B192="",H192="",C192=""),"",H192-7*VLOOKUP(C192,Plazos!$A$6:$F$8,5,FALSE))</f>
        <v/>
      </c>
      <c r="M192" s="30">
        <f>IF(OR(B192="",H192="",C192=""),"",H192-7*VLOOKUP(C192,Plazos!$A$6:$F$8,6,FALSE))</f>
        <v/>
      </c>
      <c r="N192" s="29" t="n"/>
      <c r="O192" s="28" t="n"/>
      <c r="P192" s="25" t="n"/>
      <c r="Q192" s="31">
        <f>IF(OR(B192="",M192=""),"",IF(N192&lt;&gt;"",MAX(0,N192-M192),MAX(0,$B$3-M192)))</f>
        <v/>
      </c>
      <c r="R192" s="26">
        <f>IF(OR(B192="",M192=""),"",IF(N192&lt;&gt;"",IF(Q192&gt;0,"Liberado con atraso","Liberado a tiempo"),IF($B$3&gt;M192,"Vencido sin liberar",IF(M192-$B$3&lt;=14,"Próximo a liberar","En plazo"))))</f>
        <v/>
      </c>
      <c r="S192" s="27" t="n"/>
    </row>
    <row r="193">
      <c r="A193" s="24" t="n"/>
      <c r="B193" s="25" t="n"/>
      <c r="C193" s="25" t="n"/>
      <c r="D193" s="26">
        <f>IF(B193="","","CWP"&amp;MID(B193,4,12))</f>
        <v/>
      </c>
      <c r="E193" s="27" t="n"/>
      <c r="F193" s="25" t="n"/>
      <c r="G193" s="28" t="n"/>
      <c r="H193" s="29" t="n"/>
      <c r="I193" s="30">
        <f>IF(OR(B193="",H193="",C193=""),"",H193-7*VLOOKUP(C193,Plazos!$A$6:$F$8,2,FALSE))</f>
        <v/>
      </c>
      <c r="J193" s="30">
        <f>IF(OR(B193="",H193="",C193=""),"",H193-7*VLOOKUP(C193,Plazos!$A$6:$F$8,3,FALSE))</f>
        <v/>
      </c>
      <c r="K193" s="30">
        <f>IF(OR(B193="",H193="",C193=""),"",H193-7*VLOOKUP(C193,Plazos!$A$6:$F$8,4,FALSE))</f>
        <v/>
      </c>
      <c r="L193" s="30">
        <f>IF(OR(B193="",H193="",C193=""),"",H193-7*VLOOKUP(C193,Plazos!$A$6:$F$8,5,FALSE))</f>
        <v/>
      </c>
      <c r="M193" s="30">
        <f>IF(OR(B193="",H193="",C193=""),"",H193-7*VLOOKUP(C193,Plazos!$A$6:$F$8,6,FALSE))</f>
        <v/>
      </c>
      <c r="N193" s="29" t="n"/>
      <c r="O193" s="28" t="n"/>
      <c r="P193" s="25" t="n"/>
      <c r="Q193" s="31">
        <f>IF(OR(B193="",M193=""),"",IF(N193&lt;&gt;"",MAX(0,N193-M193),MAX(0,$B$3-M193)))</f>
        <v/>
      </c>
      <c r="R193" s="26">
        <f>IF(OR(B193="",M193=""),"",IF(N193&lt;&gt;"",IF(Q193&gt;0,"Liberado con atraso","Liberado a tiempo"),IF($B$3&gt;M193,"Vencido sin liberar",IF(M193-$B$3&lt;=14,"Próximo a liberar","En plazo"))))</f>
        <v/>
      </c>
      <c r="S193" s="27" t="n"/>
    </row>
    <row r="194">
      <c r="A194" s="24" t="n"/>
      <c r="B194" s="25" t="n"/>
      <c r="C194" s="25" t="n"/>
      <c r="D194" s="26">
        <f>IF(B194="","","CWP"&amp;MID(B194,4,12))</f>
        <v/>
      </c>
      <c r="E194" s="27" t="n"/>
      <c r="F194" s="25" t="n"/>
      <c r="G194" s="28" t="n"/>
      <c r="H194" s="29" t="n"/>
      <c r="I194" s="30">
        <f>IF(OR(B194="",H194="",C194=""),"",H194-7*VLOOKUP(C194,Plazos!$A$6:$F$8,2,FALSE))</f>
        <v/>
      </c>
      <c r="J194" s="30">
        <f>IF(OR(B194="",H194="",C194=""),"",H194-7*VLOOKUP(C194,Plazos!$A$6:$F$8,3,FALSE))</f>
        <v/>
      </c>
      <c r="K194" s="30">
        <f>IF(OR(B194="",H194="",C194=""),"",H194-7*VLOOKUP(C194,Plazos!$A$6:$F$8,4,FALSE))</f>
        <v/>
      </c>
      <c r="L194" s="30">
        <f>IF(OR(B194="",H194="",C194=""),"",H194-7*VLOOKUP(C194,Plazos!$A$6:$F$8,5,FALSE))</f>
        <v/>
      </c>
      <c r="M194" s="30">
        <f>IF(OR(B194="",H194="",C194=""),"",H194-7*VLOOKUP(C194,Plazos!$A$6:$F$8,6,FALSE))</f>
        <v/>
      </c>
      <c r="N194" s="29" t="n"/>
      <c r="O194" s="28" t="n"/>
      <c r="P194" s="25" t="n"/>
      <c r="Q194" s="31">
        <f>IF(OR(B194="",M194=""),"",IF(N194&lt;&gt;"",MAX(0,N194-M194),MAX(0,$B$3-M194)))</f>
        <v/>
      </c>
      <c r="R194" s="26">
        <f>IF(OR(B194="",M194=""),"",IF(N194&lt;&gt;"",IF(Q194&gt;0,"Liberado con atraso","Liberado a tiempo"),IF($B$3&gt;M194,"Vencido sin liberar",IF(M194-$B$3&lt;=14,"Próximo a liberar","En plazo"))))</f>
        <v/>
      </c>
      <c r="S194" s="27" t="n"/>
    </row>
    <row r="195">
      <c r="A195" s="24" t="n"/>
      <c r="B195" s="25" t="n"/>
      <c r="C195" s="25" t="n"/>
      <c r="D195" s="26">
        <f>IF(B195="","","CWP"&amp;MID(B195,4,12))</f>
        <v/>
      </c>
      <c r="E195" s="27" t="n"/>
      <c r="F195" s="25" t="n"/>
      <c r="G195" s="28" t="n"/>
      <c r="H195" s="29" t="n"/>
      <c r="I195" s="30">
        <f>IF(OR(B195="",H195="",C195=""),"",H195-7*VLOOKUP(C195,Plazos!$A$6:$F$8,2,FALSE))</f>
        <v/>
      </c>
      <c r="J195" s="30">
        <f>IF(OR(B195="",H195="",C195=""),"",H195-7*VLOOKUP(C195,Plazos!$A$6:$F$8,3,FALSE))</f>
        <v/>
      </c>
      <c r="K195" s="30">
        <f>IF(OR(B195="",H195="",C195=""),"",H195-7*VLOOKUP(C195,Plazos!$A$6:$F$8,4,FALSE))</f>
        <v/>
      </c>
      <c r="L195" s="30">
        <f>IF(OR(B195="",H195="",C195=""),"",H195-7*VLOOKUP(C195,Plazos!$A$6:$F$8,5,FALSE))</f>
        <v/>
      </c>
      <c r="M195" s="30">
        <f>IF(OR(B195="",H195="",C195=""),"",H195-7*VLOOKUP(C195,Plazos!$A$6:$F$8,6,FALSE))</f>
        <v/>
      </c>
      <c r="N195" s="29" t="n"/>
      <c r="O195" s="28" t="n"/>
      <c r="P195" s="25" t="n"/>
      <c r="Q195" s="31">
        <f>IF(OR(B195="",M195=""),"",IF(N195&lt;&gt;"",MAX(0,N195-M195),MAX(0,$B$3-M195)))</f>
        <v/>
      </c>
      <c r="R195" s="26">
        <f>IF(OR(B195="",M195=""),"",IF(N195&lt;&gt;"",IF(Q195&gt;0,"Liberado con atraso","Liberado a tiempo"),IF($B$3&gt;M195,"Vencido sin liberar",IF(M195-$B$3&lt;=14,"Próximo a liberar","En plazo"))))</f>
        <v/>
      </c>
      <c r="S195" s="27" t="n"/>
    </row>
    <row r="196">
      <c r="A196" s="24" t="n"/>
      <c r="B196" s="25" t="n"/>
      <c r="C196" s="25" t="n"/>
      <c r="D196" s="26">
        <f>IF(B196="","","CWP"&amp;MID(B196,4,12))</f>
        <v/>
      </c>
      <c r="E196" s="27" t="n"/>
      <c r="F196" s="25" t="n"/>
      <c r="G196" s="28" t="n"/>
      <c r="H196" s="29" t="n"/>
      <c r="I196" s="30">
        <f>IF(OR(B196="",H196="",C196=""),"",H196-7*VLOOKUP(C196,Plazos!$A$6:$F$8,2,FALSE))</f>
        <v/>
      </c>
      <c r="J196" s="30">
        <f>IF(OR(B196="",H196="",C196=""),"",H196-7*VLOOKUP(C196,Plazos!$A$6:$F$8,3,FALSE))</f>
        <v/>
      </c>
      <c r="K196" s="30">
        <f>IF(OR(B196="",H196="",C196=""),"",H196-7*VLOOKUP(C196,Plazos!$A$6:$F$8,4,FALSE))</f>
        <v/>
      </c>
      <c r="L196" s="30">
        <f>IF(OR(B196="",H196="",C196=""),"",H196-7*VLOOKUP(C196,Plazos!$A$6:$F$8,5,FALSE))</f>
        <v/>
      </c>
      <c r="M196" s="30">
        <f>IF(OR(B196="",H196="",C196=""),"",H196-7*VLOOKUP(C196,Plazos!$A$6:$F$8,6,FALSE))</f>
        <v/>
      </c>
      <c r="N196" s="29" t="n"/>
      <c r="O196" s="28" t="n"/>
      <c r="P196" s="25" t="n"/>
      <c r="Q196" s="31">
        <f>IF(OR(B196="",M196=""),"",IF(N196&lt;&gt;"",MAX(0,N196-M196),MAX(0,$B$3-M196)))</f>
        <v/>
      </c>
      <c r="R196" s="26">
        <f>IF(OR(B196="",M196=""),"",IF(N196&lt;&gt;"",IF(Q196&gt;0,"Liberado con atraso","Liberado a tiempo"),IF($B$3&gt;M196,"Vencido sin liberar",IF(M196-$B$3&lt;=14,"Próximo a liberar","En plazo"))))</f>
        <v/>
      </c>
      <c r="S196" s="27" t="n"/>
    </row>
    <row r="197">
      <c r="A197" s="24" t="n"/>
      <c r="B197" s="25" t="n"/>
      <c r="C197" s="25" t="n"/>
      <c r="D197" s="26">
        <f>IF(B197="","","CWP"&amp;MID(B197,4,12))</f>
        <v/>
      </c>
      <c r="E197" s="27" t="n"/>
      <c r="F197" s="25" t="n"/>
      <c r="G197" s="28" t="n"/>
      <c r="H197" s="29" t="n"/>
      <c r="I197" s="30">
        <f>IF(OR(B197="",H197="",C197=""),"",H197-7*VLOOKUP(C197,Plazos!$A$6:$F$8,2,FALSE))</f>
        <v/>
      </c>
      <c r="J197" s="30">
        <f>IF(OR(B197="",H197="",C197=""),"",H197-7*VLOOKUP(C197,Plazos!$A$6:$F$8,3,FALSE))</f>
        <v/>
      </c>
      <c r="K197" s="30">
        <f>IF(OR(B197="",H197="",C197=""),"",H197-7*VLOOKUP(C197,Plazos!$A$6:$F$8,4,FALSE))</f>
        <v/>
      </c>
      <c r="L197" s="30">
        <f>IF(OR(B197="",H197="",C197=""),"",H197-7*VLOOKUP(C197,Plazos!$A$6:$F$8,5,FALSE))</f>
        <v/>
      </c>
      <c r="M197" s="30">
        <f>IF(OR(B197="",H197="",C197=""),"",H197-7*VLOOKUP(C197,Plazos!$A$6:$F$8,6,FALSE))</f>
        <v/>
      </c>
      <c r="N197" s="29" t="n"/>
      <c r="O197" s="28" t="n"/>
      <c r="P197" s="25" t="n"/>
      <c r="Q197" s="31">
        <f>IF(OR(B197="",M197=""),"",IF(N197&lt;&gt;"",MAX(0,N197-M197),MAX(0,$B$3-M197)))</f>
        <v/>
      </c>
      <c r="R197" s="26">
        <f>IF(OR(B197="",M197=""),"",IF(N197&lt;&gt;"",IF(Q197&gt;0,"Liberado con atraso","Liberado a tiempo"),IF($B$3&gt;M197,"Vencido sin liberar",IF(M197-$B$3&lt;=14,"Próximo a liberar","En plazo"))))</f>
        <v/>
      </c>
      <c r="S197" s="27" t="n"/>
    </row>
    <row r="198">
      <c r="A198" s="24" t="n"/>
      <c r="B198" s="25" t="n"/>
      <c r="C198" s="25" t="n"/>
      <c r="D198" s="26">
        <f>IF(B198="","","CWP"&amp;MID(B198,4,12))</f>
        <v/>
      </c>
      <c r="E198" s="27" t="n"/>
      <c r="F198" s="25" t="n"/>
      <c r="G198" s="28" t="n"/>
      <c r="H198" s="29" t="n"/>
      <c r="I198" s="30">
        <f>IF(OR(B198="",H198="",C198=""),"",H198-7*VLOOKUP(C198,Plazos!$A$6:$F$8,2,FALSE))</f>
        <v/>
      </c>
      <c r="J198" s="30">
        <f>IF(OR(B198="",H198="",C198=""),"",H198-7*VLOOKUP(C198,Plazos!$A$6:$F$8,3,FALSE))</f>
        <v/>
      </c>
      <c r="K198" s="30">
        <f>IF(OR(B198="",H198="",C198=""),"",H198-7*VLOOKUP(C198,Plazos!$A$6:$F$8,4,FALSE))</f>
        <v/>
      </c>
      <c r="L198" s="30">
        <f>IF(OR(B198="",H198="",C198=""),"",H198-7*VLOOKUP(C198,Plazos!$A$6:$F$8,5,FALSE))</f>
        <v/>
      </c>
      <c r="M198" s="30">
        <f>IF(OR(B198="",H198="",C198=""),"",H198-7*VLOOKUP(C198,Plazos!$A$6:$F$8,6,FALSE))</f>
        <v/>
      </c>
      <c r="N198" s="29" t="n"/>
      <c r="O198" s="28" t="n"/>
      <c r="P198" s="25" t="n"/>
      <c r="Q198" s="31">
        <f>IF(OR(B198="",M198=""),"",IF(N198&lt;&gt;"",MAX(0,N198-M198),MAX(0,$B$3-M198)))</f>
        <v/>
      </c>
      <c r="R198" s="26">
        <f>IF(OR(B198="",M198=""),"",IF(N198&lt;&gt;"",IF(Q198&gt;0,"Liberado con atraso","Liberado a tiempo"),IF($B$3&gt;M198,"Vencido sin liberar",IF(M198-$B$3&lt;=14,"Próximo a liberar","En plazo"))))</f>
        <v/>
      </c>
      <c r="S198" s="27" t="n"/>
    </row>
    <row r="199">
      <c r="A199" s="24" t="n"/>
      <c r="B199" s="25" t="n"/>
      <c r="C199" s="25" t="n"/>
      <c r="D199" s="26">
        <f>IF(B199="","","CWP"&amp;MID(B199,4,12))</f>
        <v/>
      </c>
      <c r="E199" s="27" t="n"/>
      <c r="F199" s="25" t="n"/>
      <c r="G199" s="28" t="n"/>
      <c r="H199" s="29" t="n"/>
      <c r="I199" s="30">
        <f>IF(OR(B199="",H199="",C199=""),"",H199-7*VLOOKUP(C199,Plazos!$A$6:$F$8,2,FALSE))</f>
        <v/>
      </c>
      <c r="J199" s="30">
        <f>IF(OR(B199="",H199="",C199=""),"",H199-7*VLOOKUP(C199,Plazos!$A$6:$F$8,3,FALSE))</f>
        <v/>
      </c>
      <c r="K199" s="30">
        <f>IF(OR(B199="",H199="",C199=""),"",H199-7*VLOOKUP(C199,Plazos!$A$6:$F$8,4,FALSE))</f>
        <v/>
      </c>
      <c r="L199" s="30">
        <f>IF(OR(B199="",H199="",C199=""),"",H199-7*VLOOKUP(C199,Plazos!$A$6:$F$8,5,FALSE))</f>
        <v/>
      </c>
      <c r="M199" s="30">
        <f>IF(OR(B199="",H199="",C199=""),"",H199-7*VLOOKUP(C199,Plazos!$A$6:$F$8,6,FALSE))</f>
        <v/>
      </c>
      <c r="N199" s="29" t="n"/>
      <c r="O199" s="28" t="n"/>
      <c r="P199" s="25" t="n"/>
      <c r="Q199" s="31">
        <f>IF(OR(B199="",M199=""),"",IF(N199&lt;&gt;"",MAX(0,N199-M199),MAX(0,$B$3-M199)))</f>
        <v/>
      </c>
      <c r="R199" s="26">
        <f>IF(OR(B199="",M199=""),"",IF(N199&lt;&gt;"",IF(Q199&gt;0,"Liberado con atraso","Liberado a tiempo"),IF($B$3&gt;M199,"Vencido sin liberar",IF(M199-$B$3&lt;=14,"Próximo a liberar","En plazo"))))</f>
        <v/>
      </c>
      <c r="S199" s="27" t="n"/>
    </row>
    <row r="200">
      <c r="A200" s="24" t="n"/>
      <c r="B200" s="25" t="n"/>
      <c r="C200" s="25" t="n"/>
      <c r="D200" s="26">
        <f>IF(B200="","","CWP"&amp;MID(B200,4,12))</f>
        <v/>
      </c>
      <c r="E200" s="27" t="n"/>
      <c r="F200" s="25" t="n"/>
      <c r="G200" s="28" t="n"/>
      <c r="H200" s="29" t="n"/>
      <c r="I200" s="30">
        <f>IF(OR(B200="",H200="",C200=""),"",H200-7*VLOOKUP(C200,Plazos!$A$6:$F$8,2,FALSE))</f>
        <v/>
      </c>
      <c r="J200" s="30">
        <f>IF(OR(B200="",H200="",C200=""),"",H200-7*VLOOKUP(C200,Plazos!$A$6:$F$8,3,FALSE))</f>
        <v/>
      </c>
      <c r="K200" s="30">
        <f>IF(OR(B200="",H200="",C200=""),"",H200-7*VLOOKUP(C200,Plazos!$A$6:$F$8,4,FALSE))</f>
        <v/>
      </c>
      <c r="L200" s="30">
        <f>IF(OR(B200="",H200="",C200=""),"",H200-7*VLOOKUP(C200,Plazos!$A$6:$F$8,5,FALSE))</f>
        <v/>
      </c>
      <c r="M200" s="30">
        <f>IF(OR(B200="",H200="",C200=""),"",H200-7*VLOOKUP(C200,Plazos!$A$6:$F$8,6,FALSE))</f>
        <v/>
      </c>
      <c r="N200" s="29" t="n"/>
      <c r="O200" s="28" t="n"/>
      <c r="P200" s="25" t="n"/>
      <c r="Q200" s="31">
        <f>IF(OR(B200="",M200=""),"",IF(N200&lt;&gt;"",MAX(0,N200-M200),MAX(0,$B$3-M200)))</f>
        <v/>
      </c>
      <c r="R200" s="26">
        <f>IF(OR(B200="",M200=""),"",IF(N200&lt;&gt;"",IF(Q200&gt;0,"Liberado con atraso","Liberado a tiempo"),IF($B$3&gt;M200,"Vencido sin liberar",IF(M200-$B$3&lt;=14,"Próximo a liberar","En plazo"))))</f>
        <v/>
      </c>
      <c r="S200" s="27" t="n"/>
    </row>
    <row r="201">
      <c r="A201" s="24" t="n"/>
      <c r="B201" s="25" t="n"/>
      <c r="C201" s="25" t="n"/>
      <c r="D201" s="26">
        <f>IF(B201="","","CWP"&amp;MID(B201,4,12))</f>
        <v/>
      </c>
      <c r="E201" s="27" t="n"/>
      <c r="F201" s="25" t="n"/>
      <c r="G201" s="28" t="n"/>
      <c r="H201" s="29" t="n"/>
      <c r="I201" s="30">
        <f>IF(OR(B201="",H201="",C201=""),"",H201-7*VLOOKUP(C201,Plazos!$A$6:$F$8,2,FALSE))</f>
        <v/>
      </c>
      <c r="J201" s="30">
        <f>IF(OR(B201="",H201="",C201=""),"",H201-7*VLOOKUP(C201,Plazos!$A$6:$F$8,3,FALSE))</f>
        <v/>
      </c>
      <c r="K201" s="30">
        <f>IF(OR(B201="",H201="",C201=""),"",H201-7*VLOOKUP(C201,Plazos!$A$6:$F$8,4,FALSE))</f>
        <v/>
      </c>
      <c r="L201" s="30">
        <f>IF(OR(B201="",H201="",C201=""),"",H201-7*VLOOKUP(C201,Plazos!$A$6:$F$8,5,FALSE))</f>
        <v/>
      </c>
      <c r="M201" s="30">
        <f>IF(OR(B201="",H201="",C201=""),"",H201-7*VLOOKUP(C201,Plazos!$A$6:$F$8,6,FALSE))</f>
        <v/>
      </c>
      <c r="N201" s="29" t="n"/>
      <c r="O201" s="28" t="n"/>
      <c r="P201" s="25" t="n"/>
      <c r="Q201" s="31">
        <f>IF(OR(B201="",M201=""),"",IF(N201&lt;&gt;"",MAX(0,N201-M201),MAX(0,$B$3-M201)))</f>
        <v/>
      </c>
      <c r="R201" s="26">
        <f>IF(OR(B201="",M201=""),"",IF(N201&lt;&gt;"",IF(Q201&gt;0,"Liberado con atraso","Liberado a tiempo"),IF($B$3&gt;M201,"Vencido sin liberar",IF(M201-$B$3&lt;=14,"Próximo a liberar","En plazo"))))</f>
        <v/>
      </c>
      <c r="S201" s="27" t="n"/>
    </row>
    <row r="202">
      <c r="A202" s="24" t="n"/>
      <c r="B202" s="25" t="n"/>
      <c r="C202" s="25" t="n"/>
      <c r="D202" s="26">
        <f>IF(B202="","","CWP"&amp;MID(B202,4,12))</f>
        <v/>
      </c>
      <c r="E202" s="27" t="n"/>
      <c r="F202" s="25" t="n"/>
      <c r="G202" s="28" t="n"/>
      <c r="H202" s="29" t="n"/>
      <c r="I202" s="30">
        <f>IF(OR(B202="",H202="",C202=""),"",H202-7*VLOOKUP(C202,Plazos!$A$6:$F$8,2,FALSE))</f>
        <v/>
      </c>
      <c r="J202" s="30">
        <f>IF(OR(B202="",H202="",C202=""),"",H202-7*VLOOKUP(C202,Plazos!$A$6:$F$8,3,FALSE))</f>
        <v/>
      </c>
      <c r="K202" s="30">
        <f>IF(OR(B202="",H202="",C202=""),"",H202-7*VLOOKUP(C202,Plazos!$A$6:$F$8,4,FALSE))</f>
        <v/>
      </c>
      <c r="L202" s="30">
        <f>IF(OR(B202="",H202="",C202=""),"",H202-7*VLOOKUP(C202,Plazos!$A$6:$F$8,5,FALSE))</f>
        <v/>
      </c>
      <c r="M202" s="30">
        <f>IF(OR(B202="",H202="",C202=""),"",H202-7*VLOOKUP(C202,Plazos!$A$6:$F$8,6,FALSE))</f>
        <v/>
      </c>
      <c r="N202" s="29" t="n"/>
      <c r="O202" s="28" t="n"/>
      <c r="P202" s="25" t="n"/>
      <c r="Q202" s="31">
        <f>IF(OR(B202="",M202=""),"",IF(N202&lt;&gt;"",MAX(0,N202-M202),MAX(0,$B$3-M202)))</f>
        <v/>
      </c>
      <c r="R202" s="26">
        <f>IF(OR(B202="",M202=""),"",IF(N202&lt;&gt;"",IF(Q202&gt;0,"Liberado con atraso","Liberado a tiempo"),IF($B$3&gt;M202,"Vencido sin liberar",IF(M202-$B$3&lt;=14,"Próximo a liberar","En plazo"))))</f>
        <v/>
      </c>
      <c r="S202" s="27" t="n"/>
    </row>
    <row r="203">
      <c r="A203" s="24" t="n"/>
      <c r="B203" s="25" t="n"/>
      <c r="C203" s="25" t="n"/>
      <c r="D203" s="26">
        <f>IF(B203="","","CWP"&amp;MID(B203,4,12))</f>
        <v/>
      </c>
      <c r="E203" s="27" t="n"/>
      <c r="F203" s="25" t="n"/>
      <c r="G203" s="28" t="n"/>
      <c r="H203" s="29" t="n"/>
      <c r="I203" s="30">
        <f>IF(OR(B203="",H203="",C203=""),"",H203-7*VLOOKUP(C203,Plazos!$A$6:$F$8,2,FALSE))</f>
        <v/>
      </c>
      <c r="J203" s="30">
        <f>IF(OR(B203="",H203="",C203=""),"",H203-7*VLOOKUP(C203,Plazos!$A$6:$F$8,3,FALSE))</f>
        <v/>
      </c>
      <c r="K203" s="30">
        <f>IF(OR(B203="",H203="",C203=""),"",H203-7*VLOOKUP(C203,Plazos!$A$6:$F$8,4,FALSE))</f>
        <v/>
      </c>
      <c r="L203" s="30">
        <f>IF(OR(B203="",H203="",C203=""),"",H203-7*VLOOKUP(C203,Plazos!$A$6:$F$8,5,FALSE))</f>
        <v/>
      </c>
      <c r="M203" s="30">
        <f>IF(OR(B203="",H203="",C203=""),"",H203-7*VLOOKUP(C203,Plazos!$A$6:$F$8,6,FALSE))</f>
        <v/>
      </c>
      <c r="N203" s="29" t="n"/>
      <c r="O203" s="28" t="n"/>
      <c r="P203" s="25" t="n"/>
      <c r="Q203" s="31">
        <f>IF(OR(B203="",M203=""),"",IF(N203&lt;&gt;"",MAX(0,N203-M203),MAX(0,$B$3-M203)))</f>
        <v/>
      </c>
      <c r="R203" s="26">
        <f>IF(OR(B203="",M203=""),"",IF(N203&lt;&gt;"",IF(Q203&gt;0,"Liberado con atraso","Liberado a tiempo"),IF($B$3&gt;M203,"Vencido sin liberar",IF(M203-$B$3&lt;=14,"Próximo a liberar","En plazo"))))</f>
        <v/>
      </c>
      <c r="S203" s="27" t="n"/>
    </row>
    <row r="204">
      <c r="A204" s="24" t="n"/>
      <c r="B204" s="25" t="n"/>
      <c r="C204" s="25" t="n"/>
      <c r="D204" s="26">
        <f>IF(B204="","","CWP"&amp;MID(B204,4,12))</f>
        <v/>
      </c>
      <c r="E204" s="27" t="n"/>
      <c r="F204" s="25" t="n"/>
      <c r="G204" s="28" t="n"/>
      <c r="H204" s="29" t="n"/>
      <c r="I204" s="30">
        <f>IF(OR(B204="",H204="",C204=""),"",H204-7*VLOOKUP(C204,Plazos!$A$6:$F$8,2,FALSE))</f>
        <v/>
      </c>
      <c r="J204" s="30">
        <f>IF(OR(B204="",H204="",C204=""),"",H204-7*VLOOKUP(C204,Plazos!$A$6:$F$8,3,FALSE))</f>
        <v/>
      </c>
      <c r="K204" s="30">
        <f>IF(OR(B204="",H204="",C204=""),"",H204-7*VLOOKUP(C204,Plazos!$A$6:$F$8,4,FALSE))</f>
        <v/>
      </c>
      <c r="L204" s="30">
        <f>IF(OR(B204="",H204="",C204=""),"",H204-7*VLOOKUP(C204,Plazos!$A$6:$F$8,5,FALSE))</f>
        <v/>
      </c>
      <c r="M204" s="30">
        <f>IF(OR(B204="",H204="",C204=""),"",H204-7*VLOOKUP(C204,Plazos!$A$6:$F$8,6,FALSE))</f>
        <v/>
      </c>
      <c r="N204" s="29" t="n"/>
      <c r="O204" s="28" t="n"/>
      <c r="P204" s="25" t="n"/>
      <c r="Q204" s="31">
        <f>IF(OR(B204="",M204=""),"",IF(N204&lt;&gt;"",MAX(0,N204-M204),MAX(0,$B$3-M204)))</f>
        <v/>
      </c>
      <c r="R204" s="26">
        <f>IF(OR(B204="",M204=""),"",IF(N204&lt;&gt;"",IF(Q204&gt;0,"Liberado con atraso","Liberado a tiempo"),IF($B$3&gt;M204,"Vencido sin liberar",IF(M204-$B$3&lt;=14,"Próximo a liberar","En plazo"))))</f>
        <v/>
      </c>
      <c r="S204" s="27" t="n"/>
    </row>
    <row r="205">
      <c r="A205" s="24" t="n"/>
      <c r="B205" s="25" t="n"/>
      <c r="C205" s="25" t="n"/>
      <c r="D205" s="26">
        <f>IF(B205="","","CWP"&amp;MID(B205,4,12))</f>
        <v/>
      </c>
      <c r="E205" s="27" t="n"/>
      <c r="F205" s="25" t="n"/>
      <c r="G205" s="28" t="n"/>
      <c r="H205" s="29" t="n"/>
      <c r="I205" s="30">
        <f>IF(OR(B205="",H205="",C205=""),"",H205-7*VLOOKUP(C205,Plazos!$A$6:$F$8,2,FALSE))</f>
        <v/>
      </c>
      <c r="J205" s="30">
        <f>IF(OR(B205="",H205="",C205=""),"",H205-7*VLOOKUP(C205,Plazos!$A$6:$F$8,3,FALSE))</f>
        <v/>
      </c>
      <c r="K205" s="30">
        <f>IF(OR(B205="",H205="",C205=""),"",H205-7*VLOOKUP(C205,Plazos!$A$6:$F$8,4,FALSE))</f>
        <v/>
      </c>
      <c r="L205" s="30">
        <f>IF(OR(B205="",H205="",C205=""),"",H205-7*VLOOKUP(C205,Plazos!$A$6:$F$8,5,FALSE))</f>
        <v/>
      </c>
      <c r="M205" s="30">
        <f>IF(OR(B205="",H205="",C205=""),"",H205-7*VLOOKUP(C205,Plazos!$A$6:$F$8,6,FALSE))</f>
        <v/>
      </c>
      <c r="N205" s="29" t="n"/>
      <c r="O205" s="28" t="n"/>
      <c r="P205" s="25" t="n"/>
      <c r="Q205" s="31">
        <f>IF(OR(B205="",M205=""),"",IF(N205&lt;&gt;"",MAX(0,N205-M205),MAX(0,$B$3-M205)))</f>
        <v/>
      </c>
      <c r="R205" s="26">
        <f>IF(OR(B205="",M205=""),"",IF(N205&lt;&gt;"",IF(Q205&gt;0,"Liberado con atraso","Liberado a tiempo"),IF($B$3&gt;M205,"Vencido sin liberar",IF(M205-$B$3&lt;=14,"Próximo a liberar","En plazo"))))</f>
        <v/>
      </c>
      <c r="S205" s="27" t="n"/>
    </row>
    <row r="206">
      <c r="A206" s="24" t="n"/>
      <c r="B206" s="25" t="n"/>
      <c r="C206" s="25" t="n"/>
      <c r="D206" s="26">
        <f>IF(B206="","","CWP"&amp;MID(B206,4,12))</f>
        <v/>
      </c>
      <c r="E206" s="27" t="n"/>
      <c r="F206" s="25" t="n"/>
      <c r="G206" s="28" t="n"/>
      <c r="H206" s="29" t="n"/>
      <c r="I206" s="30">
        <f>IF(OR(B206="",H206="",C206=""),"",H206-7*VLOOKUP(C206,Plazos!$A$6:$F$8,2,FALSE))</f>
        <v/>
      </c>
      <c r="J206" s="30">
        <f>IF(OR(B206="",H206="",C206=""),"",H206-7*VLOOKUP(C206,Plazos!$A$6:$F$8,3,FALSE))</f>
        <v/>
      </c>
      <c r="K206" s="30">
        <f>IF(OR(B206="",H206="",C206=""),"",H206-7*VLOOKUP(C206,Plazos!$A$6:$F$8,4,FALSE))</f>
        <v/>
      </c>
      <c r="L206" s="30">
        <f>IF(OR(B206="",H206="",C206=""),"",H206-7*VLOOKUP(C206,Plazos!$A$6:$F$8,5,FALSE))</f>
        <v/>
      </c>
      <c r="M206" s="30">
        <f>IF(OR(B206="",H206="",C206=""),"",H206-7*VLOOKUP(C206,Plazos!$A$6:$F$8,6,FALSE))</f>
        <v/>
      </c>
      <c r="N206" s="29" t="n"/>
      <c r="O206" s="28" t="n"/>
      <c r="P206" s="25" t="n"/>
      <c r="Q206" s="31">
        <f>IF(OR(B206="",M206=""),"",IF(N206&lt;&gt;"",MAX(0,N206-M206),MAX(0,$B$3-M206)))</f>
        <v/>
      </c>
      <c r="R206" s="26">
        <f>IF(OR(B206="",M206=""),"",IF(N206&lt;&gt;"",IF(Q206&gt;0,"Liberado con atraso","Liberado a tiempo"),IF($B$3&gt;M206,"Vencido sin liberar",IF(M206-$B$3&lt;=14,"Próximo a liberar","En plazo"))))</f>
        <v/>
      </c>
      <c r="S206" s="27" t="n"/>
    </row>
    <row r="207">
      <c r="A207" s="24" t="n"/>
      <c r="B207" s="25" t="n"/>
      <c r="C207" s="25" t="n"/>
      <c r="D207" s="26">
        <f>IF(B207="","","CWP"&amp;MID(B207,4,12))</f>
        <v/>
      </c>
      <c r="E207" s="27" t="n"/>
      <c r="F207" s="25" t="n"/>
      <c r="G207" s="28" t="n"/>
      <c r="H207" s="29" t="n"/>
      <c r="I207" s="30">
        <f>IF(OR(B207="",H207="",C207=""),"",H207-7*VLOOKUP(C207,Plazos!$A$6:$F$8,2,FALSE))</f>
        <v/>
      </c>
      <c r="J207" s="30">
        <f>IF(OR(B207="",H207="",C207=""),"",H207-7*VLOOKUP(C207,Plazos!$A$6:$F$8,3,FALSE))</f>
        <v/>
      </c>
      <c r="K207" s="30">
        <f>IF(OR(B207="",H207="",C207=""),"",H207-7*VLOOKUP(C207,Plazos!$A$6:$F$8,4,FALSE))</f>
        <v/>
      </c>
      <c r="L207" s="30">
        <f>IF(OR(B207="",H207="",C207=""),"",H207-7*VLOOKUP(C207,Plazos!$A$6:$F$8,5,FALSE))</f>
        <v/>
      </c>
      <c r="M207" s="30">
        <f>IF(OR(B207="",H207="",C207=""),"",H207-7*VLOOKUP(C207,Plazos!$A$6:$F$8,6,FALSE))</f>
        <v/>
      </c>
      <c r="N207" s="29" t="n"/>
      <c r="O207" s="28" t="n"/>
      <c r="P207" s="25" t="n"/>
      <c r="Q207" s="31">
        <f>IF(OR(B207="",M207=""),"",IF(N207&lt;&gt;"",MAX(0,N207-M207),MAX(0,$B$3-M207)))</f>
        <v/>
      </c>
      <c r="R207" s="26">
        <f>IF(OR(B207="",M207=""),"",IF(N207&lt;&gt;"",IF(Q207&gt;0,"Liberado con atraso","Liberado a tiempo"),IF($B$3&gt;M207,"Vencido sin liberar",IF(M207-$B$3&lt;=14,"Próximo a liberar","En plazo"))))</f>
        <v/>
      </c>
      <c r="S207" s="27" t="n"/>
    </row>
    <row r="208">
      <c r="A208" s="24" t="n"/>
      <c r="B208" s="25" t="n"/>
      <c r="C208" s="25" t="n"/>
      <c r="D208" s="26">
        <f>IF(B208="","","CWP"&amp;MID(B208,4,12))</f>
        <v/>
      </c>
      <c r="E208" s="27" t="n"/>
      <c r="F208" s="25" t="n"/>
      <c r="G208" s="28" t="n"/>
      <c r="H208" s="29" t="n"/>
      <c r="I208" s="30">
        <f>IF(OR(B208="",H208="",C208=""),"",H208-7*VLOOKUP(C208,Plazos!$A$6:$F$8,2,FALSE))</f>
        <v/>
      </c>
      <c r="J208" s="30">
        <f>IF(OR(B208="",H208="",C208=""),"",H208-7*VLOOKUP(C208,Plazos!$A$6:$F$8,3,FALSE))</f>
        <v/>
      </c>
      <c r="K208" s="30">
        <f>IF(OR(B208="",H208="",C208=""),"",H208-7*VLOOKUP(C208,Plazos!$A$6:$F$8,4,FALSE))</f>
        <v/>
      </c>
      <c r="L208" s="30">
        <f>IF(OR(B208="",H208="",C208=""),"",H208-7*VLOOKUP(C208,Plazos!$A$6:$F$8,5,FALSE))</f>
        <v/>
      </c>
      <c r="M208" s="30">
        <f>IF(OR(B208="",H208="",C208=""),"",H208-7*VLOOKUP(C208,Plazos!$A$6:$F$8,6,FALSE))</f>
        <v/>
      </c>
      <c r="N208" s="29" t="n"/>
      <c r="O208" s="28" t="n"/>
      <c r="P208" s="25" t="n"/>
      <c r="Q208" s="31">
        <f>IF(OR(B208="",M208=""),"",IF(N208&lt;&gt;"",MAX(0,N208-M208),MAX(0,$B$3-M208)))</f>
        <v/>
      </c>
      <c r="R208" s="26">
        <f>IF(OR(B208="",M208=""),"",IF(N208&lt;&gt;"",IF(Q208&gt;0,"Liberado con atraso","Liberado a tiempo"),IF($B$3&gt;M208,"Vencido sin liberar",IF(M208-$B$3&lt;=14,"Próximo a liberar","En plazo"))))</f>
        <v/>
      </c>
      <c r="S208" s="27" t="n"/>
    </row>
    <row r="209">
      <c r="A209" s="24" t="n"/>
      <c r="B209" s="25" t="n"/>
      <c r="C209" s="25" t="n"/>
      <c r="D209" s="26">
        <f>IF(B209="","","CWP"&amp;MID(B209,4,12))</f>
        <v/>
      </c>
      <c r="E209" s="27" t="n"/>
      <c r="F209" s="25" t="n"/>
      <c r="G209" s="28" t="n"/>
      <c r="H209" s="29" t="n"/>
      <c r="I209" s="30">
        <f>IF(OR(B209="",H209="",C209=""),"",H209-7*VLOOKUP(C209,Plazos!$A$6:$F$8,2,FALSE))</f>
        <v/>
      </c>
      <c r="J209" s="30">
        <f>IF(OR(B209="",H209="",C209=""),"",H209-7*VLOOKUP(C209,Plazos!$A$6:$F$8,3,FALSE))</f>
        <v/>
      </c>
      <c r="K209" s="30">
        <f>IF(OR(B209="",H209="",C209=""),"",H209-7*VLOOKUP(C209,Plazos!$A$6:$F$8,4,FALSE))</f>
        <v/>
      </c>
      <c r="L209" s="30">
        <f>IF(OR(B209="",H209="",C209=""),"",H209-7*VLOOKUP(C209,Plazos!$A$6:$F$8,5,FALSE))</f>
        <v/>
      </c>
      <c r="M209" s="30">
        <f>IF(OR(B209="",H209="",C209=""),"",H209-7*VLOOKUP(C209,Plazos!$A$6:$F$8,6,FALSE))</f>
        <v/>
      </c>
      <c r="N209" s="29" t="n"/>
      <c r="O209" s="28" t="n"/>
      <c r="P209" s="25" t="n"/>
      <c r="Q209" s="31">
        <f>IF(OR(B209="",M209=""),"",IF(N209&lt;&gt;"",MAX(0,N209-M209),MAX(0,$B$3-M209)))</f>
        <v/>
      </c>
      <c r="R209" s="26">
        <f>IF(OR(B209="",M209=""),"",IF(N209&lt;&gt;"",IF(Q209&gt;0,"Liberado con atraso","Liberado a tiempo"),IF($B$3&gt;M209,"Vencido sin liberar",IF(M209-$B$3&lt;=14,"Próximo a liberar","En plazo"))))</f>
        <v/>
      </c>
      <c r="S209" s="27" t="n"/>
    </row>
    <row r="210">
      <c r="A210" s="24" t="n"/>
      <c r="B210" s="25" t="n"/>
      <c r="C210" s="25" t="n"/>
      <c r="D210" s="26">
        <f>IF(B210="","","CWP"&amp;MID(B210,4,12))</f>
        <v/>
      </c>
      <c r="E210" s="27" t="n"/>
      <c r="F210" s="25" t="n"/>
      <c r="G210" s="28" t="n"/>
      <c r="H210" s="29" t="n"/>
      <c r="I210" s="30">
        <f>IF(OR(B210="",H210="",C210=""),"",H210-7*VLOOKUP(C210,Plazos!$A$6:$F$8,2,FALSE))</f>
        <v/>
      </c>
      <c r="J210" s="30">
        <f>IF(OR(B210="",H210="",C210=""),"",H210-7*VLOOKUP(C210,Plazos!$A$6:$F$8,3,FALSE))</f>
        <v/>
      </c>
      <c r="K210" s="30">
        <f>IF(OR(B210="",H210="",C210=""),"",H210-7*VLOOKUP(C210,Plazos!$A$6:$F$8,4,FALSE))</f>
        <v/>
      </c>
      <c r="L210" s="30">
        <f>IF(OR(B210="",H210="",C210=""),"",H210-7*VLOOKUP(C210,Plazos!$A$6:$F$8,5,FALSE))</f>
        <v/>
      </c>
      <c r="M210" s="30">
        <f>IF(OR(B210="",H210="",C210=""),"",H210-7*VLOOKUP(C210,Plazos!$A$6:$F$8,6,FALSE))</f>
        <v/>
      </c>
      <c r="N210" s="29" t="n"/>
      <c r="O210" s="28" t="n"/>
      <c r="P210" s="25" t="n"/>
      <c r="Q210" s="31">
        <f>IF(OR(B210="",M210=""),"",IF(N210&lt;&gt;"",MAX(0,N210-M210),MAX(0,$B$3-M210)))</f>
        <v/>
      </c>
      <c r="R210" s="26">
        <f>IF(OR(B210="",M210=""),"",IF(N210&lt;&gt;"",IF(Q210&gt;0,"Liberado con atraso","Liberado a tiempo"),IF($B$3&gt;M210,"Vencido sin liberar",IF(M210-$B$3&lt;=14,"Próximo a liberar","En plazo"))))</f>
        <v/>
      </c>
      <c r="S210" s="27" t="n"/>
    </row>
    <row r="211">
      <c r="A211" s="24" t="n"/>
      <c r="B211" s="25" t="n"/>
      <c r="C211" s="25" t="n"/>
      <c r="D211" s="26">
        <f>IF(B211="","","CWP"&amp;MID(B211,4,12))</f>
        <v/>
      </c>
      <c r="E211" s="27" t="n"/>
      <c r="F211" s="25" t="n"/>
      <c r="G211" s="28" t="n"/>
      <c r="H211" s="29" t="n"/>
      <c r="I211" s="30">
        <f>IF(OR(B211="",H211="",C211=""),"",H211-7*VLOOKUP(C211,Plazos!$A$6:$F$8,2,FALSE))</f>
        <v/>
      </c>
      <c r="J211" s="30">
        <f>IF(OR(B211="",H211="",C211=""),"",H211-7*VLOOKUP(C211,Plazos!$A$6:$F$8,3,FALSE))</f>
        <v/>
      </c>
      <c r="K211" s="30">
        <f>IF(OR(B211="",H211="",C211=""),"",H211-7*VLOOKUP(C211,Plazos!$A$6:$F$8,4,FALSE))</f>
        <v/>
      </c>
      <c r="L211" s="30">
        <f>IF(OR(B211="",H211="",C211=""),"",H211-7*VLOOKUP(C211,Plazos!$A$6:$F$8,5,FALSE))</f>
        <v/>
      </c>
      <c r="M211" s="30">
        <f>IF(OR(B211="",H211="",C211=""),"",H211-7*VLOOKUP(C211,Plazos!$A$6:$F$8,6,FALSE))</f>
        <v/>
      </c>
      <c r="N211" s="29" t="n"/>
      <c r="O211" s="28" t="n"/>
      <c r="P211" s="25" t="n"/>
      <c r="Q211" s="31">
        <f>IF(OR(B211="",M211=""),"",IF(N211&lt;&gt;"",MAX(0,N211-M211),MAX(0,$B$3-M211)))</f>
        <v/>
      </c>
      <c r="R211" s="26">
        <f>IF(OR(B211="",M211=""),"",IF(N211&lt;&gt;"",IF(Q211&gt;0,"Liberado con atraso","Liberado a tiempo"),IF($B$3&gt;M211,"Vencido sin liberar",IF(M211-$B$3&lt;=14,"Próximo a liberar","En plazo"))))</f>
        <v/>
      </c>
      <c r="S211" s="27" t="n"/>
    </row>
    <row r="212">
      <c r="A212" s="24" t="n"/>
      <c r="B212" s="25" t="n"/>
      <c r="C212" s="25" t="n"/>
      <c r="D212" s="26">
        <f>IF(B212="","","CWP"&amp;MID(B212,4,12))</f>
        <v/>
      </c>
      <c r="E212" s="27" t="n"/>
      <c r="F212" s="25" t="n"/>
      <c r="G212" s="28" t="n"/>
      <c r="H212" s="29" t="n"/>
      <c r="I212" s="30">
        <f>IF(OR(B212="",H212="",C212=""),"",H212-7*VLOOKUP(C212,Plazos!$A$6:$F$8,2,FALSE))</f>
        <v/>
      </c>
      <c r="J212" s="30">
        <f>IF(OR(B212="",H212="",C212=""),"",H212-7*VLOOKUP(C212,Plazos!$A$6:$F$8,3,FALSE))</f>
        <v/>
      </c>
      <c r="K212" s="30">
        <f>IF(OR(B212="",H212="",C212=""),"",H212-7*VLOOKUP(C212,Plazos!$A$6:$F$8,4,FALSE))</f>
        <v/>
      </c>
      <c r="L212" s="30">
        <f>IF(OR(B212="",H212="",C212=""),"",H212-7*VLOOKUP(C212,Plazos!$A$6:$F$8,5,FALSE))</f>
        <v/>
      </c>
      <c r="M212" s="30">
        <f>IF(OR(B212="",H212="",C212=""),"",H212-7*VLOOKUP(C212,Plazos!$A$6:$F$8,6,FALSE))</f>
        <v/>
      </c>
      <c r="N212" s="29" t="n"/>
      <c r="O212" s="28" t="n"/>
      <c r="P212" s="25" t="n"/>
      <c r="Q212" s="31">
        <f>IF(OR(B212="",M212=""),"",IF(N212&lt;&gt;"",MAX(0,N212-M212),MAX(0,$B$3-M212)))</f>
        <v/>
      </c>
      <c r="R212" s="26">
        <f>IF(OR(B212="",M212=""),"",IF(N212&lt;&gt;"",IF(Q212&gt;0,"Liberado con atraso","Liberado a tiempo"),IF($B$3&gt;M212,"Vencido sin liberar",IF(M212-$B$3&lt;=14,"Próximo a liberar","En plazo"))))</f>
        <v/>
      </c>
      <c r="S212" s="27" t="n"/>
    </row>
    <row r="213">
      <c r="A213" s="24" t="n"/>
      <c r="B213" s="25" t="n"/>
      <c r="C213" s="25" t="n"/>
      <c r="D213" s="26">
        <f>IF(B213="","","CWP"&amp;MID(B213,4,12))</f>
        <v/>
      </c>
      <c r="E213" s="27" t="n"/>
      <c r="F213" s="25" t="n"/>
      <c r="G213" s="28" t="n"/>
      <c r="H213" s="29" t="n"/>
      <c r="I213" s="30">
        <f>IF(OR(B213="",H213="",C213=""),"",H213-7*VLOOKUP(C213,Plazos!$A$6:$F$8,2,FALSE))</f>
        <v/>
      </c>
      <c r="J213" s="30">
        <f>IF(OR(B213="",H213="",C213=""),"",H213-7*VLOOKUP(C213,Plazos!$A$6:$F$8,3,FALSE))</f>
        <v/>
      </c>
      <c r="K213" s="30">
        <f>IF(OR(B213="",H213="",C213=""),"",H213-7*VLOOKUP(C213,Plazos!$A$6:$F$8,4,FALSE))</f>
        <v/>
      </c>
      <c r="L213" s="30">
        <f>IF(OR(B213="",H213="",C213=""),"",H213-7*VLOOKUP(C213,Plazos!$A$6:$F$8,5,FALSE))</f>
        <v/>
      </c>
      <c r="M213" s="30">
        <f>IF(OR(B213="",H213="",C213=""),"",H213-7*VLOOKUP(C213,Plazos!$A$6:$F$8,6,FALSE))</f>
        <v/>
      </c>
      <c r="N213" s="29" t="n"/>
      <c r="O213" s="28" t="n"/>
      <c r="P213" s="25" t="n"/>
      <c r="Q213" s="31">
        <f>IF(OR(B213="",M213=""),"",IF(N213&lt;&gt;"",MAX(0,N213-M213),MAX(0,$B$3-M213)))</f>
        <v/>
      </c>
      <c r="R213" s="26">
        <f>IF(OR(B213="",M213=""),"",IF(N213&lt;&gt;"",IF(Q213&gt;0,"Liberado con atraso","Liberado a tiempo"),IF($B$3&gt;M213,"Vencido sin liberar",IF(M213-$B$3&lt;=14,"Próximo a liberar","En plazo"))))</f>
        <v/>
      </c>
      <c r="S213" s="27" t="n"/>
    </row>
    <row r="214">
      <c r="A214" s="24" t="n"/>
      <c r="B214" s="25" t="n"/>
      <c r="C214" s="25" t="n"/>
      <c r="D214" s="26">
        <f>IF(B214="","","CWP"&amp;MID(B214,4,12))</f>
        <v/>
      </c>
      <c r="E214" s="27" t="n"/>
      <c r="F214" s="25" t="n"/>
      <c r="G214" s="28" t="n"/>
      <c r="H214" s="29" t="n"/>
      <c r="I214" s="30">
        <f>IF(OR(B214="",H214="",C214=""),"",H214-7*VLOOKUP(C214,Plazos!$A$6:$F$8,2,FALSE))</f>
        <v/>
      </c>
      <c r="J214" s="30">
        <f>IF(OR(B214="",H214="",C214=""),"",H214-7*VLOOKUP(C214,Plazos!$A$6:$F$8,3,FALSE))</f>
        <v/>
      </c>
      <c r="K214" s="30">
        <f>IF(OR(B214="",H214="",C214=""),"",H214-7*VLOOKUP(C214,Plazos!$A$6:$F$8,4,FALSE))</f>
        <v/>
      </c>
      <c r="L214" s="30">
        <f>IF(OR(B214="",H214="",C214=""),"",H214-7*VLOOKUP(C214,Plazos!$A$6:$F$8,5,FALSE))</f>
        <v/>
      </c>
      <c r="M214" s="30">
        <f>IF(OR(B214="",H214="",C214=""),"",H214-7*VLOOKUP(C214,Plazos!$A$6:$F$8,6,FALSE))</f>
        <v/>
      </c>
      <c r="N214" s="29" t="n"/>
      <c r="O214" s="28" t="n"/>
      <c r="P214" s="25" t="n"/>
      <c r="Q214" s="31">
        <f>IF(OR(B214="",M214=""),"",IF(N214&lt;&gt;"",MAX(0,N214-M214),MAX(0,$B$3-M214)))</f>
        <v/>
      </c>
      <c r="R214" s="26">
        <f>IF(OR(B214="",M214=""),"",IF(N214&lt;&gt;"",IF(Q214&gt;0,"Liberado con atraso","Liberado a tiempo"),IF($B$3&gt;M214,"Vencido sin liberar",IF(M214-$B$3&lt;=14,"Próximo a liberar","En plazo"))))</f>
        <v/>
      </c>
      <c r="S214" s="27" t="n"/>
    </row>
    <row r="215">
      <c r="A215" s="24" t="n"/>
      <c r="B215" s="25" t="n"/>
      <c r="C215" s="25" t="n"/>
      <c r="D215" s="26">
        <f>IF(B215="","","CWP"&amp;MID(B215,4,12))</f>
        <v/>
      </c>
      <c r="E215" s="27" t="n"/>
      <c r="F215" s="25" t="n"/>
      <c r="G215" s="28" t="n"/>
      <c r="H215" s="29" t="n"/>
      <c r="I215" s="30">
        <f>IF(OR(B215="",H215="",C215=""),"",H215-7*VLOOKUP(C215,Plazos!$A$6:$F$8,2,FALSE))</f>
        <v/>
      </c>
      <c r="J215" s="30">
        <f>IF(OR(B215="",H215="",C215=""),"",H215-7*VLOOKUP(C215,Plazos!$A$6:$F$8,3,FALSE))</f>
        <v/>
      </c>
      <c r="K215" s="30">
        <f>IF(OR(B215="",H215="",C215=""),"",H215-7*VLOOKUP(C215,Plazos!$A$6:$F$8,4,FALSE))</f>
        <v/>
      </c>
      <c r="L215" s="30">
        <f>IF(OR(B215="",H215="",C215=""),"",H215-7*VLOOKUP(C215,Plazos!$A$6:$F$8,5,FALSE))</f>
        <v/>
      </c>
      <c r="M215" s="30">
        <f>IF(OR(B215="",H215="",C215=""),"",H215-7*VLOOKUP(C215,Plazos!$A$6:$F$8,6,FALSE))</f>
        <v/>
      </c>
      <c r="N215" s="29" t="n"/>
      <c r="O215" s="28" t="n"/>
      <c r="P215" s="25" t="n"/>
      <c r="Q215" s="31">
        <f>IF(OR(B215="",M215=""),"",IF(N215&lt;&gt;"",MAX(0,N215-M215),MAX(0,$B$3-M215)))</f>
        <v/>
      </c>
      <c r="R215" s="26">
        <f>IF(OR(B215="",M215=""),"",IF(N215&lt;&gt;"",IF(Q215&gt;0,"Liberado con atraso","Liberado a tiempo"),IF($B$3&gt;M215,"Vencido sin liberar",IF(M215-$B$3&lt;=14,"Próximo a liberar","En plazo"))))</f>
        <v/>
      </c>
      <c r="S215" s="27" t="n"/>
    </row>
    <row r="216">
      <c r="A216" s="24" t="n"/>
      <c r="B216" s="25" t="n"/>
      <c r="C216" s="25" t="n"/>
      <c r="D216" s="26">
        <f>IF(B216="","","CWP"&amp;MID(B216,4,12))</f>
        <v/>
      </c>
      <c r="E216" s="27" t="n"/>
      <c r="F216" s="25" t="n"/>
      <c r="G216" s="28" t="n"/>
      <c r="H216" s="29" t="n"/>
      <c r="I216" s="30">
        <f>IF(OR(B216="",H216="",C216=""),"",H216-7*VLOOKUP(C216,Plazos!$A$6:$F$8,2,FALSE))</f>
        <v/>
      </c>
      <c r="J216" s="30">
        <f>IF(OR(B216="",H216="",C216=""),"",H216-7*VLOOKUP(C216,Plazos!$A$6:$F$8,3,FALSE))</f>
        <v/>
      </c>
      <c r="K216" s="30">
        <f>IF(OR(B216="",H216="",C216=""),"",H216-7*VLOOKUP(C216,Plazos!$A$6:$F$8,4,FALSE))</f>
        <v/>
      </c>
      <c r="L216" s="30">
        <f>IF(OR(B216="",H216="",C216=""),"",H216-7*VLOOKUP(C216,Plazos!$A$6:$F$8,5,FALSE))</f>
        <v/>
      </c>
      <c r="M216" s="30">
        <f>IF(OR(B216="",H216="",C216=""),"",H216-7*VLOOKUP(C216,Plazos!$A$6:$F$8,6,FALSE))</f>
        <v/>
      </c>
      <c r="N216" s="29" t="n"/>
      <c r="O216" s="28" t="n"/>
      <c r="P216" s="25" t="n"/>
      <c r="Q216" s="31">
        <f>IF(OR(B216="",M216=""),"",IF(N216&lt;&gt;"",MAX(0,N216-M216),MAX(0,$B$3-M216)))</f>
        <v/>
      </c>
      <c r="R216" s="26">
        <f>IF(OR(B216="",M216=""),"",IF(N216&lt;&gt;"",IF(Q216&gt;0,"Liberado con atraso","Liberado a tiempo"),IF($B$3&gt;M216,"Vencido sin liberar",IF(M216-$B$3&lt;=14,"Próximo a liberar","En plazo"))))</f>
        <v/>
      </c>
      <c r="S216" s="27" t="n"/>
    </row>
    <row r="217">
      <c r="A217" s="24" t="n"/>
      <c r="B217" s="25" t="n"/>
      <c r="C217" s="25" t="n"/>
      <c r="D217" s="26">
        <f>IF(B217="","","CWP"&amp;MID(B217,4,12))</f>
        <v/>
      </c>
      <c r="E217" s="27" t="n"/>
      <c r="F217" s="25" t="n"/>
      <c r="G217" s="28" t="n"/>
      <c r="H217" s="29" t="n"/>
      <c r="I217" s="30">
        <f>IF(OR(B217="",H217="",C217=""),"",H217-7*VLOOKUP(C217,Plazos!$A$6:$F$8,2,FALSE))</f>
        <v/>
      </c>
      <c r="J217" s="30">
        <f>IF(OR(B217="",H217="",C217=""),"",H217-7*VLOOKUP(C217,Plazos!$A$6:$F$8,3,FALSE))</f>
        <v/>
      </c>
      <c r="K217" s="30">
        <f>IF(OR(B217="",H217="",C217=""),"",H217-7*VLOOKUP(C217,Plazos!$A$6:$F$8,4,FALSE))</f>
        <v/>
      </c>
      <c r="L217" s="30">
        <f>IF(OR(B217="",H217="",C217=""),"",H217-7*VLOOKUP(C217,Plazos!$A$6:$F$8,5,FALSE))</f>
        <v/>
      </c>
      <c r="M217" s="30">
        <f>IF(OR(B217="",H217="",C217=""),"",H217-7*VLOOKUP(C217,Plazos!$A$6:$F$8,6,FALSE))</f>
        <v/>
      </c>
      <c r="N217" s="29" t="n"/>
      <c r="O217" s="28" t="n"/>
      <c r="P217" s="25" t="n"/>
      <c r="Q217" s="31">
        <f>IF(OR(B217="",M217=""),"",IF(N217&lt;&gt;"",MAX(0,N217-M217),MAX(0,$B$3-M217)))</f>
        <v/>
      </c>
      <c r="R217" s="26">
        <f>IF(OR(B217="",M217=""),"",IF(N217&lt;&gt;"",IF(Q217&gt;0,"Liberado con atraso","Liberado a tiempo"),IF($B$3&gt;M217,"Vencido sin liberar",IF(M217-$B$3&lt;=14,"Próximo a liberar","En plazo"))))</f>
        <v/>
      </c>
      <c r="S217" s="27" t="n"/>
    </row>
    <row r="218">
      <c r="A218" s="24" t="n"/>
      <c r="B218" s="25" t="n"/>
      <c r="C218" s="25" t="n"/>
      <c r="D218" s="26">
        <f>IF(B218="","","CWP"&amp;MID(B218,4,12))</f>
        <v/>
      </c>
      <c r="E218" s="27" t="n"/>
      <c r="F218" s="25" t="n"/>
      <c r="G218" s="28" t="n"/>
      <c r="H218" s="29" t="n"/>
      <c r="I218" s="30">
        <f>IF(OR(B218="",H218="",C218=""),"",H218-7*VLOOKUP(C218,Plazos!$A$6:$F$8,2,FALSE))</f>
        <v/>
      </c>
      <c r="J218" s="30">
        <f>IF(OR(B218="",H218="",C218=""),"",H218-7*VLOOKUP(C218,Plazos!$A$6:$F$8,3,FALSE))</f>
        <v/>
      </c>
      <c r="K218" s="30">
        <f>IF(OR(B218="",H218="",C218=""),"",H218-7*VLOOKUP(C218,Plazos!$A$6:$F$8,4,FALSE))</f>
        <v/>
      </c>
      <c r="L218" s="30">
        <f>IF(OR(B218="",H218="",C218=""),"",H218-7*VLOOKUP(C218,Plazos!$A$6:$F$8,5,FALSE))</f>
        <v/>
      </c>
      <c r="M218" s="30">
        <f>IF(OR(B218="",H218="",C218=""),"",H218-7*VLOOKUP(C218,Plazos!$A$6:$F$8,6,FALSE))</f>
        <v/>
      </c>
      <c r="N218" s="29" t="n"/>
      <c r="O218" s="28" t="n"/>
      <c r="P218" s="25" t="n"/>
      <c r="Q218" s="31">
        <f>IF(OR(B218="",M218=""),"",IF(N218&lt;&gt;"",MAX(0,N218-M218),MAX(0,$B$3-M218)))</f>
        <v/>
      </c>
      <c r="R218" s="26">
        <f>IF(OR(B218="",M218=""),"",IF(N218&lt;&gt;"",IF(Q218&gt;0,"Liberado con atraso","Liberado a tiempo"),IF($B$3&gt;M218,"Vencido sin liberar",IF(M218-$B$3&lt;=14,"Próximo a liberar","En plazo"))))</f>
        <v/>
      </c>
      <c r="S218" s="27" t="n"/>
    </row>
    <row r="219">
      <c r="A219" s="24" t="n"/>
      <c r="B219" s="25" t="n"/>
      <c r="C219" s="25" t="n"/>
      <c r="D219" s="26">
        <f>IF(B219="","","CWP"&amp;MID(B219,4,12))</f>
        <v/>
      </c>
      <c r="E219" s="27" t="n"/>
      <c r="F219" s="25" t="n"/>
      <c r="G219" s="28" t="n"/>
      <c r="H219" s="29" t="n"/>
      <c r="I219" s="30">
        <f>IF(OR(B219="",H219="",C219=""),"",H219-7*VLOOKUP(C219,Plazos!$A$6:$F$8,2,FALSE))</f>
        <v/>
      </c>
      <c r="J219" s="30">
        <f>IF(OR(B219="",H219="",C219=""),"",H219-7*VLOOKUP(C219,Plazos!$A$6:$F$8,3,FALSE))</f>
        <v/>
      </c>
      <c r="K219" s="30">
        <f>IF(OR(B219="",H219="",C219=""),"",H219-7*VLOOKUP(C219,Plazos!$A$6:$F$8,4,FALSE))</f>
        <v/>
      </c>
      <c r="L219" s="30">
        <f>IF(OR(B219="",H219="",C219=""),"",H219-7*VLOOKUP(C219,Plazos!$A$6:$F$8,5,FALSE))</f>
        <v/>
      </c>
      <c r="M219" s="30">
        <f>IF(OR(B219="",H219="",C219=""),"",H219-7*VLOOKUP(C219,Plazos!$A$6:$F$8,6,FALSE))</f>
        <v/>
      </c>
      <c r="N219" s="29" t="n"/>
      <c r="O219" s="28" t="n"/>
      <c r="P219" s="25" t="n"/>
      <c r="Q219" s="31">
        <f>IF(OR(B219="",M219=""),"",IF(N219&lt;&gt;"",MAX(0,N219-M219),MAX(0,$B$3-M219)))</f>
        <v/>
      </c>
      <c r="R219" s="26">
        <f>IF(OR(B219="",M219=""),"",IF(N219&lt;&gt;"",IF(Q219&gt;0,"Liberado con atraso","Liberado a tiempo"),IF($B$3&gt;M219,"Vencido sin liberar",IF(M219-$B$3&lt;=14,"Próximo a liberar","En plazo"))))</f>
        <v/>
      </c>
      <c r="S219" s="27" t="n"/>
    </row>
    <row r="220">
      <c r="A220" s="24" t="n"/>
      <c r="B220" s="25" t="n"/>
      <c r="C220" s="25" t="n"/>
      <c r="D220" s="26">
        <f>IF(B220="","","CWP"&amp;MID(B220,4,12))</f>
        <v/>
      </c>
      <c r="E220" s="27" t="n"/>
      <c r="F220" s="25" t="n"/>
      <c r="G220" s="28" t="n"/>
      <c r="H220" s="29" t="n"/>
      <c r="I220" s="30">
        <f>IF(OR(B220="",H220="",C220=""),"",H220-7*VLOOKUP(C220,Plazos!$A$6:$F$8,2,FALSE))</f>
        <v/>
      </c>
      <c r="J220" s="30">
        <f>IF(OR(B220="",H220="",C220=""),"",H220-7*VLOOKUP(C220,Plazos!$A$6:$F$8,3,FALSE))</f>
        <v/>
      </c>
      <c r="K220" s="30">
        <f>IF(OR(B220="",H220="",C220=""),"",H220-7*VLOOKUP(C220,Plazos!$A$6:$F$8,4,FALSE))</f>
        <v/>
      </c>
      <c r="L220" s="30">
        <f>IF(OR(B220="",H220="",C220=""),"",H220-7*VLOOKUP(C220,Plazos!$A$6:$F$8,5,FALSE))</f>
        <v/>
      </c>
      <c r="M220" s="30">
        <f>IF(OR(B220="",H220="",C220=""),"",H220-7*VLOOKUP(C220,Plazos!$A$6:$F$8,6,FALSE))</f>
        <v/>
      </c>
      <c r="N220" s="29" t="n"/>
      <c r="O220" s="28" t="n"/>
      <c r="P220" s="25" t="n"/>
      <c r="Q220" s="31">
        <f>IF(OR(B220="",M220=""),"",IF(N220&lt;&gt;"",MAX(0,N220-M220),MAX(0,$B$3-M220)))</f>
        <v/>
      </c>
      <c r="R220" s="26">
        <f>IF(OR(B220="",M220=""),"",IF(N220&lt;&gt;"",IF(Q220&gt;0,"Liberado con atraso","Liberado a tiempo"),IF($B$3&gt;M220,"Vencido sin liberar",IF(M220-$B$3&lt;=14,"Próximo a liberar","En plazo"))))</f>
        <v/>
      </c>
      <c r="S220" s="27" t="n"/>
    </row>
    <row r="221">
      <c r="A221" s="24" t="n"/>
      <c r="B221" s="25" t="n"/>
      <c r="C221" s="25" t="n"/>
      <c r="D221" s="26">
        <f>IF(B221="","","CWP"&amp;MID(B221,4,12))</f>
        <v/>
      </c>
      <c r="E221" s="27" t="n"/>
      <c r="F221" s="25" t="n"/>
      <c r="G221" s="28" t="n"/>
      <c r="H221" s="29" t="n"/>
      <c r="I221" s="30">
        <f>IF(OR(B221="",H221="",C221=""),"",H221-7*VLOOKUP(C221,Plazos!$A$6:$F$8,2,FALSE))</f>
        <v/>
      </c>
      <c r="J221" s="30">
        <f>IF(OR(B221="",H221="",C221=""),"",H221-7*VLOOKUP(C221,Plazos!$A$6:$F$8,3,FALSE))</f>
        <v/>
      </c>
      <c r="K221" s="30">
        <f>IF(OR(B221="",H221="",C221=""),"",H221-7*VLOOKUP(C221,Plazos!$A$6:$F$8,4,FALSE))</f>
        <v/>
      </c>
      <c r="L221" s="30">
        <f>IF(OR(B221="",H221="",C221=""),"",H221-7*VLOOKUP(C221,Plazos!$A$6:$F$8,5,FALSE))</f>
        <v/>
      </c>
      <c r="M221" s="30">
        <f>IF(OR(B221="",H221="",C221=""),"",H221-7*VLOOKUP(C221,Plazos!$A$6:$F$8,6,FALSE))</f>
        <v/>
      </c>
      <c r="N221" s="29" t="n"/>
      <c r="O221" s="28" t="n"/>
      <c r="P221" s="25" t="n"/>
      <c r="Q221" s="31">
        <f>IF(OR(B221="",M221=""),"",IF(N221&lt;&gt;"",MAX(0,N221-M221),MAX(0,$B$3-M221)))</f>
        <v/>
      </c>
      <c r="R221" s="26">
        <f>IF(OR(B221="",M221=""),"",IF(N221&lt;&gt;"",IF(Q221&gt;0,"Liberado con atraso","Liberado a tiempo"),IF($B$3&gt;M221,"Vencido sin liberar",IF(M221-$B$3&lt;=14,"Próximo a liberar","En plazo"))))</f>
        <v/>
      </c>
      <c r="S221" s="27" t="n"/>
    </row>
    <row r="222">
      <c r="A222" s="24" t="n"/>
      <c r="B222" s="25" t="n"/>
      <c r="C222" s="25" t="n"/>
      <c r="D222" s="26">
        <f>IF(B222="","","CWP"&amp;MID(B222,4,12))</f>
        <v/>
      </c>
      <c r="E222" s="27" t="n"/>
      <c r="F222" s="25" t="n"/>
      <c r="G222" s="28" t="n"/>
      <c r="H222" s="29" t="n"/>
      <c r="I222" s="30">
        <f>IF(OR(B222="",H222="",C222=""),"",H222-7*VLOOKUP(C222,Plazos!$A$6:$F$8,2,FALSE))</f>
        <v/>
      </c>
      <c r="J222" s="30">
        <f>IF(OR(B222="",H222="",C222=""),"",H222-7*VLOOKUP(C222,Plazos!$A$6:$F$8,3,FALSE))</f>
        <v/>
      </c>
      <c r="K222" s="30">
        <f>IF(OR(B222="",H222="",C222=""),"",H222-7*VLOOKUP(C222,Plazos!$A$6:$F$8,4,FALSE))</f>
        <v/>
      </c>
      <c r="L222" s="30">
        <f>IF(OR(B222="",H222="",C222=""),"",H222-7*VLOOKUP(C222,Plazos!$A$6:$F$8,5,FALSE))</f>
        <v/>
      </c>
      <c r="M222" s="30">
        <f>IF(OR(B222="",H222="",C222=""),"",H222-7*VLOOKUP(C222,Plazos!$A$6:$F$8,6,FALSE))</f>
        <v/>
      </c>
      <c r="N222" s="29" t="n"/>
      <c r="O222" s="28" t="n"/>
      <c r="P222" s="25" t="n"/>
      <c r="Q222" s="31">
        <f>IF(OR(B222="",M222=""),"",IF(N222&lt;&gt;"",MAX(0,N222-M222),MAX(0,$B$3-M222)))</f>
        <v/>
      </c>
      <c r="R222" s="26">
        <f>IF(OR(B222="",M222=""),"",IF(N222&lt;&gt;"",IF(Q222&gt;0,"Liberado con atraso","Liberado a tiempo"),IF($B$3&gt;M222,"Vencido sin liberar",IF(M222-$B$3&lt;=14,"Próximo a liberar","En plazo"))))</f>
        <v/>
      </c>
      <c r="S222" s="27" t="n"/>
    </row>
    <row r="223">
      <c r="A223" s="24" t="n"/>
      <c r="B223" s="25" t="n"/>
      <c r="C223" s="25" t="n"/>
      <c r="D223" s="26">
        <f>IF(B223="","","CWP"&amp;MID(B223,4,12))</f>
        <v/>
      </c>
      <c r="E223" s="27" t="n"/>
      <c r="F223" s="25" t="n"/>
      <c r="G223" s="28" t="n"/>
      <c r="H223" s="29" t="n"/>
      <c r="I223" s="30">
        <f>IF(OR(B223="",H223="",C223=""),"",H223-7*VLOOKUP(C223,Plazos!$A$6:$F$8,2,FALSE))</f>
        <v/>
      </c>
      <c r="J223" s="30">
        <f>IF(OR(B223="",H223="",C223=""),"",H223-7*VLOOKUP(C223,Plazos!$A$6:$F$8,3,FALSE))</f>
        <v/>
      </c>
      <c r="K223" s="30">
        <f>IF(OR(B223="",H223="",C223=""),"",H223-7*VLOOKUP(C223,Plazos!$A$6:$F$8,4,FALSE))</f>
        <v/>
      </c>
      <c r="L223" s="30">
        <f>IF(OR(B223="",H223="",C223=""),"",H223-7*VLOOKUP(C223,Plazos!$A$6:$F$8,5,FALSE))</f>
        <v/>
      </c>
      <c r="M223" s="30">
        <f>IF(OR(B223="",H223="",C223=""),"",H223-7*VLOOKUP(C223,Plazos!$A$6:$F$8,6,FALSE))</f>
        <v/>
      </c>
      <c r="N223" s="29" t="n"/>
      <c r="O223" s="28" t="n"/>
      <c r="P223" s="25" t="n"/>
      <c r="Q223" s="31">
        <f>IF(OR(B223="",M223=""),"",IF(N223&lt;&gt;"",MAX(0,N223-M223),MAX(0,$B$3-M223)))</f>
        <v/>
      </c>
      <c r="R223" s="26">
        <f>IF(OR(B223="",M223=""),"",IF(N223&lt;&gt;"",IF(Q223&gt;0,"Liberado con atraso","Liberado a tiempo"),IF($B$3&gt;M223,"Vencido sin liberar",IF(M223-$B$3&lt;=14,"Próximo a liberar","En plazo"))))</f>
        <v/>
      </c>
      <c r="S223" s="27" t="n"/>
    </row>
    <row r="224">
      <c r="A224" s="24" t="n"/>
      <c r="B224" s="25" t="n"/>
      <c r="C224" s="25" t="n"/>
      <c r="D224" s="26">
        <f>IF(B224="","","CWP"&amp;MID(B224,4,12))</f>
        <v/>
      </c>
      <c r="E224" s="27" t="n"/>
      <c r="F224" s="25" t="n"/>
      <c r="G224" s="28" t="n"/>
      <c r="H224" s="29" t="n"/>
      <c r="I224" s="30">
        <f>IF(OR(B224="",H224="",C224=""),"",H224-7*VLOOKUP(C224,Plazos!$A$6:$F$8,2,FALSE))</f>
        <v/>
      </c>
      <c r="J224" s="30">
        <f>IF(OR(B224="",H224="",C224=""),"",H224-7*VLOOKUP(C224,Plazos!$A$6:$F$8,3,FALSE))</f>
        <v/>
      </c>
      <c r="K224" s="30">
        <f>IF(OR(B224="",H224="",C224=""),"",H224-7*VLOOKUP(C224,Plazos!$A$6:$F$8,4,FALSE))</f>
        <v/>
      </c>
      <c r="L224" s="30">
        <f>IF(OR(B224="",H224="",C224=""),"",H224-7*VLOOKUP(C224,Plazos!$A$6:$F$8,5,FALSE))</f>
        <v/>
      </c>
      <c r="M224" s="30">
        <f>IF(OR(B224="",H224="",C224=""),"",H224-7*VLOOKUP(C224,Plazos!$A$6:$F$8,6,FALSE))</f>
        <v/>
      </c>
      <c r="N224" s="29" t="n"/>
      <c r="O224" s="28" t="n"/>
      <c r="P224" s="25" t="n"/>
      <c r="Q224" s="31">
        <f>IF(OR(B224="",M224=""),"",IF(N224&lt;&gt;"",MAX(0,N224-M224),MAX(0,$B$3-M224)))</f>
        <v/>
      </c>
      <c r="R224" s="26">
        <f>IF(OR(B224="",M224=""),"",IF(N224&lt;&gt;"",IF(Q224&gt;0,"Liberado con atraso","Liberado a tiempo"),IF($B$3&gt;M224,"Vencido sin liberar",IF(M224-$B$3&lt;=14,"Próximo a liberar","En plazo"))))</f>
        <v/>
      </c>
      <c r="S224" s="27" t="n"/>
    </row>
    <row r="225">
      <c r="A225" s="24" t="n"/>
      <c r="B225" s="25" t="n"/>
      <c r="C225" s="25" t="n"/>
      <c r="D225" s="26">
        <f>IF(B225="","","CWP"&amp;MID(B225,4,12))</f>
        <v/>
      </c>
      <c r="E225" s="27" t="n"/>
      <c r="F225" s="25" t="n"/>
      <c r="G225" s="28" t="n"/>
      <c r="H225" s="29" t="n"/>
      <c r="I225" s="30">
        <f>IF(OR(B225="",H225="",C225=""),"",H225-7*VLOOKUP(C225,Plazos!$A$6:$F$8,2,FALSE))</f>
        <v/>
      </c>
      <c r="J225" s="30">
        <f>IF(OR(B225="",H225="",C225=""),"",H225-7*VLOOKUP(C225,Plazos!$A$6:$F$8,3,FALSE))</f>
        <v/>
      </c>
      <c r="K225" s="30">
        <f>IF(OR(B225="",H225="",C225=""),"",H225-7*VLOOKUP(C225,Plazos!$A$6:$F$8,4,FALSE))</f>
        <v/>
      </c>
      <c r="L225" s="30">
        <f>IF(OR(B225="",H225="",C225=""),"",H225-7*VLOOKUP(C225,Plazos!$A$6:$F$8,5,FALSE))</f>
        <v/>
      </c>
      <c r="M225" s="30">
        <f>IF(OR(B225="",H225="",C225=""),"",H225-7*VLOOKUP(C225,Plazos!$A$6:$F$8,6,FALSE))</f>
        <v/>
      </c>
      <c r="N225" s="29" t="n"/>
      <c r="O225" s="28" t="n"/>
      <c r="P225" s="25" t="n"/>
      <c r="Q225" s="31">
        <f>IF(OR(B225="",M225=""),"",IF(N225&lt;&gt;"",MAX(0,N225-M225),MAX(0,$B$3-M225)))</f>
        <v/>
      </c>
      <c r="R225" s="26">
        <f>IF(OR(B225="",M225=""),"",IF(N225&lt;&gt;"",IF(Q225&gt;0,"Liberado con atraso","Liberado a tiempo"),IF($B$3&gt;M225,"Vencido sin liberar",IF(M225-$B$3&lt;=14,"Próximo a liberar","En plazo"))))</f>
        <v/>
      </c>
      <c r="S225" s="27" t="n"/>
    </row>
    <row r="226">
      <c r="A226" s="24" t="n"/>
      <c r="B226" s="25" t="n"/>
      <c r="C226" s="25" t="n"/>
      <c r="D226" s="26">
        <f>IF(B226="","","CWP"&amp;MID(B226,4,12))</f>
        <v/>
      </c>
      <c r="E226" s="27" t="n"/>
      <c r="F226" s="25" t="n"/>
      <c r="G226" s="28" t="n"/>
      <c r="H226" s="29" t="n"/>
      <c r="I226" s="30">
        <f>IF(OR(B226="",H226="",C226=""),"",H226-7*VLOOKUP(C226,Plazos!$A$6:$F$8,2,FALSE))</f>
        <v/>
      </c>
      <c r="J226" s="30">
        <f>IF(OR(B226="",H226="",C226=""),"",H226-7*VLOOKUP(C226,Plazos!$A$6:$F$8,3,FALSE))</f>
        <v/>
      </c>
      <c r="K226" s="30">
        <f>IF(OR(B226="",H226="",C226=""),"",H226-7*VLOOKUP(C226,Plazos!$A$6:$F$8,4,FALSE))</f>
        <v/>
      </c>
      <c r="L226" s="30">
        <f>IF(OR(B226="",H226="",C226=""),"",H226-7*VLOOKUP(C226,Plazos!$A$6:$F$8,5,FALSE))</f>
        <v/>
      </c>
      <c r="M226" s="30">
        <f>IF(OR(B226="",H226="",C226=""),"",H226-7*VLOOKUP(C226,Plazos!$A$6:$F$8,6,FALSE))</f>
        <v/>
      </c>
      <c r="N226" s="29" t="n"/>
      <c r="O226" s="28" t="n"/>
      <c r="P226" s="25" t="n"/>
      <c r="Q226" s="31">
        <f>IF(OR(B226="",M226=""),"",IF(N226&lt;&gt;"",MAX(0,N226-M226),MAX(0,$B$3-M226)))</f>
        <v/>
      </c>
      <c r="R226" s="26">
        <f>IF(OR(B226="",M226=""),"",IF(N226&lt;&gt;"",IF(Q226&gt;0,"Liberado con atraso","Liberado a tiempo"),IF($B$3&gt;M226,"Vencido sin liberar",IF(M226-$B$3&lt;=14,"Próximo a liberar","En plazo"))))</f>
        <v/>
      </c>
      <c r="S226" s="27" t="n"/>
    </row>
    <row r="227">
      <c r="A227" s="24" t="n"/>
      <c r="B227" s="25" t="n"/>
      <c r="C227" s="25" t="n"/>
      <c r="D227" s="26">
        <f>IF(B227="","","CWP"&amp;MID(B227,4,12))</f>
        <v/>
      </c>
      <c r="E227" s="27" t="n"/>
      <c r="F227" s="25" t="n"/>
      <c r="G227" s="28" t="n"/>
      <c r="H227" s="29" t="n"/>
      <c r="I227" s="30">
        <f>IF(OR(B227="",H227="",C227=""),"",H227-7*VLOOKUP(C227,Plazos!$A$6:$F$8,2,FALSE))</f>
        <v/>
      </c>
      <c r="J227" s="30">
        <f>IF(OR(B227="",H227="",C227=""),"",H227-7*VLOOKUP(C227,Plazos!$A$6:$F$8,3,FALSE))</f>
        <v/>
      </c>
      <c r="K227" s="30">
        <f>IF(OR(B227="",H227="",C227=""),"",H227-7*VLOOKUP(C227,Plazos!$A$6:$F$8,4,FALSE))</f>
        <v/>
      </c>
      <c r="L227" s="30">
        <f>IF(OR(B227="",H227="",C227=""),"",H227-7*VLOOKUP(C227,Plazos!$A$6:$F$8,5,FALSE))</f>
        <v/>
      </c>
      <c r="M227" s="30">
        <f>IF(OR(B227="",H227="",C227=""),"",H227-7*VLOOKUP(C227,Plazos!$A$6:$F$8,6,FALSE))</f>
        <v/>
      </c>
      <c r="N227" s="29" t="n"/>
      <c r="O227" s="28" t="n"/>
      <c r="P227" s="25" t="n"/>
      <c r="Q227" s="31">
        <f>IF(OR(B227="",M227=""),"",IF(N227&lt;&gt;"",MAX(0,N227-M227),MAX(0,$B$3-M227)))</f>
        <v/>
      </c>
      <c r="R227" s="26">
        <f>IF(OR(B227="",M227=""),"",IF(N227&lt;&gt;"",IF(Q227&gt;0,"Liberado con atraso","Liberado a tiempo"),IF($B$3&gt;M227,"Vencido sin liberar",IF(M227-$B$3&lt;=14,"Próximo a liberar","En plazo"))))</f>
        <v/>
      </c>
      <c r="S227" s="27" t="n"/>
    </row>
    <row r="228">
      <c r="A228" s="24" t="n"/>
      <c r="B228" s="25" t="n"/>
      <c r="C228" s="25" t="n"/>
      <c r="D228" s="26">
        <f>IF(B228="","","CWP"&amp;MID(B228,4,12))</f>
        <v/>
      </c>
      <c r="E228" s="27" t="n"/>
      <c r="F228" s="25" t="n"/>
      <c r="G228" s="28" t="n"/>
      <c r="H228" s="29" t="n"/>
      <c r="I228" s="30">
        <f>IF(OR(B228="",H228="",C228=""),"",H228-7*VLOOKUP(C228,Plazos!$A$6:$F$8,2,FALSE))</f>
        <v/>
      </c>
      <c r="J228" s="30">
        <f>IF(OR(B228="",H228="",C228=""),"",H228-7*VLOOKUP(C228,Plazos!$A$6:$F$8,3,FALSE))</f>
        <v/>
      </c>
      <c r="K228" s="30">
        <f>IF(OR(B228="",H228="",C228=""),"",H228-7*VLOOKUP(C228,Plazos!$A$6:$F$8,4,FALSE))</f>
        <v/>
      </c>
      <c r="L228" s="30">
        <f>IF(OR(B228="",H228="",C228=""),"",H228-7*VLOOKUP(C228,Plazos!$A$6:$F$8,5,FALSE))</f>
        <v/>
      </c>
      <c r="M228" s="30">
        <f>IF(OR(B228="",H228="",C228=""),"",H228-7*VLOOKUP(C228,Plazos!$A$6:$F$8,6,FALSE))</f>
        <v/>
      </c>
      <c r="N228" s="29" t="n"/>
      <c r="O228" s="28" t="n"/>
      <c r="P228" s="25" t="n"/>
      <c r="Q228" s="31">
        <f>IF(OR(B228="",M228=""),"",IF(N228&lt;&gt;"",MAX(0,N228-M228),MAX(0,$B$3-M228)))</f>
        <v/>
      </c>
      <c r="R228" s="26">
        <f>IF(OR(B228="",M228=""),"",IF(N228&lt;&gt;"",IF(Q228&gt;0,"Liberado con atraso","Liberado a tiempo"),IF($B$3&gt;M228,"Vencido sin liberar",IF(M228-$B$3&lt;=14,"Próximo a liberar","En plazo"))))</f>
        <v/>
      </c>
      <c r="S228" s="27" t="n"/>
    </row>
    <row r="229">
      <c r="A229" s="24" t="n"/>
      <c r="B229" s="25" t="n"/>
      <c r="C229" s="25" t="n"/>
      <c r="D229" s="26">
        <f>IF(B229="","","CWP"&amp;MID(B229,4,12))</f>
        <v/>
      </c>
      <c r="E229" s="27" t="n"/>
      <c r="F229" s="25" t="n"/>
      <c r="G229" s="28" t="n"/>
      <c r="H229" s="29" t="n"/>
      <c r="I229" s="30">
        <f>IF(OR(B229="",H229="",C229=""),"",H229-7*VLOOKUP(C229,Plazos!$A$6:$F$8,2,FALSE))</f>
        <v/>
      </c>
      <c r="J229" s="30">
        <f>IF(OR(B229="",H229="",C229=""),"",H229-7*VLOOKUP(C229,Plazos!$A$6:$F$8,3,FALSE))</f>
        <v/>
      </c>
      <c r="K229" s="30">
        <f>IF(OR(B229="",H229="",C229=""),"",H229-7*VLOOKUP(C229,Plazos!$A$6:$F$8,4,FALSE))</f>
        <v/>
      </c>
      <c r="L229" s="30">
        <f>IF(OR(B229="",H229="",C229=""),"",H229-7*VLOOKUP(C229,Plazos!$A$6:$F$8,5,FALSE))</f>
        <v/>
      </c>
      <c r="M229" s="30">
        <f>IF(OR(B229="",H229="",C229=""),"",H229-7*VLOOKUP(C229,Plazos!$A$6:$F$8,6,FALSE))</f>
        <v/>
      </c>
      <c r="N229" s="29" t="n"/>
      <c r="O229" s="28" t="n"/>
      <c r="P229" s="25" t="n"/>
      <c r="Q229" s="31">
        <f>IF(OR(B229="",M229=""),"",IF(N229&lt;&gt;"",MAX(0,N229-M229),MAX(0,$B$3-M229)))</f>
        <v/>
      </c>
      <c r="R229" s="26">
        <f>IF(OR(B229="",M229=""),"",IF(N229&lt;&gt;"",IF(Q229&gt;0,"Liberado con atraso","Liberado a tiempo"),IF($B$3&gt;M229,"Vencido sin liberar",IF(M229-$B$3&lt;=14,"Próximo a liberar","En plazo"))))</f>
        <v/>
      </c>
      <c r="S229" s="27" t="n"/>
    </row>
    <row r="230">
      <c r="A230" s="24" t="n"/>
      <c r="B230" s="25" t="n"/>
      <c r="C230" s="25" t="n"/>
      <c r="D230" s="26">
        <f>IF(B230="","","CWP"&amp;MID(B230,4,12))</f>
        <v/>
      </c>
      <c r="E230" s="27" t="n"/>
      <c r="F230" s="25" t="n"/>
      <c r="G230" s="28" t="n"/>
      <c r="H230" s="29" t="n"/>
      <c r="I230" s="30">
        <f>IF(OR(B230="",H230="",C230=""),"",H230-7*VLOOKUP(C230,Plazos!$A$6:$F$8,2,FALSE))</f>
        <v/>
      </c>
      <c r="J230" s="30">
        <f>IF(OR(B230="",H230="",C230=""),"",H230-7*VLOOKUP(C230,Plazos!$A$6:$F$8,3,FALSE))</f>
        <v/>
      </c>
      <c r="K230" s="30">
        <f>IF(OR(B230="",H230="",C230=""),"",H230-7*VLOOKUP(C230,Plazos!$A$6:$F$8,4,FALSE))</f>
        <v/>
      </c>
      <c r="L230" s="30">
        <f>IF(OR(B230="",H230="",C230=""),"",H230-7*VLOOKUP(C230,Plazos!$A$6:$F$8,5,FALSE))</f>
        <v/>
      </c>
      <c r="M230" s="30">
        <f>IF(OR(B230="",H230="",C230=""),"",H230-7*VLOOKUP(C230,Plazos!$A$6:$F$8,6,FALSE))</f>
        <v/>
      </c>
      <c r="N230" s="29" t="n"/>
      <c r="O230" s="28" t="n"/>
      <c r="P230" s="25" t="n"/>
      <c r="Q230" s="31">
        <f>IF(OR(B230="",M230=""),"",IF(N230&lt;&gt;"",MAX(0,N230-M230),MAX(0,$B$3-M230)))</f>
        <v/>
      </c>
      <c r="R230" s="26">
        <f>IF(OR(B230="",M230=""),"",IF(N230&lt;&gt;"",IF(Q230&gt;0,"Liberado con atraso","Liberado a tiempo"),IF($B$3&gt;M230,"Vencido sin liberar",IF(M230-$B$3&lt;=14,"Próximo a liberar","En plazo"))))</f>
        <v/>
      </c>
      <c r="S230" s="27" t="n"/>
    </row>
    <row r="231">
      <c r="A231" s="24" t="n"/>
      <c r="B231" s="25" t="n"/>
      <c r="C231" s="25" t="n"/>
      <c r="D231" s="26">
        <f>IF(B231="","","CWP"&amp;MID(B231,4,12))</f>
        <v/>
      </c>
      <c r="E231" s="27" t="n"/>
      <c r="F231" s="25" t="n"/>
      <c r="G231" s="28" t="n"/>
      <c r="H231" s="29" t="n"/>
      <c r="I231" s="30">
        <f>IF(OR(B231="",H231="",C231=""),"",H231-7*VLOOKUP(C231,Plazos!$A$6:$F$8,2,FALSE))</f>
        <v/>
      </c>
      <c r="J231" s="30">
        <f>IF(OR(B231="",H231="",C231=""),"",H231-7*VLOOKUP(C231,Plazos!$A$6:$F$8,3,FALSE))</f>
        <v/>
      </c>
      <c r="K231" s="30">
        <f>IF(OR(B231="",H231="",C231=""),"",H231-7*VLOOKUP(C231,Plazos!$A$6:$F$8,4,FALSE))</f>
        <v/>
      </c>
      <c r="L231" s="30">
        <f>IF(OR(B231="",H231="",C231=""),"",H231-7*VLOOKUP(C231,Plazos!$A$6:$F$8,5,FALSE))</f>
        <v/>
      </c>
      <c r="M231" s="30">
        <f>IF(OR(B231="",H231="",C231=""),"",H231-7*VLOOKUP(C231,Plazos!$A$6:$F$8,6,FALSE))</f>
        <v/>
      </c>
      <c r="N231" s="29" t="n"/>
      <c r="O231" s="28" t="n"/>
      <c r="P231" s="25" t="n"/>
      <c r="Q231" s="31">
        <f>IF(OR(B231="",M231=""),"",IF(N231&lt;&gt;"",MAX(0,N231-M231),MAX(0,$B$3-M231)))</f>
        <v/>
      </c>
      <c r="R231" s="26">
        <f>IF(OR(B231="",M231=""),"",IF(N231&lt;&gt;"",IF(Q231&gt;0,"Liberado con atraso","Liberado a tiempo"),IF($B$3&gt;M231,"Vencido sin liberar",IF(M231-$B$3&lt;=14,"Próximo a liberar","En plazo"))))</f>
        <v/>
      </c>
      <c r="S231" s="27" t="n"/>
    </row>
    <row r="232">
      <c r="A232" s="24" t="n"/>
      <c r="B232" s="25" t="n"/>
      <c r="C232" s="25" t="n"/>
      <c r="D232" s="26">
        <f>IF(B232="","","CWP"&amp;MID(B232,4,12))</f>
        <v/>
      </c>
      <c r="E232" s="27" t="n"/>
      <c r="F232" s="25" t="n"/>
      <c r="G232" s="28" t="n"/>
      <c r="H232" s="29" t="n"/>
      <c r="I232" s="30">
        <f>IF(OR(B232="",H232="",C232=""),"",H232-7*VLOOKUP(C232,Plazos!$A$6:$F$8,2,FALSE))</f>
        <v/>
      </c>
      <c r="J232" s="30">
        <f>IF(OR(B232="",H232="",C232=""),"",H232-7*VLOOKUP(C232,Plazos!$A$6:$F$8,3,FALSE))</f>
        <v/>
      </c>
      <c r="K232" s="30">
        <f>IF(OR(B232="",H232="",C232=""),"",H232-7*VLOOKUP(C232,Plazos!$A$6:$F$8,4,FALSE))</f>
        <v/>
      </c>
      <c r="L232" s="30">
        <f>IF(OR(B232="",H232="",C232=""),"",H232-7*VLOOKUP(C232,Plazos!$A$6:$F$8,5,FALSE))</f>
        <v/>
      </c>
      <c r="M232" s="30">
        <f>IF(OR(B232="",H232="",C232=""),"",H232-7*VLOOKUP(C232,Plazos!$A$6:$F$8,6,FALSE))</f>
        <v/>
      </c>
      <c r="N232" s="29" t="n"/>
      <c r="O232" s="28" t="n"/>
      <c r="P232" s="25" t="n"/>
      <c r="Q232" s="31">
        <f>IF(OR(B232="",M232=""),"",IF(N232&lt;&gt;"",MAX(0,N232-M232),MAX(0,$B$3-M232)))</f>
        <v/>
      </c>
      <c r="R232" s="26">
        <f>IF(OR(B232="",M232=""),"",IF(N232&lt;&gt;"",IF(Q232&gt;0,"Liberado con atraso","Liberado a tiempo"),IF($B$3&gt;M232,"Vencido sin liberar",IF(M232-$B$3&lt;=14,"Próximo a liberar","En plazo"))))</f>
        <v/>
      </c>
      <c r="S232" s="27" t="n"/>
    </row>
    <row r="233">
      <c r="A233" s="24" t="n"/>
      <c r="B233" s="25" t="n"/>
      <c r="C233" s="25" t="n"/>
      <c r="D233" s="26">
        <f>IF(B233="","","CWP"&amp;MID(B233,4,12))</f>
        <v/>
      </c>
      <c r="E233" s="27" t="n"/>
      <c r="F233" s="25" t="n"/>
      <c r="G233" s="28" t="n"/>
      <c r="H233" s="29" t="n"/>
      <c r="I233" s="30">
        <f>IF(OR(B233="",H233="",C233=""),"",H233-7*VLOOKUP(C233,Plazos!$A$6:$F$8,2,FALSE))</f>
        <v/>
      </c>
      <c r="J233" s="30">
        <f>IF(OR(B233="",H233="",C233=""),"",H233-7*VLOOKUP(C233,Plazos!$A$6:$F$8,3,FALSE))</f>
        <v/>
      </c>
      <c r="K233" s="30">
        <f>IF(OR(B233="",H233="",C233=""),"",H233-7*VLOOKUP(C233,Plazos!$A$6:$F$8,4,FALSE))</f>
        <v/>
      </c>
      <c r="L233" s="30">
        <f>IF(OR(B233="",H233="",C233=""),"",H233-7*VLOOKUP(C233,Plazos!$A$6:$F$8,5,FALSE))</f>
        <v/>
      </c>
      <c r="M233" s="30">
        <f>IF(OR(B233="",H233="",C233=""),"",H233-7*VLOOKUP(C233,Plazos!$A$6:$F$8,6,FALSE))</f>
        <v/>
      </c>
      <c r="N233" s="29" t="n"/>
      <c r="O233" s="28" t="n"/>
      <c r="P233" s="25" t="n"/>
      <c r="Q233" s="31">
        <f>IF(OR(B233="",M233=""),"",IF(N233&lt;&gt;"",MAX(0,N233-M233),MAX(0,$B$3-M233)))</f>
        <v/>
      </c>
      <c r="R233" s="26">
        <f>IF(OR(B233="",M233=""),"",IF(N233&lt;&gt;"",IF(Q233&gt;0,"Liberado con atraso","Liberado a tiempo"),IF($B$3&gt;M233,"Vencido sin liberar",IF(M233-$B$3&lt;=14,"Próximo a liberar","En plazo"))))</f>
        <v/>
      </c>
      <c r="S233" s="27" t="n"/>
    </row>
    <row r="234">
      <c r="A234" s="24" t="n"/>
      <c r="B234" s="25" t="n"/>
      <c r="C234" s="25" t="n"/>
      <c r="D234" s="26">
        <f>IF(B234="","","CWP"&amp;MID(B234,4,12))</f>
        <v/>
      </c>
      <c r="E234" s="27" t="n"/>
      <c r="F234" s="25" t="n"/>
      <c r="G234" s="28" t="n"/>
      <c r="H234" s="29" t="n"/>
      <c r="I234" s="30">
        <f>IF(OR(B234="",H234="",C234=""),"",H234-7*VLOOKUP(C234,Plazos!$A$6:$F$8,2,FALSE))</f>
        <v/>
      </c>
      <c r="J234" s="30">
        <f>IF(OR(B234="",H234="",C234=""),"",H234-7*VLOOKUP(C234,Plazos!$A$6:$F$8,3,FALSE))</f>
        <v/>
      </c>
      <c r="K234" s="30">
        <f>IF(OR(B234="",H234="",C234=""),"",H234-7*VLOOKUP(C234,Plazos!$A$6:$F$8,4,FALSE))</f>
        <v/>
      </c>
      <c r="L234" s="30">
        <f>IF(OR(B234="",H234="",C234=""),"",H234-7*VLOOKUP(C234,Plazos!$A$6:$F$8,5,FALSE))</f>
        <v/>
      </c>
      <c r="M234" s="30">
        <f>IF(OR(B234="",H234="",C234=""),"",H234-7*VLOOKUP(C234,Plazos!$A$6:$F$8,6,FALSE))</f>
        <v/>
      </c>
      <c r="N234" s="29" t="n"/>
      <c r="O234" s="28" t="n"/>
      <c r="P234" s="25" t="n"/>
      <c r="Q234" s="31">
        <f>IF(OR(B234="",M234=""),"",IF(N234&lt;&gt;"",MAX(0,N234-M234),MAX(0,$B$3-M234)))</f>
        <v/>
      </c>
      <c r="R234" s="26">
        <f>IF(OR(B234="",M234=""),"",IF(N234&lt;&gt;"",IF(Q234&gt;0,"Liberado con atraso","Liberado a tiempo"),IF($B$3&gt;M234,"Vencido sin liberar",IF(M234-$B$3&lt;=14,"Próximo a liberar","En plazo"))))</f>
        <v/>
      </c>
      <c r="S234" s="27" t="n"/>
    </row>
    <row r="235">
      <c r="A235" s="24" t="n"/>
      <c r="B235" s="25" t="n"/>
      <c r="C235" s="25" t="n"/>
      <c r="D235" s="26">
        <f>IF(B235="","","CWP"&amp;MID(B235,4,12))</f>
        <v/>
      </c>
      <c r="E235" s="27" t="n"/>
      <c r="F235" s="25" t="n"/>
      <c r="G235" s="28" t="n"/>
      <c r="H235" s="29" t="n"/>
      <c r="I235" s="30">
        <f>IF(OR(B235="",H235="",C235=""),"",H235-7*VLOOKUP(C235,Plazos!$A$6:$F$8,2,FALSE))</f>
        <v/>
      </c>
      <c r="J235" s="30">
        <f>IF(OR(B235="",H235="",C235=""),"",H235-7*VLOOKUP(C235,Plazos!$A$6:$F$8,3,FALSE))</f>
        <v/>
      </c>
      <c r="K235" s="30">
        <f>IF(OR(B235="",H235="",C235=""),"",H235-7*VLOOKUP(C235,Plazos!$A$6:$F$8,4,FALSE))</f>
        <v/>
      </c>
      <c r="L235" s="30">
        <f>IF(OR(B235="",H235="",C235=""),"",H235-7*VLOOKUP(C235,Plazos!$A$6:$F$8,5,FALSE))</f>
        <v/>
      </c>
      <c r="M235" s="30">
        <f>IF(OR(B235="",H235="",C235=""),"",H235-7*VLOOKUP(C235,Plazos!$A$6:$F$8,6,FALSE))</f>
        <v/>
      </c>
      <c r="N235" s="29" t="n"/>
      <c r="O235" s="28" t="n"/>
      <c r="P235" s="25" t="n"/>
      <c r="Q235" s="31">
        <f>IF(OR(B235="",M235=""),"",IF(N235&lt;&gt;"",MAX(0,N235-M235),MAX(0,$B$3-M235)))</f>
        <v/>
      </c>
      <c r="R235" s="26">
        <f>IF(OR(B235="",M235=""),"",IF(N235&lt;&gt;"",IF(Q235&gt;0,"Liberado con atraso","Liberado a tiempo"),IF($B$3&gt;M235,"Vencido sin liberar",IF(M235-$B$3&lt;=14,"Próximo a liberar","En plazo"))))</f>
        <v/>
      </c>
      <c r="S235" s="27" t="n"/>
    </row>
    <row r="236">
      <c r="A236" s="24" t="n"/>
      <c r="B236" s="25" t="n"/>
      <c r="C236" s="25" t="n"/>
      <c r="D236" s="26">
        <f>IF(B236="","","CWP"&amp;MID(B236,4,12))</f>
        <v/>
      </c>
      <c r="E236" s="27" t="n"/>
      <c r="F236" s="25" t="n"/>
      <c r="G236" s="28" t="n"/>
      <c r="H236" s="29" t="n"/>
      <c r="I236" s="30">
        <f>IF(OR(B236="",H236="",C236=""),"",H236-7*VLOOKUP(C236,Plazos!$A$6:$F$8,2,FALSE))</f>
        <v/>
      </c>
      <c r="J236" s="30">
        <f>IF(OR(B236="",H236="",C236=""),"",H236-7*VLOOKUP(C236,Plazos!$A$6:$F$8,3,FALSE))</f>
        <v/>
      </c>
      <c r="K236" s="30">
        <f>IF(OR(B236="",H236="",C236=""),"",H236-7*VLOOKUP(C236,Plazos!$A$6:$F$8,4,FALSE))</f>
        <v/>
      </c>
      <c r="L236" s="30">
        <f>IF(OR(B236="",H236="",C236=""),"",H236-7*VLOOKUP(C236,Plazos!$A$6:$F$8,5,FALSE))</f>
        <v/>
      </c>
      <c r="M236" s="30">
        <f>IF(OR(B236="",H236="",C236=""),"",H236-7*VLOOKUP(C236,Plazos!$A$6:$F$8,6,FALSE))</f>
        <v/>
      </c>
      <c r="N236" s="29" t="n"/>
      <c r="O236" s="28" t="n"/>
      <c r="P236" s="25" t="n"/>
      <c r="Q236" s="31">
        <f>IF(OR(B236="",M236=""),"",IF(N236&lt;&gt;"",MAX(0,N236-M236),MAX(0,$B$3-M236)))</f>
        <v/>
      </c>
      <c r="R236" s="26">
        <f>IF(OR(B236="",M236=""),"",IF(N236&lt;&gt;"",IF(Q236&gt;0,"Liberado con atraso","Liberado a tiempo"),IF($B$3&gt;M236,"Vencido sin liberar",IF(M236-$B$3&lt;=14,"Próximo a liberar","En plazo"))))</f>
        <v/>
      </c>
      <c r="S236" s="27" t="n"/>
    </row>
    <row r="237">
      <c r="A237" s="24" t="n"/>
      <c r="B237" s="25" t="n"/>
      <c r="C237" s="25" t="n"/>
      <c r="D237" s="26">
        <f>IF(B237="","","CWP"&amp;MID(B237,4,12))</f>
        <v/>
      </c>
      <c r="E237" s="27" t="n"/>
      <c r="F237" s="25" t="n"/>
      <c r="G237" s="28" t="n"/>
      <c r="H237" s="29" t="n"/>
      <c r="I237" s="30">
        <f>IF(OR(B237="",H237="",C237=""),"",H237-7*VLOOKUP(C237,Plazos!$A$6:$F$8,2,FALSE))</f>
        <v/>
      </c>
      <c r="J237" s="30">
        <f>IF(OR(B237="",H237="",C237=""),"",H237-7*VLOOKUP(C237,Plazos!$A$6:$F$8,3,FALSE))</f>
        <v/>
      </c>
      <c r="K237" s="30">
        <f>IF(OR(B237="",H237="",C237=""),"",H237-7*VLOOKUP(C237,Plazos!$A$6:$F$8,4,FALSE))</f>
        <v/>
      </c>
      <c r="L237" s="30">
        <f>IF(OR(B237="",H237="",C237=""),"",H237-7*VLOOKUP(C237,Plazos!$A$6:$F$8,5,FALSE))</f>
        <v/>
      </c>
      <c r="M237" s="30">
        <f>IF(OR(B237="",H237="",C237=""),"",H237-7*VLOOKUP(C237,Plazos!$A$6:$F$8,6,FALSE))</f>
        <v/>
      </c>
      <c r="N237" s="29" t="n"/>
      <c r="O237" s="28" t="n"/>
      <c r="P237" s="25" t="n"/>
      <c r="Q237" s="31">
        <f>IF(OR(B237="",M237=""),"",IF(N237&lt;&gt;"",MAX(0,N237-M237),MAX(0,$B$3-M237)))</f>
        <v/>
      </c>
      <c r="R237" s="26">
        <f>IF(OR(B237="",M237=""),"",IF(N237&lt;&gt;"",IF(Q237&gt;0,"Liberado con atraso","Liberado a tiempo"),IF($B$3&gt;M237,"Vencido sin liberar",IF(M237-$B$3&lt;=14,"Próximo a liberar","En plazo"))))</f>
        <v/>
      </c>
      <c r="S237" s="27" t="n"/>
    </row>
    <row r="238">
      <c r="A238" s="24" t="n"/>
      <c r="B238" s="25" t="n"/>
      <c r="C238" s="25" t="n"/>
      <c r="D238" s="26">
        <f>IF(B238="","","CWP"&amp;MID(B238,4,12))</f>
        <v/>
      </c>
      <c r="E238" s="27" t="n"/>
      <c r="F238" s="25" t="n"/>
      <c r="G238" s="28" t="n"/>
      <c r="H238" s="29" t="n"/>
      <c r="I238" s="30">
        <f>IF(OR(B238="",H238="",C238=""),"",H238-7*VLOOKUP(C238,Plazos!$A$6:$F$8,2,FALSE))</f>
        <v/>
      </c>
      <c r="J238" s="30">
        <f>IF(OR(B238="",H238="",C238=""),"",H238-7*VLOOKUP(C238,Plazos!$A$6:$F$8,3,FALSE))</f>
        <v/>
      </c>
      <c r="K238" s="30">
        <f>IF(OR(B238="",H238="",C238=""),"",H238-7*VLOOKUP(C238,Plazos!$A$6:$F$8,4,FALSE))</f>
        <v/>
      </c>
      <c r="L238" s="30">
        <f>IF(OR(B238="",H238="",C238=""),"",H238-7*VLOOKUP(C238,Plazos!$A$6:$F$8,5,FALSE))</f>
        <v/>
      </c>
      <c r="M238" s="30">
        <f>IF(OR(B238="",H238="",C238=""),"",H238-7*VLOOKUP(C238,Plazos!$A$6:$F$8,6,FALSE))</f>
        <v/>
      </c>
      <c r="N238" s="29" t="n"/>
      <c r="O238" s="28" t="n"/>
      <c r="P238" s="25" t="n"/>
      <c r="Q238" s="31">
        <f>IF(OR(B238="",M238=""),"",IF(N238&lt;&gt;"",MAX(0,N238-M238),MAX(0,$B$3-M238)))</f>
        <v/>
      </c>
      <c r="R238" s="26">
        <f>IF(OR(B238="",M238=""),"",IF(N238&lt;&gt;"",IF(Q238&gt;0,"Liberado con atraso","Liberado a tiempo"),IF($B$3&gt;M238,"Vencido sin liberar",IF(M238-$B$3&lt;=14,"Próximo a liberar","En plazo"))))</f>
        <v/>
      </c>
      <c r="S238" s="27" t="n"/>
    </row>
    <row r="239">
      <c r="A239" s="24" t="n"/>
      <c r="B239" s="25" t="n"/>
      <c r="C239" s="25" t="n"/>
      <c r="D239" s="26">
        <f>IF(B239="","","CWP"&amp;MID(B239,4,12))</f>
        <v/>
      </c>
      <c r="E239" s="27" t="n"/>
      <c r="F239" s="25" t="n"/>
      <c r="G239" s="28" t="n"/>
      <c r="H239" s="29" t="n"/>
      <c r="I239" s="30">
        <f>IF(OR(B239="",H239="",C239=""),"",H239-7*VLOOKUP(C239,Plazos!$A$6:$F$8,2,FALSE))</f>
        <v/>
      </c>
      <c r="J239" s="30">
        <f>IF(OR(B239="",H239="",C239=""),"",H239-7*VLOOKUP(C239,Plazos!$A$6:$F$8,3,FALSE))</f>
        <v/>
      </c>
      <c r="K239" s="30">
        <f>IF(OR(B239="",H239="",C239=""),"",H239-7*VLOOKUP(C239,Plazos!$A$6:$F$8,4,FALSE))</f>
        <v/>
      </c>
      <c r="L239" s="30">
        <f>IF(OR(B239="",H239="",C239=""),"",H239-7*VLOOKUP(C239,Plazos!$A$6:$F$8,5,FALSE))</f>
        <v/>
      </c>
      <c r="M239" s="30">
        <f>IF(OR(B239="",H239="",C239=""),"",H239-7*VLOOKUP(C239,Plazos!$A$6:$F$8,6,FALSE))</f>
        <v/>
      </c>
      <c r="N239" s="29" t="n"/>
      <c r="O239" s="28" t="n"/>
      <c r="P239" s="25" t="n"/>
      <c r="Q239" s="31">
        <f>IF(OR(B239="",M239=""),"",IF(N239&lt;&gt;"",MAX(0,N239-M239),MAX(0,$B$3-M239)))</f>
        <v/>
      </c>
      <c r="R239" s="26">
        <f>IF(OR(B239="",M239=""),"",IF(N239&lt;&gt;"",IF(Q239&gt;0,"Liberado con atraso","Liberado a tiempo"),IF($B$3&gt;M239,"Vencido sin liberar",IF(M239-$B$3&lt;=14,"Próximo a liberar","En plazo"))))</f>
        <v/>
      </c>
      <c r="S239" s="27" t="n"/>
    </row>
    <row r="240">
      <c r="A240" s="24" t="n"/>
      <c r="B240" s="25" t="n"/>
      <c r="C240" s="25" t="n"/>
      <c r="D240" s="26">
        <f>IF(B240="","","CWP"&amp;MID(B240,4,12))</f>
        <v/>
      </c>
      <c r="E240" s="27" t="n"/>
      <c r="F240" s="25" t="n"/>
      <c r="G240" s="28" t="n"/>
      <c r="H240" s="29" t="n"/>
      <c r="I240" s="30">
        <f>IF(OR(B240="",H240="",C240=""),"",H240-7*VLOOKUP(C240,Plazos!$A$6:$F$8,2,FALSE))</f>
        <v/>
      </c>
      <c r="J240" s="30">
        <f>IF(OR(B240="",H240="",C240=""),"",H240-7*VLOOKUP(C240,Plazos!$A$6:$F$8,3,FALSE))</f>
        <v/>
      </c>
      <c r="K240" s="30">
        <f>IF(OR(B240="",H240="",C240=""),"",H240-7*VLOOKUP(C240,Plazos!$A$6:$F$8,4,FALSE))</f>
        <v/>
      </c>
      <c r="L240" s="30">
        <f>IF(OR(B240="",H240="",C240=""),"",H240-7*VLOOKUP(C240,Plazos!$A$6:$F$8,5,FALSE))</f>
        <v/>
      </c>
      <c r="M240" s="30">
        <f>IF(OR(B240="",H240="",C240=""),"",H240-7*VLOOKUP(C240,Plazos!$A$6:$F$8,6,FALSE))</f>
        <v/>
      </c>
      <c r="N240" s="29" t="n"/>
      <c r="O240" s="28" t="n"/>
      <c r="P240" s="25" t="n"/>
      <c r="Q240" s="31">
        <f>IF(OR(B240="",M240=""),"",IF(N240&lt;&gt;"",MAX(0,N240-M240),MAX(0,$B$3-M240)))</f>
        <v/>
      </c>
      <c r="R240" s="26">
        <f>IF(OR(B240="",M240=""),"",IF(N240&lt;&gt;"",IF(Q240&gt;0,"Liberado con atraso","Liberado a tiempo"),IF($B$3&gt;M240,"Vencido sin liberar",IF(M240-$B$3&lt;=14,"Próximo a liberar","En plazo"))))</f>
        <v/>
      </c>
      <c r="S240" s="27" t="n"/>
    </row>
    <row r="241">
      <c r="A241" s="24" t="n"/>
      <c r="B241" s="25" t="n"/>
      <c r="C241" s="25" t="n"/>
      <c r="D241" s="26">
        <f>IF(B241="","","CWP"&amp;MID(B241,4,12))</f>
        <v/>
      </c>
      <c r="E241" s="27" t="n"/>
      <c r="F241" s="25" t="n"/>
      <c r="G241" s="28" t="n"/>
      <c r="H241" s="29" t="n"/>
      <c r="I241" s="30">
        <f>IF(OR(B241="",H241="",C241=""),"",H241-7*VLOOKUP(C241,Plazos!$A$6:$F$8,2,FALSE))</f>
        <v/>
      </c>
      <c r="J241" s="30">
        <f>IF(OR(B241="",H241="",C241=""),"",H241-7*VLOOKUP(C241,Plazos!$A$6:$F$8,3,FALSE))</f>
        <v/>
      </c>
      <c r="K241" s="30">
        <f>IF(OR(B241="",H241="",C241=""),"",H241-7*VLOOKUP(C241,Plazos!$A$6:$F$8,4,FALSE))</f>
        <v/>
      </c>
      <c r="L241" s="30">
        <f>IF(OR(B241="",H241="",C241=""),"",H241-7*VLOOKUP(C241,Plazos!$A$6:$F$8,5,FALSE))</f>
        <v/>
      </c>
      <c r="M241" s="30">
        <f>IF(OR(B241="",H241="",C241=""),"",H241-7*VLOOKUP(C241,Plazos!$A$6:$F$8,6,FALSE))</f>
        <v/>
      </c>
      <c r="N241" s="29" t="n"/>
      <c r="O241" s="28" t="n"/>
      <c r="P241" s="25" t="n"/>
      <c r="Q241" s="31">
        <f>IF(OR(B241="",M241=""),"",IF(N241&lt;&gt;"",MAX(0,N241-M241),MAX(0,$B$3-M241)))</f>
        <v/>
      </c>
      <c r="R241" s="26">
        <f>IF(OR(B241="",M241=""),"",IF(N241&lt;&gt;"",IF(Q241&gt;0,"Liberado con atraso","Liberado a tiempo"),IF($B$3&gt;M241,"Vencido sin liberar",IF(M241-$B$3&lt;=14,"Próximo a liberar","En plazo"))))</f>
        <v/>
      </c>
      <c r="S241" s="27" t="n"/>
    </row>
    <row r="242">
      <c r="A242" s="24" t="n"/>
      <c r="B242" s="25" t="n"/>
      <c r="C242" s="25" t="n"/>
      <c r="D242" s="26">
        <f>IF(B242="","","CWP"&amp;MID(B242,4,12))</f>
        <v/>
      </c>
      <c r="E242" s="27" t="n"/>
      <c r="F242" s="25" t="n"/>
      <c r="G242" s="28" t="n"/>
      <c r="H242" s="29" t="n"/>
      <c r="I242" s="30">
        <f>IF(OR(B242="",H242="",C242=""),"",H242-7*VLOOKUP(C242,Plazos!$A$6:$F$8,2,FALSE))</f>
        <v/>
      </c>
      <c r="J242" s="30">
        <f>IF(OR(B242="",H242="",C242=""),"",H242-7*VLOOKUP(C242,Plazos!$A$6:$F$8,3,FALSE))</f>
        <v/>
      </c>
      <c r="K242" s="30">
        <f>IF(OR(B242="",H242="",C242=""),"",H242-7*VLOOKUP(C242,Plazos!$A$6:$F$8,4,FALSE))</f>
        <v/>
      </c>
      <c r="L242" s="30">
        <f>IF(OR(B242="",H242="",C242=""),"",H242-7*VLOOKUP(C242,Plazos!$A$6:$F$8,5,FALSE))</f>
        <v/>
      </c>
      <c r="M242" s="30">
        <f>IF(OR(B242="",H242="",C242=""),"",H242-7*VLOOKUP(C242,Plazos!$A$6:$F$8,6,FALSE))</f>
        <v/>
      </c>
      <c r="N242" s="29" t="n"/>
      <c r="O242" s="28" t="n"/>
      <c r="P242" s="25" t="n"/>
      <c r="Q242" s="31">
        <f>IF(OR(B242="",M242=""),"",IF(N242&lt;&gt;"",MAX(0,N242-M242),MAX(0,$B$3-M242)))</f>
        <v/>
      </c>
      <c r="R242" s="26">
        <f>IF(OR(B242="",M242=""),"",IF(N242&lt;&gt;"",IF(Q242&gt;0,"Liberado con atraso","Liberado a tiempo"),IF($B$3&gt;M242,"Vencido sin liberar",IF(M242-$B$3&lt;=14,"Próximo a liberar","En plazo"))))</f>
        <v/>
      </c>
      <c r="S242" s="27" t="n"/>
    </row>
    <row r="243">
      <c r="A243" s="24" t="n"/>
      <c r="B243" s="25" t="n"/>
      <c r="C243" s="25" t="n"/>
      <c r="D243" s="26">
        <f>IF(B243="","","CWP"&amp;MID(B243,4,12))</f>
        <v/>
      </c>
      <c r="E243" s="27" t="n"/>
      <c r="F243" s="25" t="n"/>
      <c r="G243" s="28" t="n"/>
      <c r="H243" s="29" t="n"/>
      <c r="I243" s="30">
        <f>IF(OR(B243="",H243="",C243=""),"",H243-7*VLOOKUP(C243,Plazos!$A$6:$F$8,2,FALSE))</f>
        <v/>
      </c>
      <c r="J243" s="30">
        <f>IF(OR(B243="",H243="",C243=""),"",H243-7*VLOOKUP(C243,Plazos!$A$6:$F$8,3,FALSE))</f>
        <v/>
      </c>
      <c r="K243" s="30">
        <f>IF(OR(B243="",H243="",C243=""),"",H243-7*VLOOKUP(C243,Plazos!$A$6:$F$8,4,FALSE))</f>
        <v/>
      </c>
      <c r="L243" s="30">
        <f>IF(OR(B243="",H243="",C243=""),"",H243-7*VLOOKUP(C243,Plazos!$A$6:$F$8,5,FALSE))</f>
        <v/>
      </c>
      <c r="M243" s="30">
        <f>IF(OR(B243="",H243="",C243=""),"",H243-7*VLOOKUP(C243,Plazos!$A$6:$F$8,6,FALSE))</f>
        <v/>
      </c>
      <c r="N243" s="29" t="n"/>
      <c r="O243" s="28" t="n"/>
      <c r="P243" s="25" t="n"/>
      <c r="Q243" s="31">
        <f>IF(OR(B243="",M243=""),"",IF(N243&lt;&gt;"",MAX(0,N243-M243),MAX(0,$B$3-M243)))</f>
        <v/>
      </c>
      <c r="R243" s="26">
        <f>IF(OR(B243="",M243=""),"",IF(N243&lt;&gt;"",IF(Q243&gt;0,"Liberado con atraso","Liberado a tiempo"),IF($B$3&gt;M243,"Vencido sin liberar",IF(M243-$B$3&lt;=14,"Próximo a liberar","En plazo"))))</f>
        <v/>
      </c>
      <c r="S243" s="27" t="n"/>
    </row>
    <row r="244">
      <c r="A244" s="24" t="n"/>
      <c r="B244" s="25" t="n"/>
      <c r="C244" s="25" t="n"/>
      <c r="D244" s="26">
        <f>IF(B244="","","CWP"&amp;MID(B244,4,12))</f>
        <v/>
      </c>
      <c r="E244" s="27" t="n"/>
      <c r="F244" s="25" t="n"/>
      <c r="G244" s="28" t="n"/>
      <c r="H244" s="29" t="n"/>
      <c r="I244" s="30">
        <f>IF(OR(B244="",H244="",C244=""),"",H244-7*VLOOKUP(C244,Plazos!$A$6:$F$8,2,FALSE))</f>
        <v/>
      </c>
      <c r="J244" s="30">
        <f>IF(OR(B244="",H244="",C244=""),"",H244-7*VLOOKUP(C244,Plazos!$A$6:$F$8,3,FALSE))</f>
        <v/>
      </c>
      <c r="K244" s="30">
        <f>IF(OR(B244="",H244="",C244=""),"",H244-7*VLOOKUP(C244,Plazos!$A$6:$F$8,4,FALSE))</f>
        <v/>
      </c>
      <c r="L244" s="30">
        <f>IF(OR(B244="",H244="",C244=""),"",H244-7*VLOOKUP(C244,Plazos!$A$6:$F$8,5,FALSE))</f>
        <v/>
      </c>
      <c r="M244" s="30">
        <f>IF(OR(B244="",H244="",C244=""),"",H244-7*VLOOKUP(C244,Plazos!$A$6:$F$8,6,FALSE))</f>
        <v/>
      </c>
      <c r="N244" s="29" t="n"/>
      <c r="O244" s="28" t="n"/>
      <c r="P244" s="25" t="n"/>
      <c r="Q244" s="31">
        <f>IF(OR(B244="",M244=""),"",IF(N244&lt;&gt;"",MAX(0,N244-M244),MAX(0,$B$3-M244)))</f>
        <v/>
      </c>
      <c r="R244" s="26">
        <f>IF(OR(B244="",M244=""),"",IF(N244&lt;&gt;"",IF(Q244&gt;0,"Liberado con atraso","Liberado a tiempo"),IF($B$3&gt;M244,"Vencido sin liberar",IF(M244-$B$3&lt;=14,"Próximo a liberar","En plazo"))))</f>
        <v/>
      </c>
      <c r="S244" s="27" t="n"/>
    </row>
    <row r="245">
      <c r="A245" s="24" t="n"/>
      <c r="B245" s="25" t="n"/>
      <c r="C245" s="25" t="n"/>
      <c r="D245" s="26">
        <f>IF(B245="","","CWP"&amp;MID(B245,4,12))</f>
        <v/>
      </c>
      <c r="E245" s="27" t="n"/>
      <c r="F245" s="25" t="n"/>
      <c r="G245" s="28" t="n"/>
      <c r="H245" s="29" t="n"/>
      <c r="I245" s="30">
        <f>IF(OR(B245="",H245="",C245=""),"",H245-7*VLOOKUP(C245,Plazos!$A$6:$F$8,2,FALSE))</f>
        <v/>
      </c>
      <c r="J245" s="30">
        <f>IF(OR(B245="",H245="",C245=""),"",H245-7*VLOOKUP(C245,Plazos!$A$6:$F$8,3,FALSE))</f>
        <v/>
      </c>
      <c r="K245" s="30">
        <f>IF(OR(B245="",H245="",C245=""),"",H245-7*VLOOKUP(C245,Plazos!$A$6:$F$8,4,FALSE))</f>
        <v/>
      </c>
      <c r="L245" s="30">
        <f>IF(OR(B245="",H245="",C245=""),"",H245-7*VLOOKUP(C245,Plazos!$A$6:$F$8,5,FALSE))</f>
        <v/>
      </c>
      <c r="M245" s="30">
        <f>IF(OR(B245="",H245="",C245=""),"",H245-7*VLOOKUP(C245,Plazos!$A$6:$F$8,6,FALSE))</f>
        <v/>
      </c>
      <c r="N245" s="29" t="n"/>
      <c r="O245" s="28" t="n"/>
      <c r="P245" s="25" t="n"/>
      <c r="Q245" s="31">
        <f>IF(OR(B245="",M245=""),"",IF(N245&lt;&gt;"",MAX(0,N245-M245),MAX(0,$B$3-M245)))</f>
        <v/>
      </c>
      <c r="R245" s="26">
        <f>IF(OR(B245="",M245=""),"",IF(N245&lt;&gt;"",IF(Q245&gt;0,"Liberado con atraso","Liberado a tiempo"),IF($B$3&gt;M245,"Vencido sin liberar",IF(M245-$B$3&lt;=14,"Próximo a liberar","En plazo"))))</f>
        <v/>
      </c>
      <c r="S245" s="27" t="n"/>
    </row>
    <row r="246">
      <c r="A246" s="24" t="n"/>
      <c r="B246" s="25" t="n"/>
      <c r="C246" s="25" t="n"/>
      <c r="D246" s="26">
        <f>IF(B246="","","CWP"&amp;MID(B246,4,12))</f>
        <v/>
      </c>
      <c r="E246" s="27" t="n"/>
      <c r="F246" s="25" t="n"/>
      <c r="G246" s="28" t="n"/>
      <c r="H246" s="29" t="n"/>
      <c r="I246" s="30">
        <f>IF(OR(B246="",H246="",C246=""),"",H246-7*VLOOKUP(C246,Plazos!$A$6:$F$8,2,FALSE))</f>
        <v/>
      </c>
      <c r="J246" s="30">
        <f>IF(OR(B246="",H246="",C246=""),"",H246-7*VLOOKUP(C246,Plazos!$A$6:$F$8,3,FALSE))</f>
        <v/>
      </c>
      <c r="K246" s="30">
        <f>IF(OR(B246="",H246="",C246=""),"",H246-7*VLOOKUP(C246,Plazos!$A$6:$F$8,4,FALSE))</f>
        <v/>
      </c>
      <c r="L246" s="30">
        <f>IF(OR(B246="",H246="",C246=""),"",H246-7*VLOOKUP(C246,Plazos!$A$6:$F$8,5,FALSE))</f>
        <v/>
      </c>
      <c r="M246" s="30">
        <f>IF(OR(B246="",H246="",C246=""),"",H246-7*VLOOKUP(C246,Plazos!$A$6:$F$8,6,FALSE))</f>
        <v/>
      </c>
      <c r="N246" s="29" t="n"/>
      <c r="O246" s="28" t="n"/>
      <c r="P246" s="25" t="n"/>
      <c r="Q246" s="31">
        <f>IF(OR(B246="",M246=""),"",IF(N246&lt;&gt;"",MAX(0,N246-M246),MAX(0,$B$3-M246)))</f>
        <v/>
      </c>
      <c r="R246" s="26">
        <f>IF(OR(B246="",M246=""),"",IF(N246&lt;&gt;"",IF(Q246&gt;0,"Liberado con atraso","Liberado a tiempo"),IF($B$3&gt;M246,"Vencido sin liberar",IF(M246-$B$3&lt;=14,"Próximo a liberar","En plazo"))))</f>
        <v/>
      </c>
      <c r="S246" s="27" t="n"/>
    </row>
    <row r="247">
      <c r="A247" s="24" t="n"/>
      <c r="B247" s="25" t="n"/>
      <c r="C247" s="25" t="n"/>
      <c r="D247" s="26">
        <f>IF(B247="","","CWP"&amp;MID(B247,4,12))</f>
        <v/>
      </c>
      <c r="E247" s="27" t="n"/>
      <c r="F247" s="25" t="n"/>
      <c r="G247" s="28" t="n"/>
      <c r="H247" s="29" t="n"/>
      <c r="I247" s="30">
        <f>IF(OR(B247="",H247="",C247=""),"",H247-7*VLOOKUP(C247,Plazos!$A$6:$F$8,2,FALSE))</f>
        <v/>
      </c>
      <c r="J247" s="30">
        <f>IF(OR(B247="",H247="",C247=""),"",H247-7*VLOOKUP(C247,Plazos!$A$6:$F$8,3,FALSE))</f>
        <v/>
      </c>
      <c r="K247" s="30">
        <f>IF(OR(B247="",H247="",C247=""),"",H247-7*VLOOKUP(C247,Plazos!$A$6:$F$8,4,FALSE))</f>
        <v/>
      </c>
      <c r="L247" s="30">
        <f>IF(OR(B247="",H247="",C247=""),"",H247-7*VLOOKUP(C247,Plazos!$A$6:$F$8,5,FALSE))</f>
        <v/>
      </c>
      <c r="M247" s="30">
        <f>IF(OR(B247="",H247="",C247=""),"",H247-7*VLOOKUP(C247,Plazos!$A$6:$F$8,6,FALSE))</f>
        <v/>
      </c>
      <c r="N247" s="29" t="n"/>
      <c r="O247" s="28" t="n"/>
      <c r="P247" s="25" t="n"/>
      <c r="Q247" s="31">
        <f>IF(OR(B247="",M247=""),"",IF(N247&lt;&gt;"",MAX(0,N247-M247),MAX(0,$B$3-M247)))</f>
        <v/>
      </c>
      <c r="R247" s="26">
        <f>IF(OR(B247="",M247=""),"",IF(N247&lt;&gt;"",IF(Q247&gt;0,"Liberado con atraso","Liberado a tiempo"),IF($B$3&gt;M247,"Vencido sin liberar",IF(M247-$B$3&lt;=14,"Próximo a liberar","En plazo"))))</f>
        <v/>
      </c>
      <c r="S247" s="27" t="n"/>
    </row>
    <row r="248">
      <c r="A248" s="24" t="n"/>
      <c r="B248" s="25" t="n"/>
      <c r="C248" s="25" t="n"/>
      <c r="D248" s="26">
        <f>IF(B248="","","CWP"&amp;MID(B248,4,12))</f>
        <v/>
      </c>
      <c r="E248" s="27" t="n"/>
      <c r="F248" s="25" t="n"/>
      <c r="G248" s="28" t="n"/>
      <c r="H248" s="29" t="n"/>
      <c r="I248" s="30">
        <f>IF(OR(B248="",H248="",C248=""),"",H248-7*VLOOKUP(C248,Plazos!$A$6:$F$8,2,FALSE))</f>
        <v/>
      </c>
      <c r="J248" s="30">
        <f>IF(OR(B248="",H248="",C248=""),"",H248-7*VLOOKUP(C248,Plazos!$A$6:$F$8,3,FALSE))</f>
        <v/>
      </c>
      <c r="K248" s="30">
        <f>IF(OR(B248="",H248="",C248=""),"",H248-7*VLOOKUP(C248,Plazos!$A$6:$F$8,4,FALSE))</f>
        <v/>
      </c>
      <c r="L248" s="30">
        <f>IF(OR(B248="",H248="",C248=""),"",H248-7*VLOOKUP(C248,Plazos!$A$6:$F$8,5,FALSE))</f>
        <v/>
      </c>
      <c r="M248" s="30">
        <f>IF(OR(B248="",H248="",C248=""),"",H248-7*VLOOKUP(C248,Plazos!$A$6:$F$8,6,FALSE))</f>
        <v/>
      </c>
      <c r="N248" s="29" t="n"/>
      <c r="O248" s="28" t="n"/>
      <c r="P248" s="25" t="n"/>
      <c r="Q248" s="31">
        <f>IF(OR(B248="",M248=""),"",IF(N248&lt;&gt;"",MAX(0,N248-M248),MAX(0,$B$3-M248)))</f>
        <v/>
      </c>
      <c r="R248" s="26">
        <f>IF(OR(B248="",M248=""),"",IF(N248&lt;&gt;"",IF(Q248&gt;0,"Liberado con atraso","Liberado a tiempo"),IF($B$3&gt;M248,"Vencido sin liberar",IF(M248-$B$3&lt;=14,"Próximo a liberar","En plazo"))))</f>
        <v/>
      </c>
      <c r="S248" s="27" t="n"/>
    </row>
    <row r="249">
      <c r="A249" s="24" t="n"/>
      <c r="B249" s="25" t="n"/>
      <c r="C249" s="25" t="n"/>
      <c r="D249" s="26">
        <f>IF(B249="","","CWP"&amp;MID(B249,4,12))</f>
        <v/>
      </c>
      <c r="E249" s="27" t="n"/>
      <c r="F249" s="25" t="n"/>
      <c r="G249" s="28" t="n"/>
      <c r="H249" s="29" t="n"/>
      <c r="I249" s="30">
        <f>IF(OR(B249="",H249="",C249=""),"",H249-7*VLOOKUP(C249,Plazos!$A$6:$F$8,2,FALSE))</f>
        <v/>
      </c>
      <c r="J249" s="30">
        <f>IF(OR(B249="",H249="",C249=""),"",H249-7*VLOOKUP(C249,Plazos!$A$6:$F$8,3,FALSE))</f>
        <v/>
      </c>
      <c r="K249" s="30">
        <f>IF(OR(B249="",H249="",C249=""),"",H249-7*VLOOKUP(C249,Plazos!$A$6:$F$8,4,FALSE))</f>
        <v/>
      </c>
      <c r="L249" s="30">
        <f>IF(OR(B249="",H249="",C249=""),"",H249-7*VLOOKUP(C249,Plazos!$A$6:$F$8,5,FALSE))</f>
        <v/>
      </c>
      <c r="M249" s="30">
        <f>IF(OR(B249="",H249="",C249=""),"",H249-7*VLOOKUP(C249,Plazos!$A$6:$F$8,6,FALSE))</f>
        <v/>
      </c>
      <c r="N249" s="29" t="n"/>
      <c r="O249" s="28" t="n"/>
      <c r="P249" s="25" t="n"/>
      <c r="Q249" s="31">
        <f>IF(OR(B249="",M249=""),"",IF(N249&lt;&gt;"",MAX(0,N249-M249),MAX(0,$B$3-M249)))</f>
        <v/>
      </c>
      <c r="R249" s="26">
        <f>IF(OR(B249="",M249=""),"",IF(N249&lt;&gt;"",IF(Q249&gt;0,"Liberado con atraso","Liberado a tiempo"),IF($B$3&gt;M249,"Vencido sin liberar",IF(M249-$B$3&lt;=14,"Próximo a liberar","En plazo"))))</f>
        <v/>
      </c>
      <c r="S249" s="27" t="n"/>
    </row>
    <row r="250">
      <c r="A250" s="24" t="n"/>
      <c r="B250" s="25" t="n"/>
      <c r="C250" s="25" t="n"/>
      <c r="D250" s="26">
        <f>IF(B250="","","CWP"&amp;MID(B250,4,12))</f>
        <v/>
      </c>
      <c r="E250" s="27" t="n"/>
      <c r="F250" s="25" t="n"/>
      <c r="G250" s="28" t="n"/>
      <c r="H250" s="29" t="n"/>
      <c r="I250" s="30">
        <f>IF(OR(B250="",H250="",C250=""),"",H250-7*VLOOKUP(C250,Plazos!$A$6:$F$8,2,FALSE))</f>
        <v/>
      </c>
      <c r="J250" s="30">
        <f>IF(OR(B250="",H250="",C250=""),"",H250-7*VLOOKUP(C250,Plazos!$A$6:$F$8,3,FALSE))</f>
        <v/>
      </c>
      <c r="K250" s="30">
        <f>IF(OR(B250="",H250="",C250=""),"",H250-7*VLOOKUP(C250,Plazos!$A$6:$F$8,4,FALSE))</f>
        <v/>
      </c>
      <c r="L250" s="30">
        <f>IF(OR(B250="",H250="",C250=""),"",H250-7*VLOOKUP(C250,Plazos!$A$6:$F$8,5,FALSE))</f>
        <v/>
      </c>
      <c r="M250" s="30">
        <f>IF(OR(B250="",H250="",C250=""),"",H250-7*VLOOKUP(C250,Plazos!$A$6:$F$8,6,FALSE))</f>
        <v/>
      </c>
      <c r="N250" s="29" t="n"/>
      <c r="O250" s="28" t="n"/>
      <c r="P250" s="25" t="n"/>
      <c r="Q250" s="31">
        <f>IF(OR(B250="",M250=""),"",IF(N250&lt;&gt;"",MAX(0,N250-M250),MAX(0,$B$3-M250)))</f>
        <v/>
      </c>
      <c r="R250" s="26">
        <f>IF(OR(B250="",M250=""),"",IF(N250&lt;&gt;"",IF(Q250&gt;0,"Liberado con atraso","Liberado a tiempo"),IF($B$3&gt;M250,"Vencido sin liberar",IF(M250-$B$3&lt;=14,"Próximo a liberar","En plazo"))))</f>
        <v/>
      </c>
      <c r="S250" s="27" t="n"/>
    </row>
    <row r="251">
      <c r="A251" s="24" t="n"/>
      <c r="B251" s="25" t="n"/>
      <c r="C251" s="25" t="n"/>
      <c r="D251" s="26">
        <f>IF(B251="","","CWP"&amp;MID(B251,4,12))</f>
        <v/>
      </c>
      <c r="E251" s="27" t="n"/>
      <c r="F251" s="25" t="n"/>
      <c r="G251" s="28" t="n"/>
      <c r="H251" s="29" t="n"/>
      <c r="I251" s="30">
        <f>IF(OR(B251="",H251="",C251=""),"",H251-7*VLOOKUP(C251,Plazos!$A$6:$F$8,2,FALSE))</f>
        <v/>
      </c>
      <c r="J251" s="30">
        <f>IF(OR(B251="",H251="",C251=""),"",H251-7*VLOOKUP(C251,Plazos!$A$6:$F$8,3,FALSE))</f>
        <v/>
      </c>
      <c r="K251" s="30">
        <f>IF(OR(B251="",H251="",C251=""),"",H251-7*VLOOKUP(C251,Plazos!$A$6:$F$8,4,FALSE))</f>
        <v/>
      </c>
      <c r="L251" s="30">
        <f>IF(OR(B251="",H251="",C251=""),"",H251-7*VLOOKUP(C251,Plazos!$A$6:$F$8,5,FALSE))</f>
        <v/>
      </c>
      <c r="M251" s="30">
        <f>IF(OR(B251="",H251="",C251=""),"",H251-7*VLOOKUP(C251,Plazos!$A$6:$F$8,6,FALSE))</f>
        <v/>
      </c>
      <c r="N251" s="29" t="n"/>
      <c r="O251" s="28" t="n"/>
      <c r="P251" s="25" t="n"/>
      <c r="Q251" s="31">
        <f>IF(OR(B251="",M251=""),"",IF(N251&lt;&gt;"",MAX(0,N251-M251),MAX(0,$B$3-M251)))</f>
        <v/>
      </c>
      <c r="R251" s="26">
        <f>IF(OR(B251="",M251=""),"",IF(N251&lt;&gt;"",IF(Q251&gt;0,"Liberado con atraso","Liberado a tiempo"),IF($B$3&gt;M251,"Vencido sin liberar",IF(M251-$B$3&lt;=14,"Próximo a liberar","En plazo"))))</f>
        <v/>
      </c>
      <c r="S251" s="27" t="n"/>
    </row>
    <row r="252">
      <c r="A252" s="24" t="n"/>
      <c r="B252" s="25" t="n"/>
      <c r="C252" s="25" t="n"/>
      <c r="D252" s="26">
        <f>IF(B252="","","CWP"&amp;MID(B252,4,12))</f>
        <v/>
      </c>
      <c r="E252" s="27" t="n"/>
      <c r="F252" s="25" t="n"/>
      <c r="G252" s="28" t="n"/>
      <c r="H252" s="29" t="n"/>
      <c r="I252" s="30">
        <f>IF(OR(B252="",H252="",C252=""),"",H252-7*VLOOKUP(C252,Plazos!$A$6:$F$8,2,FALSE))</f>
        <v/>
      </c>
      <c r="J252" s="30">
        <f>IF(OR(B252="",H252="",C252=""),"",H252-7*VLOOKUP(C252,Plazos!$A$6:$F$8,3,FALSE))</f>
        <v/>
      </c>
      <c r="K252" s="30">
        <f>IF(OR(B252="",H252="",C252=""),"",H252-7*VLOOKUP(C252,Plazos!$A$6:$F$8,4,FALSE))</f>
        <v/>
      </c>
      <c r="L252" s="30">
        <f>IF(OR(B252="",H252="",C252=""),"",H252-7*VLOOKUP(C252,Plazos!$A$6:$F$8,5,FALSE))</f>
        <v/>
      </c>
      <c r="M252" s="30">
        <f>IF(OR(B252="",H252="",C252=""),"",H252-7*VLOOKUP(C252,Plazos!$A$6:$F$8,6,FALSE))</f>
        <v/>
      </c>
      <c r="N252" s="29" t="n"/>
      <c r="O252" s="28" t="n"/>
      <c r="P252" s="25" t="n"/>
      <c r="Q252" s="31">
        <f>IF(OR(B252="",M252=""),"",IF(N252&lt;&gt;"",MAX(0,N252-M252),MAX(0,$B$3-M252)))</f>
        <v/>
      </c>
      <c r="R252" s="26">
        <f>IF(OR(B252="",M252=""),"",IF(N252&lt;&gt;"",IF(Q252&gt;0,"Liberado con atraso","Liberado a tiempo"),IF($B$3&gt;M252,"Vencido sin liberar",IF(M252-$B$3&lt;=14,"Próximo a liberar","En plazo"))))</f>
        <v/>
      </c>
      <c r="S252" s="27" t="n"/>
    </row>
    <row r="253">
      <c r="A253" s="24" t="n"/>
      <c r="B253" s="25" t="n"/>
      <c r="C253" s="25" t="n"/>
      <c r="D253" s="26">
        <f>IF(B253="","","CWP"&amp;MID(B253,4,12))</f>
        <v/>
      </c>
      <c r="E253" s="27" t="n"/>
      <c r="F253" s="25" t="n"/>
      <c r="G253" s="28" t="n"/>
      <c r="H253" s="29" t="n"/>
      <c r="I253" s="30">
        <f>IF(OR(B253="",H253="",C253=""),"",H253-7*VLOOKUP(C253,Plazos!$A$6:$F$8,2,FALSE))</f>
        <v/>
      </c>
      <c r="J253" s="30">
        <f>IF(OR(B253="",H253="",C253=""),"",H253-7*VLOOKUP(C253,Plazos!$A$6:$F$8,3,FALSE))</f>
        <v/>
      </c>
      <c r="K253" s="30">
        <f>IF(OR(B253="",H253="",C253=""),"",H253-7*VLOOKUP(C253,Plazos!$A$6:$F$8,4,FALSE))</f>
        <v/>
      </c>
      <c r="L253" s="30">
        <f>IF(OR(B253="",H253="",C253=""),"",H253-7*VLOOKUP(C253,Plazos!$A$6:$F$8,5,FALSE))</f>
        <v/>
      </c>
      <c r="M253" s="30">
        <f>IF(OR(B253="",H253="",C253=""),"",H253-7*VLOOKUP(C253,Plazos!$A$6:$F$8,6,FALSE))</f>
        <v/>
      </c>
      <c r="N253" s="29" t="n"/>
      <c r="O253" s="28" t="n"/>
      <c r="P253" s="25" t="n"/>
      <c r="Q253" s="31">
        <f>IF(OR(B253="",M253=""),"",IF(N253&lt;&gt;"",MAX(0,N253-M253),MAX(0,$B$3-M253)))</f>
        <v/>
      </c>
      <c r="R253" s="26">
        <f>IF(OR(B253="",M253=""),"",IF(N253&lt;&gt;"",IF(Q253&gt;0,"Liberado con atraso","Liberado a tiempo"),IF($B$3&gt;M253,"Vencido sin liberar",IF(M253-$B$3&lt;=14,"Próximo a liberar","En plazo"))))</f>
        <v/>
      </c>
      <c r="S253" s="27" t="n"/>
    </row>
    <row r="254">
      <c r="A254" s="24" t="n"/>
      <c r="B254" s="25" t="n"/>
      <c r="C254" s="25" t="n"/>
      <c r="D254" s="26">
        <f>IF(B254="","","CWP"&amp;MID(B254,4,12))</f>
        <v/>
      </c>
      <c r="E254" s="27" t="n"/>
      <c r="F254" s="25" t="n"/>
      <c r="G254" s="28" t="n"/>
      <c r="H254" s="29" t="n"/>
      <c r="I254" s="30">
        <f>IF(OR(B254="",H254="",C254=""),"",H254-7*VLOOKUP(C254,Plazos!$A$6:$F$8,2,FALSE))</f>
        <v/>
      </c>
      <c r="J254" s="30">
        <f>IF(OR(B254="",H254="",C254=""),"",H254-7*VLOOKUP(C254,Plazos!$A$6:$F$8,3,FALSE))</f>
        <v/>
      </c>
      <c r="K254" s="30">
        <f>IF(OR(B254="",H254="",C254=""),"",H254-7*VLOOKUP(C254,Plazos!$A$6:$F$8,4,FALSE))</f>
        <v/>
      </c>
      <c r="L254" s="30">
        <f>IF(OR(B254="",H254="",C254=""),"",H254-7*VLOOKUP(C254,Plazos!$A$6:$F$8,5,FALSE))</f>
        <v/>
      </c>
      <c r="M254" s="30">
        <f>IF(OR(B254="",H254="",C254=""),"",H254-7*VLOOKUP(C254,Plazos!$A$6:$F$8,6,FALSE))</f>
        <v/>
      </c>
      <c r="N254" s="29" t="n"/>
      <c r="O254" s="28" t="n"/>
      <c r="P254" s="25" t="n"/>
      <c r="Q254" s="31">
        <f>IF(OR(B254="",M254=""),"",IF(N254&lt;&gt;"",MAX(0,N254-M254),MAX(0,$B$3-M254)))</f>
        <v/>
      </c>
      <c r="R254" s="26">
        <f>IF(OR(B254="",M254=""),"",IF(N254&lt;&gt;"",IF(Q254&gt;0,"Liberado con atraso","Liberado a tiempo"),IF($B$3&gt;M254,"Vencido sin liberar",IF(M254-$B$3&lt;=14,"Próximo a liberar","En plazo"))))</f>
        <v/>
      </c>
      <c r="S254" s="27" t="n"/>
    </row>
    <row r="255">
      <c r="A255" s="24" t="n"/>
      <c r="B255" s="25" t="n"/>
      <c r="C255" s="25" t="n"/>
      <c r="D255" s="26">
        <f>IF(B255="","","CWP"&amp;MID(B255,4,12))</f>
        <v/>
      </c>
      <c r="E255" s="27" t="n"/>
      <c r="F255" s="25" t="n"/>
      <c r="G255" s="28" t="n"/>
      <c r="H255" s="29" t="n"/>
      <c r="I255" s="30">
        <f>IF(OR(B255="",H255="",C255=""),"",H255-7*VLOOKUP(C255,Plazos!$A$6:$F$8,2,FALSE))</f>
        <v/>
      </c>
      <c r="J255" s="30">
        <f>IF(OR(B255="",H255="",C255=""),"",H255-7*VLOOKUP(C255,Plazos!$A$6:$F$8,3,FALSE))</f>
        <v/>
      </c>
      <c r="K255" s="30">
        <f>IF(OR(B255="",H255="",C255=""),"",H255-7*VLOOKUP(C255,Plazos!$A$6:$F$8,4,FALSE))</f>
        <v/>
      </c>
      <c r="L255" s="30">
        <f>IF(OR(B255="",H255="",C255=""),"",H255-7*VLOOKUP(C255,Plazos!$A$6:$F$8,5,FALSE))</f>
        <v/>
      </c>
      <c r="M255" s="30">
        <f>IF(OR(B255="",H255="",C255=""),"",H255-7*VLOOKUP(C255,Plazos!$A$6:$F$8,6,FALSE))</f>
        <v/>
      </c>
      <c r="N255" s="29" t="n"/>
      <c r="O255" s="28" t="n"/>
      <c r="P255" s="25" t="n"/>
      <c r="Q255" s="31">
        <f>IF(OR(B255="",M255=""),"",IF(N255&lt;&gt;"",MAX(0,N255-M255),MAX(0,$B$3-M255)))</f>
        <v/>
      </c>
      <c r="R255" s="26">
        <f>IF(OR(B255="",M255=""),"",IF(N255&lt;&gt;"",IF(Q255&gt;0,"Liberado con atraso","Liberado a tiempo"),IF($B$3&gt;M255,"Vencido sin liberar",IF(M255-$B$3&lt;=14,"Próximo a liberar","En plazo"))))</f>
        <v/>
      </c>
      <c r="S255" s="27" t="n"/>
    </row>
    <row r="256">
      <c r="A256" s="24" t="n"/>
      <c r="B256" s="25" t="n"/>
      <c r="C256" s="25" t="n"/>
      <c r="D256" s="26">
        <f>IF(B256="","","CWP"&amp;MID(B256,4,12))</f>
        <v/>
      </c>
      <c r="E256" s="27" t="n"/>
      <c r="F256" s="25" t="n"/>
      <c r="G256" s="28" t="n"/>
      <c r="H256" s="29" t="n"/>
      <c r="I256" s="30">
        <f>IF(OR(B256="",H256="",C256=""),"",H256-7*VLOOKUP(C256,Plazos!$A$6:$F$8,2,FALSE))</f>
        <v/>
      </c>
      <c r="J256" s="30">
        <f>IF(OR(B256="",H256="",C256=""),"",H256-7*VLOOKUP(C256,Plazos!$A$6:$F$8,3,FALSE))</f>
        <v/>
      </c>
      <c r="K256" s="30">
        <f>IF(OR(B256="",H256="",C256=""),"",H256-7*VLOOKUP(C256,Plazos!$A$6:$F$8,4,FALSE))</f>
        <v/>
      </c>
      <c r="L256" s="30">
        <f>IF(OR(B256="",H256="",C256=""),"",H256-7*VLOOKUP(C256,Plazos!$A$6:$F$8,5,FALSE))</f>
        <v/>
      </c>
      <c r="M256" s="30">
        <f>IF(OR(B256="",H256="",C256=""),"",H256-7*VLOOKUP(C256,Plazos!$A$6:$F$8,6,FALSE))</f>
        <v/>
      </c>
      <c r="N256" s="29" t="n"/>
      <c r="O256" s="28" t="n"/>
      <c r="P256" s="25" t="n"/>
      <c r="Q256" s="31">
        <f>IF(OR(B256="",M256=""),"",IF(N256&lt;&gt;"",MAX(0,N256-M256),MAX(0,$B$3-M256)))</f>
        <v/>
      </c>
      <c r="R256" s="26">
        <f>IF(OR(B256="",M256=""),"",IF(N256&lt;&gt;"",IF(Q256&gt;0,"Liberado con atraso","Liberado a tiempo"),IF($B$3&gt;M256,"Vencido sin liberar",IF(M256-$B$3&lt;=14,"Próximo a liberar","En plazo"))))</f>
        <v/>
      </c>
      <c r="S256" s="27" t="n"/>
    </row>
    <row r="257">
      <c r="A257" s="24" t="n"/>
      <c r="B257" s="25" t="n"/>
      <c r="C257" s="25" t="n"/>
      <c r="D257" s="26">
        <f>IF(B257="","","CWP"&amp;MID(B257,4,12))</f>
        <v/>
      </c>
      <c r="E257" s="27" t="n"/>
      <c r="F257" s="25" t="n"/>
      <c r="G257" s="28" t="n"/>
      <c r="H257" s="29" t="n"/>
      <c r="I257" s="30">
        <f>IF(OR(B257="",H257="",C257=""),"",H257-7*VLOOKUP(C257,Plazos!$A$6:$F$8,2,FALSE))</f>
        <v/>
      </c>
      <c r="J257" s="30">
        <f>IF(OR(B257="",H257="",C257=""),"",H257-7*VLOOKUP(C257,Plazos!$A$6:$F$8,3,FALSE))</f>
        <v/>
      </c>
      <c r="K257" s="30">
        <f>IF(OR(B257="",H257="",C257=""),"",H257-7*VLOOKUP(C257,Plazos!$A$6:$F$8,4,FALSE))</f>
        <v/>
      </c>
      <c r="L257" s="30">
        <f>IF(OR(B257="",H257="",C257=""),"",H257-7*VLOOKUP(C257,Plazos!$A$6:$F$8,5,FALSE))</f>
        <v/>
      </c>
      <c r="M257" s="30">
        <f>IF(OR(B257="",H257="",C257=""),"",H257-7*VLOOKUP(C257,Plazos!$A$6:$F$8,6,FALSE))</f>
        <v/>
      </c>
      <c r="N257" s="29" t="n"/>
      <c r="O257" s="28" t="n"/>
      <c r="P257" s="25" t="n"/>
      <c r="Q257" s="31">
        <f>IF(OR(B257="",M257=""),"",IF(N257&lt;&gt;"",MAX(0,N257-M257),MAX(0,$B$3-M257)))</f>
        <v/>
      </c>
      <c r="R257" s="26">
        <f>IF(OR(B257="",M257=""),"",IF(N257&lt;&gt;"",IF(Q257&gt;0,"Liberado con atraso","Liberado a tiempo"),IF($B$3&gt;M257,"Vencido sin liberar",IF(M257-$B$3&lt;=14,"Próximo a liberar","En plazo"))))</f>
        <v/>
      </c>
      <c r="S257" s="27" t="n"/>
    </row>
    <row r="258">
      <c r="A258" s="24" t="n"/>
      <c r="B258" s="25" t="n"/>
      <c r="C258" s="25" t="n"/>
      <c r="D258" s="26">
        <f>IF(B258="","","CWP"&amp;MID(B258,4,12))</f>
        <v/>
      </c>
      <c r="E258" s="27" t="n"/>
      <c r="F258" s="25" t="n"/>
      <c r="G258" s="28" t="n"/>
      <c r="H258" s="29" t="n"/>
      <c r="I258" s="30">
        <f>IF(OR(B258="",H258="",C258=""),"",H258-7*VLOOKUP(C258,Plazos!$A$6:$F$8,2,FALSE))</f>
        <v/>
      </c>
      <c r="J258" s="30">
        <f>IF(OR(B258="",H258="",C258=""),"",H258-7*VLOOKUP(C258,Plazos!$A$6:$F$8,3,FALSE))</f>
        <v/>
      </c>
      <c r="K258" s="30">
        <f>IF(OR(B258="",H258="",C258=""),"",H258-7*VLOOKUP(C258,Plazos!$A$6:$F$8,4,FALSE))</f>
        <v/>
      </c>
      <c r="L258" s="30">
        <f>IF(OR(B258="",H258="",C258=""),"",H258-7*VLOOKUP(C258,Plazos!$A$6:$F$8,5,FALSE))</f>
        <v/>
      </c>
      <c r="M258" s="30">
        <f>IF(OR(B258="",H258="",C258=""),"",H258-7*VLOOKUP(C258,Plazos!$A$6:$F$8,6,FALSE))</f>
        <v/>
      </c>
      <c r="N258" s="29" t="n"/>
      <c r="O258" s="28" t="n"/>
      <c r="P258" s="25" t="n"/>
      <c r="Q258" s="31">
        <f>IF(OR(B258="",M258=""),"",IF(N258&lt;&gt;"",MAX(0,N258-M258),MAX(0,$B$3-M258)))</f>
        <v/>
      </c>
      <c r="R258" s="26">
        <f>IF(OR(B258="",M258=""),"",IF(N258&lt;&gt;"",IF(Q258&gt;0,"Liberado con atraso","Liberado a tiempo"),IF($B$3&gt;M258,"Vencido sin liberar",IF(M258-$B$3&lt;=14,"Próximo a liberar","En plazo"))))</f>
        <v/>
      </c>
      <c r="S258" s="27" t="n"/>
    </row>
    <row r="259">
      <c r="A259" s="24" t="n"/>
      <c r="B259" s="25" t="n"/>
      <c r="C259" s="25" t="n"/>
      <c r="D259" s="26">
        <f>IF(B259="","","CWP"&amp;MID(B259,4,12))</f>
        <v/>
      </c>
      <c r="E259" s="27" t="n"/>
      <c r="F259" s="25" t="n"/>
      <c r="G259" s="28" t="n"/>
      <c r="H259" s="29" t="n"/>
      <c r="I259" s="30">
        <f>IF(OR(B259="",H259="",C259=""),"",H259-7*VLOOKUP(C259,Plazos!$A$6:$F$8,2,FALSE))</f>
        <v/>
      </c>
      <c r="J259" s="30">
        <f>IF(OR(B259="",H259="",C259=""),"",H259-7*VLOOKUP(C259,Plazos!$A$6:$F$8,3,FALSE))</f>
        <v/>
      </c>
      <c r="K259" s="30">
        <f>IF(OR(B259="",H259="",C259=""),"",H259-7*VLOOKUP(C259,Plazos!$A$6:$F$8,4,FALSE))</f>
        <v/>
      </c>
      <c r="L259" s="30">
        <f>IF(OR(B259="",H259="",C259=""),"",H259-7*VLOOKUP(C259,Plazos!$A$6:$F$8,5,FALSE))</f>
        <v/>
      </c>
      <c r="M259" s="30">
        <f>IF(OR(B259="",H259="",C259=""),"",H259-7*VLOOKUP(C259,Plazos!$A$6:$F$8,6,FALSE))</f>
        <v/>
      </c>
      <c r="N259" s="29" t="n"/>
      <c r="O259" s="28" t="n"/>
      <c r="P259" s="25" t="n"/>
      <c r="Q259" s="31">
        <f>IF(OR(B259="",M259=""),"",IF(N259&lt;&gt;"",MAX(0,N259-M259),MAX(0,$B$3-M259)))</f>
        <v/>
      </c>
      <c r="R259" s="26">
        <f>IF(OR(B259="",M259=""),"",IF(N259&lt;&gt;"",IF(Q259&gt;0,"Liberado con atraso","Liberado a tiempo"),IF($B$3&gt;M259,"Vencido sin liberar",IF(M259-$B$3&lt;=14,"Próximo a liberar","En plazo"))))</f>
        <v/>
      </c>
      <c r="S259" s="27" t="n"/>
    </row>
    <row r="260">
      <c r="A260" s="24" t="n"/>
      <c r="B260" s="25" t="n"/>
      <c r="C260" s="25" t="n"/>
      <c r="D260" s="26">
        <f>IF(B260="","","CWP"&amp;MID(B260,4,12))</f>
        <v/>
      </c>
      <c r="E260" s="27" t="n"/>
      <c r="F260" s="25" t="n"/>
      <c r="G260" s="28" t="n"/>
      <c r="H260" s="29" t="n"/>
      <c r="I260" s="30">
        <f>IF(OR(B260="",H260="",C260=""),"",H260-7*VLOOKUP(C260,Plazos!$A$6:$F$8,2,FALSE))</f>
        <v/>
      </c>
      <c r="J260" s="30">
        <f>IF(OR(B260="",H260="",C260=""),"",H260-7*VLOOKUP(C260,Plazos!$A$6:$F$8,3,FALSE))</f>
        <v/>
      </c>
      <c r="K260" s="30">
        <f>IF(OR(B260="",H260="",C260=""),"",H260-7*VLOOKUP(C260,Plazos!$A$6:$F$8,4,FALSE))</f>
        <v/>
      </c>
      <c r="L260" s="30">
        <f>IF(OR(B260="",H260="",C260=""),"",H260-7*VLOOKUP(C260,Plazos!$A$6:$F$8,5,FALSE))</f>
        <v/>
      </c>
      <c r="M260" s="30">
        <f>IF(OR(B260="",H260="",C260=""),"",H260-7*VLOOKUP(C260,Plazos!$A$6:$F$8,6,FALSE))</f>
        <v/>
      </c>
      <c r="N260" s="29" t="n"/>
      <c r="O260" s="28" t="n"/>
      <c r="P260" s="25" t="n"/>
      <c r="Q260" s="31">
        <f>IF(OR(B260="",M260=""),"",IF(N260&lt;&gt;"",MAX(0,N260-M260),MAX(0,$B$3-M260)))</f>
        <v/>
      </c>
      <c r="R260" s="26">
        <f>IF(OR(B260="",M260=""),"",IF(N260&lt;&gt;"",IF(Q260&gt;0,"Liberado con atraso","Liberado a tiempo"),IF($B$3&gt;M260,"Vencido sin liberar",IF(M260-$B$3&lt;=14,"Próximo a liberar","En plazo"))))</f>
        <v/>
      </c>
      <c r="S260" s="27" t="n"/>
    </row>
    <row r="261">
      <c r="A261" s="24" t="n"/>
      <c r="B261" s="25" t="n"/>
      <c r="C261" s="25" t="n"/>
      <c r="D261" s="26">
        <f>IF(B261="","","CWP"&amp;MID(B261,4,12))</f>
        <v/>
      </c>
      <c r="E261" s="27" t="n"/>
      <c r="F261" s="25" t="n"/>
      <c r="G261" s="28" t="n"/>
      <c r="H261" s="29" t="n"/>
      <c r="I261" s="30">
        <f>IF(OR(B261="",H261="",C261=""),"",H261-7*VLOOKUP(C261,Plazos!$A$6:$F$8,2,FALSE))</f>
        <v/>
      </c>
      <c r="J261" s="30">
        <f>IF(OR(B261="",H261="",C261=""),"",H261-7*VLOOKUP(C261,Plazos!$A$6:$F$8,3,FALSE))</f>
        <v/>
      </c>
      <c r="K261" s="30">
        <f>IF(OR(B261="",H261="",C261=""),"",H261-7*VLOOKUP(C261,Plazos!$A$6:$F$8,4,FALSE))</f>
        <v/>
      </c>
      <c r="L261" s="30">
        <f>IF(OR(B261="",H261="",C261=""),"",H261-7*VLOOKUP(C261,Plazos!$A$6:$F$8,5,FALSE))</f>
        <v/>
      </c>
      <c r="M261" s="30">
        <f>IF(OR(B261="",H261="",C261=""),"",H261-7*VLOOKUP(C261,Plazos!$A$6:$F$8,6,FALSE))</f>
        <v/>
      </c>
      <c r="N261" s="29" t="n"/>
      <c r="O261" s="28" t="n"/>
      <c r="P261" s="25" t="n"/>
      <c r="Q261" s="31">
        <f>IF(OR(B261="",M261=""),"",IF(N261&lt;&gt;"",MAX(0,N261-M261),MAX(0,$B$3-M261)))</f>
        <v/>
      </c>
      <c r="R261" s="26">
        <f>IF(OR(B261="",M261=""),"",IF(N261&lt;&gt;"",IF(Q261&gt;0,"Liberado con atraso","Liberado a tiempo"),IF($B$3&gt;M261,"Vencido sin liberar",IF(M261-$B$3&lt;=14,"Próximo a liberar","En plazo"))))</f>
        <v/>
      </c>
      <c r="S261" s="27" t="n"/>
    </row>
    <row r="262">
      <c r="A262" s="24" t="n"/>
      <c r="B262" s="25" t="n"/>
      <c r="C262" s="25" t="n"/>
      <c r="D262" s="26">
        <f>IF(B262="","","CWP"&amp;MID(B262,4,12))</f>
        <v/>
      </c>
      <c r="E262" s="27" t="n"/>
      <c r="F262" s="25" t="n"/>
      <c r="G262" s="28" t="n"/>
      <c r="H262" s="29" t="n"/>
      <c r="I262" s="30">
        <f>IF(OR(B262="",H262="",C262=""),"",H262-7*VLOOKUP(C262,Plazos!$A$6:$F$8,2,FALSE))</f>
        <v/>
      </c>
      <c r="J262" s="30">
        <f>IF(OR(B262="",H262="",C262=""),"",H262-7*VLOOKUP(C262,Plazos!$A$6:$F$8,3,FALSE))</f>
        <v/>
      </c>
      <c r="K262" s="30">
        <f>IF(OR(B262="",H262="",C262=""),"",H262-7*VLOOKUP(C262,Plazos!$A$6:$F$8,4,FALSE))</f>
        <v/>
      </c>
      <c r="L262" s="30">
        <f>IF(OR(B262="",H262="",C262=""),"",H262-7*VLOOKUP(C262,Plazos!$A$6:$F$8,5,FALSE))</f>
        <v/>
      </c>
      <c r="M262" s="30">
        <f>IF(OR(B262="",H262="",C262=""),"",H262-7*VLOOKUP(C262,Plazos!$A$6:$F$8,6,FALSE))</f>
        <v/>
      </c>
      <c r="N262" s="29" t="n"/>
      <c r="O262" s="28" t="n"/>
      <c r="P262" s="25" t="n"/>
      <c r="Q262" s="31">
        <f>IF(OR(B262="",M262=""),"",IF(N262&lt;&gt;"",MAX(0,N262-M262),MAX(0,$B$3-M262)))</f>
        <v/>
      </c>
      <c r="R262" s="26">
        <f>IF(OR(B262="",M262=""),"",IF(N262&lt;&gt;"",IF(Q262&gt;0,"Liberado con atraso","Liberado a tiempo"),IF($B$3&gt;M262,"Vencido sin liberar",IF(M262-$B$3&lt;=14,"Próximo a liberar","En plazo"))))</f>
        <v/>
      </c>
      <c r="S262" s="27" t="n"/>
    </row>
    <row r="263">
      <c r="A263" s="24" t="n"/>
      <c r="B263" s="25" t="n"/>
      <c r="C263" s="25" t="n"/>
      <c r="D263" s="26">
        <f>IF(B263="","","CWP"&amp;MID(B263,4,12))</f>
        <v/>
      </c>
      <c r="E263" s="27" t="n"/>
      <c r="F263" s="25" t="n"/>
      <c r="G263" s="28" t="n"/>
      <c r="H263" s="29" t="n"/>
      <c r="I263" s="30">
        <f>IF(OR(B263="",H263="",C263=""),"",H263-7*VLOOKUP(C263,Plazos!$A$6:$F$8,2,FALSE))</f>
        <v/>
      </c>
      <c r="J263" s="30">
        <f>IF(OR(B263="",H263="",C263=""),"",H263-7*VLOOKUP(C263,Plazos!$A$6:$F$8,3,FALSE))</f>
        <v/>
      </c>
      <c r="K263" s="30">
        <f>IF(OR(B263="",H263="",C263=""),"",H263-7*VLOOKUP(C263,Plazos!$A$6:$F$8,4,FALSE))</f>
        <v/>
      </c>
      <c r="L263" s="30">
        <f>IF(OR(B263="",H263="",C263=""),"",H263-7*VLOOKUP(C263,Plazos!$A$6:$F$8,5,FALSE))</f>
        <v/>
      </c>
      <c r="M263" s="30">
        <f>IF(OR(B263="",H263="",C263=""),"",H263-7*VLOOKUP(C263,Plazos!$A$6:$F$8,6,FALSE))</f>
        <v/>
      </c>
      <c r="N263" s="29" t="n"/>
      <c r="O263" s="28" t="n"/>
      <c r="P263" s="25" t="n"/>
      <c r="Q263" s="31">
        <f>IF(OR(B263="",M263=""),"",IF(N263&lt;&gt;"",MAX(0,N263-M263),MAX(0,$B$3-M263)))</f>
        <v/>
      </c>
      <c r="R263" s="26">
        <f>IF(OR(B263="",M263=""),"",IF(N263&lt;&gt;"",IF(Q263&gt;0,"Liberado con atraso","Liberado a tiempo"),IF($B$3&gt;M263,"Vencido sin liberar",IF(M263-$B$3&lt;=14,"Próximo a liberar","En plazo"))))</f>
        <v/>
      </c>
      <c r="S263" s="27" t="n"/>
    </row>
    <row r="264">
      <c r="A264" s="24" t="n"/>
      <c r="B264" s="25" t="n"/>
      <c r="C264" s="25" t="n"/>
      <c r="D264" s="26">
        <f>IF(B264="","","CWP"&amp;MID(B264,4,12))</f>
        <v/>
      </c>
      <c r="E264" s="27" t="n"/>
      <c r="F264" s="25" t="n"/>
      <c r="G264" s="28" t="n"/>
      <c r="H264" s="29" t="n"/>
      <c r="I264" s="30">
        <f>IF(OR(B264="",H264="",C264=""),"",H264-7*VLOOKUP(C264,Plazos!$A$6:$F$8,2,FALSE))</f>
        <v/>
      </c>
      <c r="J264" s="30">
        <f>IF(OR(B264="",H264="",C264=""),"",H264-7*VLOOKUP(C264,Plazos!$A$6:$F$8,3,FALSE))</f>
        <v/>
      </c>
      <c r="K264" s="30">
        <f>IF(OR(B264="",H264="",C264=""),"",H264-7*VLOOKUP(C264,Plazos!$A$6:$F$8,4,FALSE))</f>
        <v/>
      </c>
      <c r="L264" s="30">
        <f>IF(OR(B264="",H264="",C264=""),"",H264-7*VLOOKUP(C264,Plazos!$A$6:$F$8,5,FALSE))</f>
        <v/>
      </c>
      <c r="M264" s="30">
        <f>IF(OR(B264="",H264="",C264=""),"",H264-7*VLOOKUP(C264,Plazos!$A$6:$F$8,6,FALSE))</f>
        <v/>
      </c>
      <c r="N264" s="29" t="n"/>
      <c r="O264" s="28" t="n"/>
      <c r="P264" s="25" t="n"/>
      <c r="Q264" s="31">
        <f>IF(OR(B264="",M264=""),"",IF(N264&lt;&gt;"",MAX(0,N264-M264),MAX(0,$B$3-M264)))</f>
        <v/>
      </c>
      <c r="R264" s="26">
        <f>IF(OR(B264="",M264=""),"",IF(N264&lt;&gt;"",IF(Q264&gt;0,"Liberado con atraso","Liberado a tiempo"),IF($B$3&gt;M264,"Vencido sin liberar",IF(M264-$B$3&lt;=14,"Próximo a liberar","En plazo"))))</f>
        <v/>
      </c>
      <c r="S264" s="27" t="n"/>
    </row>
    <row r="265">
      <c r="A265" s="24" t="n"/>
      <c r="B265" s="25" t="n"/>
      <c r="C265" s="25" t="n"/>
      <c r="D265" s="26">
        <f>IF(B265="","","CWP"&amp;MID(B265,4,12))</f>
        <v/>
      </c>
      <c r="E265" s="27" t="n"/>
      <c r="F265" s="25" t="n"/>
      <c r="G265" s="28" t="n"/>
      <c r="H265" s="29" t="n"/>
      <c r="I265" s="30">
        <f>IF(OR(B265="",H265="",C265=""),"",H265-7*VLOOKUP(C265,Plazos!$A$6:$F$8,2,FALSE))</f>
        <v/>
      </c>
      <c r="J265" s="30">
        <f>IF(OR(B265="",H265="",C265=""),"",H265-7*VLOOKUP(C265,Plazos!$A$6:$F$8,3,FALSE))</f>
        <v/>
      </c>
      <c r="K265" s="30">
        <f>IF(OR(B265="",H265="",C265=""),"",H265-7*VLOOKUP(C265,Plazos!$A$6:$F$8,4,FALSE))</f>
        <v/>
      </c>
      <c r="L265" s="30">
        <f>IF(OR(B265="",H265="",C265=""),"",H265-7*VLOOKUP(C265,Plazos!$A$6:$F$8,5,FALSE))</f>
        <v/>
      </c>
      <c r="M265" s="30">
        <f>IF(OR(B265="",H265="",C265=""),"",H265-7*VLOOKUP(C265,Plazos!$A$6:$F$8,6,FALSE))</f>
        <v/>
      </c>
      <c r="N265" s="29" t="n"/>
      <c r="O265" s="28" t="n"/>
      <c r="P265" s="25" t="n"/>
      <c r="Q265" s="31">
        <f>IF(OR(B265="",M265=""),"",IF(N265&lt;&gt;"",MAX(0,N265-M265),MAX(0,$B$3-M265)))</f>
        <v/>
      </c>
      <c r="R265" s="26">
        <f>IF(OR(B265="",M265=""),"",IF(N265&lt;&gt;"",IF(Q265&gt;0,"Liberado con atraso","Liberado a tiempo"),IF($B$3&gt;M265,"Vencido sin liberar",IF(M265-$B$3&lt;=14,"Próximo a liberar","En plazo"))))</f>
        <v/>
      </c>
      <c r="S265" s="27" t="n"/>
    </row>
    <row r="266">
      <c r="A266" s="24" t="n"/>
      <c r="B266" s="25" t="n"/>
      <c r="C266" s="25" t="n"/>
      <c r="D266" s="26">
        <f>IF(B266="","","CWP"&amp;MID(B266,4,12))</f>
        <v/>
      </c>
      <c r="E266" s="27" t="n"/>
      <c r="F266" s="25" t="n"/>
      <c r="G266" s="28" t="n"/>
      <c r="H266" s="29" t="n"/>
      <c r="I266" s="30">
        <f>IF(OR(B266="",H266="",C266=""),"",H266-7*VLOOKUP(C266,Plazos!$A$6:$F$8,2,FALSE))</f>
        <v/>
      </c>
      <c r="J266" s="30">
        <f>IF(OR(B266="",H266="",C266=""),"",H266-7*VLOOKUP(C266,Plazos!$A$6:$F$8,3,FALSE))</f>
        <v/>
      </c>
      <c r="K266" s="30">
        <f>IF(OR(B266="",H266="",C266=""),"",H266-7*VLOOKUP(C266,Plazos!$A$6:$F$8,4,FALSE))</f>
        <v/>
      </c>
      <c r="L266" s="30">
        <f>IF(OR(B266="",H266="",C266=""),"",H266-7*VLOOKUP(C266,Plazos!$A$6:$F$8,5,FALSE))</f>
        <v/>
      </c>
      <c r="M266" s="30">
        <f>IF(OR(B266="",H266="",C266=""),"",H266-7*VLOOKUP(C266,Plazos!$A$6:$F$8,6,FALSE))</f>
        <v/>
      </c>
      <c r="N266" s="29" t="n"/>
      <c r="O266" s="28" t="n"/>
      <c r="P266" s="25" t="n"/>
      <c r="Q266" s="31">
        <f>IF(OR(B266="",M266=""),"",IF(N266&lt;&gt;"",MAX(0,N266-M266),MAX(0,$B$3-M266)))</f>
        <v/>
      </c>
      <c r="R266" s="26">
        <f>IF(OR(B266="",M266=""),"",IF(N266&lt;&gt;"",IF(Q266&gt;0,"Liberado con atraso","Liberado a tiempo"),IF($B$3&gt;M266,"Vencido sin liberar",IF(M266-$B$3&lt;=14,"Próximo a liberar","En plazo"))))</f>
        <v/>
      </c>
      <c r="S266" s="27" t="n"/>
    </row>
    <row r="267">
      <c r="A267" s="24" t="n"/>
      <c r="B267" s="25" t="n"/>
      <c r="C267" s="25" t="n"/>
      <c r="D267" s="26">
        <f>IF(B267="","","CWP"&amp;MID(B267,4,12))</f>
        <v/>
      </c>
      <c r="E267" s="27" t="n"/>
      <c r="F267" s="25" t="n"/>
      <c r="G267" s="28" t="n"/>
      <c r="H267" s="29" t="n"/>
      <c r="I267" s="30">
        <f>IF(OR(B267="",H267="",C267=""),"",H267-7*VLOOKUP(C267,Plazos!$A$6:$F$8,2,FALSE))</f>
        <v/>
      </c>
      <c r="J267" s="30">
        <f>IF(OR(B267="",H267="",C267=""),"",H267-7*VLOOKUP(C267,Plazos!$A$6:$F$8,3,FALSE))</f>
        <v/>
      </c>
      <c r="K267" s="30">
        <f>IF(OR(B267="",H267="",C267=""),"",H267-7*VLOOKUP(C267,Plazos!$A$6:$F$8,4,FALSE))</f>
        <v/>
      </c>
      <c r="L267" s="30">
        <f>IF(OR(B267="",H267="",C267=""),"",H267-7*VLOOKUP(C267,Plazos!$A$6:$F$8,5,FALSE))</f>
        <v/>
      </c>
      <c r="M267" s="30">
        <f>IF(OR(B267="",H267="",C267=""),"",H267-7*VLOOKUP(C267,Plazos!$A$6:$F$8,6,FALSE))</f>
        <v/>
      </c>
      <c r="N267" s="29" t="n"/>
      <c r="O267" s="28" t="n"/>
      <c r="P267" s="25" t="n"/>
      <c r="Q267" s="31">
        <f>IF(OR(B267="",M267=""),"",IF(N267&lt;&gt;"",MAX(0,N267-M267),MAX(0,$B$3-M267)))</f>
        <v/>
      </c>
      <c r="R267" s="26">
        <f>IF(OR(B267="",M267=""),"",IF(N267&lt;&gt;"",IF(Q267&gt;0,"Liberado con atraso","Liberado a tiempo"),IF($B$3&gt;M267,"Vencido sin liberar",IF(M267-$B$3&lt;=14,"Próximo a liberar","En plazo"))))</f>
        <v/>
      </c>
      <c r="S267" s="27" t="n"/>
    </row>
    <row r="268">
      <c r="A268" s="24" t="n"/>
      <c r="B268" s="25" t="n"/>
      <c r="C268" s="25" t="n"/>
      <c r="D268" s="26">
        <f>IF(B268="","","CWP"&amp;MID(B268,4,12))</f>
        <v/>
      </c>
      <c r="E268" s="27" t="n"/>
      <c r="F268" s="25" t="n"/>
      <c r="G268" s="28" t="n"/>
      <c r="H268" s="29" t="n"/>
      <c r="I268" s="30">
        <f>IF(OR(B268="",H268="",C268=""),"",H268-7*VLOOKUP(C268,Plazos!$A$6:$F$8,2,FALSE))</f>
        <v/>
      </c>
      <c r="J268" s="30">
        <f>IF(OR(B268="",H268="",C268=""),"",H268-7*VLOOKUP(C268,Plazos!$A$6:$F$8,3,FALSE))</f>
        <v/>
      </c>
      <c r="K268" s="30">
        <f>IF(OR(B268="",H268="",C268=""),"",H268-7*VLOOKUP(C268,Plazos!$A$6:$F$8,4,FALSE))</f>
        <v/>
      </c>
      <c r="L268" s="30">
        <f>IF(OR(B268="",H268="",C268=""),"",H268-7*VLOOKUP(C268,Plazos!$A$6:$F$8,5,FALSE))</f>
        <v/>
      </c>
      <c r="M268" s="30">
        <f>IF(OR(B268="",H268="",C268=""),"",H268-7*VLOOKUP(C268,Plazos!$A$6:$F$8,6,FALSE))</f>
        <v/>
      </c>
      <c r="N268" s="29" t="n"/>
      <c r="O268" s="28" t="n"/>
      <c r="P268" s="25" t="n"/>
      <c r="Q268" s="31">
        <f>IF(OR(B268="",M268=""),"",IF(N268&lt;&gt;"",MAX(0,N268-M268),MAX(0,$B$3-M268)))</f>
        <v/>
      </c>
      <c r="R268" s="26">
        <f>IF(OR(B268="",M268=""),"",IF(N268&lt;&gt;"",IF(Q268&gt;0,"Liberado con atraso","Liberado a tiempo"),IF($B$3&gt;M268,"Vencido sin liberar",IF(M268-$B$3&lt;=14,"Próximo a liberar","En plazo"))))</f>
        <v/>
      </c>
      <c r="S268" s="27" t="n"/>
    </row>
    <row r="269">
      <c r="A269" s="24" t="n"/>
      <c r="B269" s="25" t="n"/>
      <c r="C269" s="25" t="n"/>
      <c r="D269" s="26">
        <f>IF(B269="","","CWP"&amp;MID(B269,4,12))</f>
        <v/>
      </c>
      <c r="E269" s="27" t="n"/>
      <c r="F269" s="25" t="n"/>
      <c r="G269" s="28" t="n"/>
      <c r="H269" s="29" t="n"/>
      <c r="I269" s="30">
        <f>IF(OR(B269="",H269="",C269=""),"",H269-7*VLOOKUP(C269,Plazos!$A$6:$F$8,2,FALSE))</f>
        <v/>
      </c>
      <c r="J269" s="30">
        <f>IF(OR(B269="",H269="",C269=""),"",H269-7*VLOOKUP(C269,Plazos!$A$6:$F$8,3,FALSE))</f>
        <v/>
      </c>
      <c r="K269" s="30">
        <f>IF(OR(B269="",H269="",C269=""),"",H269-7*VLOOKUP(C269,Plazos!$A$6:$F$8,4,FALSE))</f>
        <v/>
      </c>
      <c r="L269" s="30">
        <f>IF(OR(B269="",H269="",C269=""),"",H269-7*VLOOKUP(C269,Plazos!$A$6:$F$8,5,FALSE))</f>
        <v/>
      </c>
      <c r="M269" s="30">
        <f>IF(OR(B269="",H269="",C269=""),"",H269-7*VLOOKUP(C269,Plazos!$A$6:$F$8,6,FALSE))</f>
        <v/>
      </c>
      <c r="N269" s="29" t="n"/>
      <c r="O269" s="28" t="n"/>
      <c r="P269" s="25" t="n"/>
      <c r="Q269" s="31">
        <f>IF(OR(B269="",M269=""),"",IF(N269&lt;&gt;"",MAX(0,N269-M269),MAX(0,$B$3-M269)))</f>
        <v/>
      </c>
      <c r="R269" s="26">
        <f>IF(OR(B269="",M269=""),"",IF(N269&lt;&gt;"",IF(Q269&gt;0,"Liberado con atraso","Liberado a tiempo"),IF($B$3&gt;M269,"Vencido sin liberar",IF(M269-$B$3&lt;=14,"Próximo a liberar","En plazo"))))</f>
        <v/>
      </c>
      <c r="S269" s="27" t="n"/>
    </row>
    <row r="270">
      <c r="A270" s="24" t="n"/>
      <c r="B270" s="25" t="n"/>
      <c r="C270" s="25" t="n"/>
      <c r="D270" s="26">
        <f>IF(B270="","","CWP"&amp;MID(B270,4,12))</f>
        <v/>
      </c>
      <c r="E270" s="27" t="n"/>
      <c r="F270" s="25" t="n"/>
      <c r="G270" s="28" t="n"/>
      <c r="H270" s="29" t="n"/>
      <c r="I270" s="30">
        <f>IF(OR(B270="",H270="",C270=""),"",H270-7*VLOOKUP(C270,Plazos!$A$6:$F$8,2,FALSE))</f>
        <v/>
      </c>
      <c r="J270" s="30">
        <f>IF(OR(B270="",H270="",C270=""),"",H270-7*VLOOKUP(C270,Plazos!$A$6:$F$8,3,FALSE))</f>
        <v/>
      </c>
      <c r="K270" s="30">
        <f>IF(OR(B270="",H270="",C270=""),"",H270-7*VLOOKUP(C270,Plazos!$A$6:$F$8,4,FALSE))</f>
        <v/>
      </c>
      <c r="L270" s="30">
        <f>IF(OR(B270="",H270="",C270=""),"",H270-7*VLOOKUP(C270,Plazos!$A$6:$F$8,5,FALSE))</f>
        <v/>
      </c>
      <c r="M270" s="30">
        <f>IF(OR(B270="",H270="",C270=""),"",H270-7*VLOOKUP(C270,Plazos!$A$6:$F$8,6,FALSE))</f>
        <v/>
      </c>
      <c r="N270" s="29" t="n"/>
      <c r="O270" s="28" t="n"/>
      <c r="P270" s="25" t="n"/>
      <c r="Q270" s="31">
        <f>IF(OR(B270="",M270=""),"",IF(N270&lt;&gt;"",MAX(0,N270-M270),MAX(0,$B$3-M270)))</f>
        <v/>
      </c>
      <c r="R270" s="26">
        <f>IF(OR(B270="",M270=""),"",IF(N270&lt;&gt;"",IF(Q270&gt;0,"Liberado con atraso","Liberado a tiempo"),IF($B$3&gt;M270,"Vencido sin liberar",IF(M270-$B$3&lt;=14,"Próximo a liberar","En plazo"))))</f>
        <v/>
      </c>
      <c r="S270" s="27" t="n"/>
    </row>
    <row r="271">
      <c r="A271" s="24" t="n"/>
      <c r="B271" s="25" t="n"/>
      <c r="C271" s="25" t="n"/>
      <c r="D271" s="26">
        <f>IF(B271="","","CWP"&amp;MID(B271,4,12))</f>
        <v/>
      </c>
      <c r="E271" s="27" t="n"/>
      <c r="F271" s="25" t="n"/>
      <c r="G271" s="28" t="n"/>
      <c r="H271" s="29" t="n"/>
      <c r="I271" s="30">
        <f>IF(OR(B271="",H271="",C271=""),"",H271-7*VLOOKUP(C271,Plazos!$A$6:$F$8,2,FALSE))</f>
        <v/>
      </c>
      <c r="J271" s="30">
        <f>IF(OR(B271="",H271="",C271=""),"",H271-7*VLOOKUP(C271,Plazos!$A$6:$F$8,3,FALSE))</f>
        <v/>
      </c>
      <c r="K271" s="30">
        <f>IF(OR(B271="",H271="",C271=""),"",H271-7*VLOOKUP(C271,Plazos!$A$6:$F$8,4,FALSE))</f>
        <v/>
      </c>
      <c r="L271" s="30">
        <f>IF(OR(B271="",H271="",C271=""),"",H271-7*VLOOKUP(C271,Plazos!$A$6:$F$8,5,FALSE))</f>
        <v/>
      </c>
      <c r="M271" s="30">
        <f>IF(OR(B271="",H271="",C271=""),"",H271-7*VLOOKUP(C271,Plazos!$A$6:$F$8,6,FALSE))</f>
        <v/>
      </c>
      <c r="N271" s="29" t="n"/>
      <c r="O271" s="28" t="n"/>
      <c r="P271" s="25" t="n"/>
      <c r="Q271" s="31">
        <f>IF(OR(B271="",M271=""),"",IF(N271&lt;&gt;"",MAX(0,N271-M271),MAX(0,$B$3-M271)))</f>
        <v/>
      </c>
      <c r="R271" s="26">
        <f>IF(OR(B271="",M271=""),"",IF(N271&lt;&gt;"",IF(Q271&gt;0,"Liberado con atraso","Liberado a tiempo"),IF($B$3&gt;M271,"Vencido sin liberar",IF(M271-$B$3&lt;=14,"Próximo a liberar","En plazo"))))</f>
        <v/>
      </c>
      <c r="S271" s="27" t="n"/>
    </row>
    <row r="272">
      <c r="A272" s="24" t="n"/>
      <c r="B272" s="25" t="n"/>
      <c r="C272" s="25" t="n"/>
      <c r="D272" s="26">
        <f>IF(B272="","","CWP"&amp;MID(B272,4,12))</f>
        <v/>
      </c>
      <c r="E272" s="27" t="n"/>
      <c r="F272" s="25" t="n"/>
      <c r="G272" s="28" t="n"/>
      <c r="H272" s="29" t="n"/>
      <c r="I272" s="30">
        <f>IF(OR(B272="",H272="",C272=""),"",H272-7*VLOOKUP(C272,Plazos!$A$6:$F$8,2,FALSE))</f>
        <v/>
      </c>
      <c r="J272" s="30">
        <f>IF(OR(B272="",H272="",C272=""),"",H272-7*VLOOKUP(C272,Plazos!$A$6:$F$8,3,FALSE))</f>
        <v/>
      </c>
      <c r="K272" s="30">
        <f>IF(OR(B272="",H272="",C272=""),"",H272-7*VLOOKUP(C272,Plazos!$A$6:$F$8,4,FALSE))</f>
        <v/>
      </c>
      <c r="L272" s="30">
        <f>IF(OR(B272="",H272="",C272=""),"",H272-7*VLOOKUP(C272,Plazos!$A$6:$F$8,5,FALSE))</f>
        <v/>
      </c>
      <c r="M272" s="30">
        <f>IF(OR(B272="",H272="",C272=""),"",H272-7*VLOOKUP(C272,Plazos!$A$6:$F$8,6,FALSE))</f>
        <v/>
      </c>
      <c r="N272" s="29" t="n"/>
      <c r="O272" s="28" t="n"/>
      <c r="P272" s="25" t="n"/>
      <c r="Q272" s="31">
        <f>IF(OR(B272="",M272=""),"",IF(N272&lt;&gt;"",MAX(0,N272-M272),MAX(0,$B$3-M272)))</f>
        <v/>
      </c>
      <c r="R272" s="26">
        <f>IF(OR(B272="",M272=""),"",IF(N272&lt;&gt;"",IF(Q272&gt;0,"Liberado con atraso","Liberado a tiempo"),IF($B$3&gt;M272,"Vencido sin liberar",IF(M272-$B$3&lt;=14,"Próximo a liberar","En plazo"))))</f>
        <v/>
      </c>
      <c r="S272" s="27" t="n"/>
    </row>
    <row r="273">
      <c r="A273" s="24" t="n"/>
      <c r="B273" s="25" t="n"/>
      <c r="C273" s="25" t="n"/>
      <c r="D273" s="26">
        <f>IF(B273="","","CWP"&amp;MID(B273,4,12))</f>
        <v/>
      </c>
      <c r="E273" s="27" t="n"/>
      <c r="F273" s="25" t="n"/>
      <c r="G273" s="28" t="n"/>
      <c r="H273" s="29" t="n"/>
      <c r="I273" s="30">
        <f>IF(OR(B273="",H273="",C273=""),"",H273-7*VLOOKUP(C273,Plazos!$A$6:$F$8,2,FALSE))</f>
        <v/>
      </c>
      <c r="J273" s="30">
        <f>IF(OR(B273="",H273="",C273=""),"",H273-7*VLOOKUP(C273,Plazos!$A$6:$F$8,3,FALSE))</f>
        <v/>
      </c>
      <c r="K273" s="30">
        <f>IF(OR(B273="",H273="",C273=""),"",H273-7*VLOOKUP(C273,Plazos!$A$6:$F$8,4,FALSE))</f>
        <v/>
      </c>
      <c r="L273" s="30">
        <f>IF(OR(B273="",H273="",C273=""),"",H273-7*VLOOKUP(C273,Plazos!$A$6:$F$8,5,FALSE))</f>
        <v/>
      </c>
      <c r="M273" s="30">
        <f>IF(OR(B273="",H273="",C273=""),"",H273-7*VLOOKUP(C273,Plazos!$A$6:$F$8,6,FALSE))</f>
        <v/>
      </c>
      <c r="N273" s="29" t="n"/>
      <c r="O273" s="28" t="n"/>
      <c r="P273" s="25" t="n"/>
      <c r="Q273" s="31">
        <f>IF(OR(B273="",M273=""),"",IF(N273&lt;&gt;"",MAX(0,N273-M273),MAX(0,$B$3-M273)))</f>
        <v/>
      </c>
      <c r="R273" s="26">
        <f>IF(OR(B273="",M273=""),"",IF(N273&lt;&gt;"",IF(Q273&gt;0,"Liberado con atraso","Liberado a tiempo"),IF($B$3&gt;M273,"Vencido sin liberar",IF(M273-$B$3&lt;=14,"Próximo a liberar","En plazo"))))</f>
        <v/>
      </c>
      <c r="S273" s="27" t="n"/>
    </row>
    <row r="274">
      <c r="A274" s="24" t="n"/>
      <c r="B274" s="25" t="n"/>
      <c r="C274" s="25" t="n"/>
      <c r="D274" s="26">
        <f>IF(B274="","","CWP"&amp;MID(B274,4,12))</f>
        <v/>
      </c>
      <c r="E274" s="27" t="n"/>
      <c r="F274" s="25" t="n"/>
      <c r="G274" s="28" t="n"/>
      <c r="H274" s="29" t="n"/>
      <c r="I274" s="30">
        <f>IF(OR(B274="",H274="",C274=""),"",H274-7*VLOOKUP(C274,Plazos!$A$6:$F$8,2,FALSE))</f>
        <v/>
      </c>
      <c r="J274" s="30">
        <f>IF(OR(B274="",H274="",C274=""),"",H274-7*VLOOKUP(C274,Plazos!$A$6:$F$8,3,FALSE))</f>
        <v/>
      </c>
      <c r="K274" s="30">
        <f>IF(OR(B274="",H274="",C274=""),"",H274-7*VLOOKUP(C274,Plazos!$A$6:$F$8,4,FALSE))</f>
        <v/>
      </c>
      <c r="L274" s="30">
        <f>IF(OR(B274="",H274="",C274=""),"",H274-7*VLOOKUP(C274,Plazos!$A$6:$F$8,5,FALSE))</f>
        <v/>
      </c>
      <c r="M274" s="30">
        <f>IF(OR(B274="",H274="",C274=""),"",H274-7*VLOOKUP(C274,Plazos!$A$6:$F$8,6,FALSE))</f>
        <v/>
      </c>
      <c r="N274" s="29" t="n"/>
      <c r="O274" s="28" t="n"/>
      <c r="P274" s="25" t="n"/>
      <c r="Q274" s="31">
        <f>IF(OR(B274="",M274=""),"",IF(N274&lt;&gt;"",MAX(0,N274-M274),MAX(0,$B$3-M274)))</f>
        <v/>
      </c>
      <c r="R274" s="26">
        <f>IF(OR(B274="",M274=""),"",IF(N274&lt;&gt;"",IF(Q274&gt;0,"Liberado con atraso","Liberado a tiempo"),IF($B$3&gt;M274,"Vencido sin liberar",IF(M274-$B$3&lt;=14,"Próximo a liberar","En plazo"))))</f>
        <v/>
      </c>
      <c r="S274" s="27" t="n"/>
    </row>
    <row r="275">
      <c r="A275" s="24" t="n"/>
      <c r="B275" s="25" t="n"/>
      <c r="C275" s="25" t="n"/>
      <c r="D275" s="26">
        <f>IF(B275="","","CWP"&amp;MID(B275,4,12))</f>
        <v/>
      </c>
      <c r="E275" s="27" t="n"/>
      <c r="F275" s="25" t="n"/>
      <c r="G275" s="28" t="n"/>
      <c r="H275" s="29" t="n"/>
      <c r="I275" s="30">
        <f>IF(OR(B275="",H275="",C275=""),"",H275-7*VLOOKUP(C275,Plazos!$A$6:$F$8,2,FALSE))</f>
        <v/>
      </c>
      <c r="J275" s="30">
        <f>IF(OR(B275="",H275="",C275=""),"",H275-7*VLOOKUP(C275,Plazos!$A$6:$F$8,3,FALSE))</f>
        <v/>
      </c>
      <c r="K275" s="30">
        <f>IF(OR(B275="",H275="",C275=""),"",H275-7*VLOOKUP(C275,Plazos!$A$6:$F$8,4,FALSE))</f>
        <v/>
      </c>
      <c r="L275" s="30">
        <f>IF(OR(B275="",H275="",C275=""),"",H275-7*VLOOKUP(C275,Plazos!$A$6:$F$8,5,FALSE))</f>
        <v/>
      </c>
      <c r="M275" s="30">
        <f>IF(OR(B275="",H275="",C275=""),"",H275-7*VLOOKUP(C275,Plazos!$A$6:$F$8,6,FALSE))</f>
        <v/>
      </c>
      <c r="N275" s="29" t="n"/>
      <c r="O275" s="28" t="n"/>
      <c r="P275" s="25" t="n"/>
      <c r="Q275" s="31">
        <f>IF(OR(B275="",M275=""),"",IF(N275&lt;&gt;"",MAX(0,N275-M275),MAX(0,$B$3-M275)))</f>
        <v/>
      </c>
      <c r="R275" s="26">
        <f>IF(OR(B275="",M275=""),"",IF(N275&lt;&gt;"",IF(Q275&gt;0,"Liberado con atraso","Liberado a tiempo"),IF($B$3&gt;M275,"Vencido sin liberar",IF(M275-$B$3&lt;=14,"Próximo a liberar","En plazo"))))</f>
        <v/>
      </c>
      <c r="S275" s="27" t="n"/>
    </row>
    <row r="276">
      <c r="A276" s="24" t="n"/>
      <c r="B276" s="25" t="n"/>
      <c r="C276" s="25" t="n"/>
      <c r="D276" s="26">
        <f>IF(B276="","","CWP"&amp;MID(B276,4,12))</f>
        <v/>
      </c>
      <c r="E276" s="27" t="n"/>
      <c r="F276" s="25" t="n"/>
      <c r="G276" s="28" t="n"/>
      <c r="H276" s="29" t="n"/>
      <c r="I276" s="30">
        <f>IF(OR(B276="",H276="",C276=""),"",H276-7*VLOOKUP(C276,Plazos!$A$6:$F$8,2,FALSE))</f>
        <v/>
      </c>
      <c r="J276" s="30">
        <f>IF(OR(B276="",H276="",C276=""),"",H276-7*VLOOKUP(C276,Plazos!$A$6:$F$8,3,FALSE))</f>
        <v/>
      </c>
      <c r="K276" s="30">
        <f>IF(OR(B276="",H276="",C276=""),"",H276-7*VLOOKUP(C276,Plazos!$A$6:$F$8,4,FALSE))</f>
        <v/>
      </c>
      <c r="L276" s="30">
        <f>IF(OR(B276="",H276="",C276=""),"",H276-7*VLOOKUP(C276,Plazos!$A$6:$F$8,5,FALSE))</f>
        <v/>
      </c>
      <c r="M276" s="30">
        <f>IF(OR(B276="",H276="",C276=""),"",H276-7*VLOOKUP(C276,Plazos!$A$6:$F$8,6,FALSE))</f>
        <v/>
      </c>
      <c r="N276" s="29" t="n"/>
      <c r="O276" s="28" t="n"/>
      <c r="P276" s="25" t="n"/>
      <c r="Q276" s="31">
        <f>IF(OR(B276="",M276=""),"",IF(N276&lt;&gt;"",MAX(0,N276-M276),MAX(0,$B$3-M276)))</f>
        <v/>
      </c>
      <c r="R276" s="26">
        <f>IF(OR(B276="",M276=""),"",IF(N276&lt;&gt;"",IF(Q276&gt;0,"Liberado con atraso","Liberado a tiempo"),IF($B$3&gt;M276,"Vencido sin liberar",IF(M276-$B$3&lt;=14,"Próximo a liberar","En plazo"))))</f>
        <v/>
      </c>
      <c r="S276" s="27" t="n"/>
    </row>
    <row r="277">
      <c r="A277" s="24" t="n"/>
      <c r="B277" s="25" t="n"/>
      <c r="C277" s="25" t="n"/>
      <c r="D277" s="26">
        <f>IF(B277="","","CWP"&amp;MID(B277,4,12))</f>
        <v/>
      </c>
      <c r="E277" s="27" t="n"/>
      <c r="F277" s="25" t="n"/>
      <c r="G277" s="28" t="n"/>
      <c r="H277" s="29" t="n"/>
      <c r="I277" s="30">
        <f>IF(OR(B277="",H277="",C277=""),"",H277-7*VLOOKUP(C277,Plazos!$A$6:$F$8,2,FALSE))</f>
        <v/>
      </c>
      <c r="J277" s="30">
        <f>IF(OR(B277="",H277="",C277=""),"",H277-7*VLOOKUP(C277,Plazos!$A$6:$F$8,3,FALSE))</f>
        <v/>
      </c>
      <c r="K277" s="30">
        <f>IF(OR(B277="",H277="",C277=""),"",H277-7*VLOOKUP(C277,Plazos!$A$6:$F$8,4,FALSE))</f>
        <v/>
      </c>
      <c r="L277" s="30">
        <f>IF(OR(B277="",H277="",C277=""),"",H277-7*VLOOKUP(C277,Plazos!$A$6:$F$8,5,FALSE))</f>
        <v/>
      </c>
      <c r="M277" s="30">
        <f>IF(OR(B277="",H277="",C277=""),"",H277-7*VLOOKUP(C277,Plazos!$A$6:$F$8,6,FALSE))</f>
        <v/>
      </c>
      <c r="N277" s="29" t="n"/>
      <c r="O277" s="28" t="n"/>
      <c r="P277" s="25" t="n"/>
      <c r="Q277" s="31">
        <f>IF(OR(B277="",M277=""),"",IF(N277&lt;&gt;"",MAX(0,N277-M277),MAX(0,$B$3-M277)))</f>
        <v/>
      </c>
      <c r="R277" s="26">
        <f>IF(OR(B277="",M277=""),"",IF(N277&lt;&gt;"",IF(Q277&gt;0,"Liberado con atraso","Liberado a tiempo"),IF($B$3&gt;M277,"Vencido sin liberar",IF(M277-$B$3&lt;=14,"Próximo a liberar","En plazo"))))</f>
        <v/>
      </c>
      <c r="S277" s="27" t="n"/>
    </row>
    <row r="278">
      <c r="A278" s="24" t="n"/>
      <c r="B278" s="25" t="n"/>
      <c r="C278" s="25" t="n"/>
      <c r="D278" s="26">
        <f>IF(B278="","","CWP"&amp;MID(B278,4,12))</f>
        <v/>
      </c>
      <c r="E278" s="27" t="n"/>
      <c r="F278" s="25" t="n"/>
      <c r="G278" s="28" t="n"/>
      <c r="H278" s="29" t="n"/>
      <c r="I278" s="30">
        <f>IF(OR(B278="",H278="",C278=""),"",H278-7*VLOOKUP(C278,Plazos!$A$6:$F$8,2,FALSE))</f>
        <v/>
      </c>
      <c r="J278" s="30">
        <f>IF(OR(B278="",H278="",C278=""),"",H278-7*VLOOKUP(C278,Plazos!$A$6:$F$8,3,FALSE))</f>
        <v/>
      </c>
      <c r="K278" s="30">
        <f>IF(OR(B278="",H278="",C278=""),"",H278-7*VLOOKUP(C278,Plazos!$A$6:$F$8,4,FALSE))</f>
        <v/>
      </c>
      <c r="L278" s="30">
        <f>IF(OR(B278="",H278="",C278=""),"",H278-7*VLOOKUP(C278,Plazos!$A$6:$F$8,5,FALSE))</f>
        <v/>
      </c>
      <c r="M278" s="30">
        <f>IF(OR(B278="",H278="",C278=""),"",H278-7*VLOOKUP(C278,Plazos!$A$6:$F$8,6,FALSE))</f>
        <v/>
      </c>
      <c r="N278" s="29" t="n"/>
      <c r="O278" s="28" t="n"/>
      <c r="P278" s="25" t="n"/>
      <c r="Q278" s="31">
        <f>IF(OR(B278="",M278=""),"",IF(N278&lt;&gt;"",MAX(0,N278-M278),MAX(0,$B$3-M278)))</f>
        <v/>
      </c>
      <c r="R278" s="26">
        <f>IF(OR(B278="",M278=""),"",IF(N278&lt;&gt;"",IF(Q278&gt;0,"Liberado con atraso","Liberado a tiempo"),IF($B$3&gt;M278,"Vencido sin liberar",IF(M278-$B$3&lt;=14,"Próximo a liberar","En plazo"))))</f>
        <v/>
      </c>
      <c r="S278" s="27" t="n"/>
    </row>
    <row r="279">
      <c r="A279" s="24" t="n"/>
      <c r="B279" s="25" t="n"/>
      <c r="C279" s="25" t="n"/>
      <c r="D279" s="26">
        <f>IF(B279="","","CWP"&amp;MID(B279,4,12))</f>
        <v/>
      </c>
      <c r="E279" s="27" t="n"/>
      <c r="F279" s="25" t="n"/>
      <c r="G279" s="28" t="n"/>
      <c r="H279" s="29" t="n"/>
      <c r="I279" s="30">
        <f>IF(OR(B279="",H279="",C279=""),"",H279-7*VLOOKUP(C279,Plazos!$A$6:$F$8,2,FALSE))</f>
        <v/>
      </c>
      <c r="J279" s="30">
        <f>IF(OR(B279="",H279="",C279=""),"",H279-7*VLOOKUP(C279,Plazos!$A$6:$F$8,3,FALSE))</f>
        <v/>
      </c>
      <c r="K279" s="30">
        <f>IF(OR(B279="",H279="",C279=""),"",H279-7*VLOOKUP(C279,Plazos!$A$6:$F$8,4,FALSE))</f>
        <v/>
      </c>
      <c r="L279" s="30">
        <f>IF(OR(B279="",H279="",C279=""),"",H279-7*VLOOKUP(C279,Plazos!$A$6:$F$8,5,FALSE))</f>
        <v/>
      </c>
      <c r="M279" s="30">
        <f>IF(OR(B279="",H279="",C279=""),"",H279-7*VLOOKUP(C279,Plazos!$A$6:$F$8,6,FALSE))</f>
        <v/>
      </c>
      <c r="N279" s="29" t="n"/>
      <c r="O279" s="28" t="n"/>
      <c r="P279" s="25" t="n"/>
      <c r="Q279" s="31">
        <f>IF(OR(B279="",M279=""),"",IF(N279&lt;&gt;"",MAX(0,N279-M279),MAX(0,$B$3-M279)))</f>
        <v/>
      </c>
      <c r="R279" s="26">
        <f>IF(OR(B279="",M279=""),"",IF(N279&lt;&gt;"",IF(Q279&gt;0,"Liberado con atraso","Liberado a tiempo"),IF($B$3&gt;M279,"Vencido sin liberar",IF(M279-$B$3&lt;=14,"Próximo a liberar","En plazo"))))</f>
        <v/>
      </c>
      <c r="S279" s="27" t="n"/>
    </row>
    <row r="280">
      <c r="A280" s="24" t="n"/>
      <c r="B280" s="25" t="n"/>
      <c r="C280" s="25" t="n"/>
      <c r="D280" s="26">
        <f>IF(B280="","","CWP"&amp;MID(B280,4,12))</f>
        <v/>
      </c>
      <c r="E280" s="27" t="n"/>
      <c r="F280" s="25" t="n"/>
      <c r="G280" s="28" t="n"/>
      <c r="H280" s="29" t="n"/>
      <c r="I280" s="30">
        <f>IF(OR(B280="",H280="",C280=""),"",H280-7*VLOOKUP(C280,Plazos!$A$6:$F$8,2,FALSE))</f>
        <v/>
      </c>
      <c r="J280" s="30">
        <f>IF(OR(B280="",H280="",C280=""),"",H280-7*VLOOKUP(C280,Plazos!$A$6:$F$8,3,FALSE))</f>
        <v/>
      </c>
      <c r="K280" s="30">
        <f>IF(OR(B280="",H280="",C280=""),"",H280-7*VLOOKUP(C280,Plazos!$A$6:$F$8,4,FALSE))</f>
        <v/>
      </c>
      <c r="L280" s="30">
        <f>IF(OR(B280="",H280="",C280=""),"",H280-7*VLOOKUP(C280,Plazos!$A$6:$F$8,5,FALSE))</f>
        <v/>
      </c>
      <c r="M280" s="30">
        <f>IF(OR(B280="",H280="",C280=""),"",H280-7*VLOOKUP(C280,Plazos!$A$6:$F$8,6,FALSE))</f>
        <v/>
      </c>
      <c r="N280" s="29" t="n"/>
      <c r="O280" s="28" t="n"/>
      <c r="P280" s="25" t="n"/>
      <c r="Q280" s="31">
        <f>IF(OR(B280="",M280=""),"",IF(N280&lt;&gt;"",MAX(0,N280-M280),MAX(0,$B$3-M280)))</f>
        <v/>
      </c>
      <c r="R280" s="26">
        <f>IF(OR(B280="",M280=""),"",IF(N280&lt;&gt;"",IF(Q280&gt;0,"Liberado con atraso","Liberado a tiempo"),IF($B$3&gt;M280,"Vencido sin liberar",IF(M280-$B$3&lt;=14,"Próximo a liberar","En plazo"))))</f>
        <v/>
      </c>
      <c r="S280" s="27" t="n"/>
    </row>
    <row r="281">
      <c r="A281" s="24" t="n"/>
      <c r="B281" s="25" t="n"/>
      <c r="C281" s="25" t="n"/>
      <c r="D281" s="26">
        <f>IF(B281="","","CWP"&amp;MID(B281,4,12))</f>
        <v/>
      </c>
      <c r="E281" s="27" t="n"/>
      <c r="F281" s="25" t="n"/>
      <c r="G281" s="28" t="n"/>
      <c r="H281" s="29" t="n"/>
      <c r="I281" s="30">
        <f>IF(OR(B281="",H281="",C281=""),"",H281-7*VLOOKUP(C281,Plazos!$A$6:$F$8,2,FALSE))</f>
        <v/>
      </c>
      <c r="J281" s="30">
        <f>IF(OR(B281="",H281="",C281=""),"",H281-7*VLOOKUP(C281,Plazos!$A$6:$F$8,3,FALSE))</f>
        <v/>
      </c>
      <c r="K281" s="30">
        <f>IF(OR(B281="",H281="",C281=""),"",H281-7*VLOOKUP(C281,Plazos!$A$6:$F$8,4,FALSE))</f>
        <v/>
      </c>
      <c r="L281" s="30">
        <f>IF(OR(B281="",H281="",C281=""),"",H281-7*VLOOKUP(C281,Plazos!$A$6:$F$8,5,FALSE))</f>
        <v/>
      </c>
      <c r="M281" s="30">
        <f>IF(OR(B281="",H281="",C281=""),"",H281-7*VLOOKUP(C281,Plazos!$A$6:$F$8,6,FALSE))</f>
        <v/>
      </c>
      <c r="N281" s="29" t="n"/>
      <c r="O281" s="28" t="n"/>
      <c r="P281" s="25" t="n"/>
      <c r="Q281" s="31">
        <f>IF(OR(B281="",M281=""),"",IF(N281&lt;&gt;"",MAX(0,N281-M281),MAX(0,$B$3-M281)))</f>
        <v/>
      </c>
      <c r="R281" s="26">
        <f>IF(OR(B281="",M281=""),"",IF(N281&lt;&gt;"",IF(Q281&gt;0,"Liberado con atraso","Liberado a tiempo"),IF($B$3&gt;M281,"Vencido sin liberar",IF(M281-$B$3&lt;=14,"Próximo a liberar","En plazo"))))</f>
        <v/>
      </c>
      <c r="S281" s="27" t="n"/>
    </row>
    <row r="282">
      <c r="A282" s="24" t="n"/>
      <c r="B282" s="25" t="n"/>
      <c r="C282" s="25" t="n"/>
      <c r="D282" s="26">
        <f>IF(B282="","","CWP"&amp;MID(B282,4,12))</f>
        <v/>
      </c>
      <c r="E282" s="27" t="n"/>
      <c r="F282" s="25" t="n"/>
      <c r="G282" s="28" t="n"/>
      <c r="H282" s="29" t="n"/>
      <c r="I282" s="30">
        <f>IF(OR(B282="",H282="",C282=""),"",H282-7*VLOOKUP(C282,Plazos!$A$6:$F$8,2,FALSE))</f>
        <v/>
      </c>
      <c r="J282" s="30">
        <f>IF(OR(B282="",H282="",C282=""),"",H282-7*VLOOKUP(C282,Plazos!$A$6:$F$8,3,FALSE))</f>
        <v/>
      </c>
      <c r="K282" s="30">
        <f>IF(OR(B282="",H282="",C282=""),"",H282-7*VLOOKUP(C282,Plazos!$A$6:$F$8,4,FALSE))</f>
        <v/>
      </c>
      <c r="L282" s="30">
        <f>IF(OR(B282="",H282="",C282=""),"",H282-7*VLOOKUP(C282,Plazos!$A$6:$F$8,5,FALSE))</f>
        <v/>
      </c>
      <c r="M282" s="30">
        <f>IF(OR(B282="",H282="",C282=""),"",H282-7*VLOOKUP(C282,Plazos!$A$6:$F$8,6,FALSE))</f>
        <v/>
      </c>
      <c r="N282" s="29" t="n"/>
      <c r="O282" s="28" t="n"/>
      <c r="P282" s="25" t="n"/>
      <c r="Q282" s="31">
        <f>IF(OR(B282="",M282=""),"",IF(N282&lt;&gt;"",MAX(0,N282-M282),MAX(0,$B$3-M282)))</f>
        <v/>
      </c>
      <c r="R282" s="26">
        <f>IF(OR(B282="",M282=""),"",IF(N282&lt;&gt;"",IF(Q282&gt;0,"Liberado con atraso","Liberado a tiempo"),IF($B$3&gt;M282,"Vencido sin liberar",IF(M282-$B$3&lt;=14,"Próximo a liberar","En plazo"))))</f>
        <v/>
      </c>
      <c r="S282" s="27" t="n"/>
    </row>
    <row r="283">
      <c r="A283" s="24" t="n"/>
      <c r="B283" s="25" t="n"/>
      <c r="C283" s="25" t="n"/>
      <c r="D283" s="26">
        <f>IF(B283="","","CWP"&amp;MID(B283,4,12))</f>
        <v/>
      </c>
      <c r="E283" s="27" t="n"/>
      <c r="F283" s="25" t="n"/>
      <c r="G283" s="28" t="n"/>
      <c r="H283" s="29" t="n"/>
      <c r="I283" s="30">
        <f>IF(OR(B283="",H283="",C283=""),"",H283-7*VLOOKUP(C283,Plazos!$A$6:$F$8,2,FALSE))</f>
        <v/>
      </c>
      <c r="J283" s="30">
        <f>IF(OR(B283="",H283="",C283=""),"",H283-7*VLOOKUP(C283,Plazos!$A$6:$F$8,3,FALSE))</f>
        <v/>
      </c>
      <c r="K283" s="30">
        <f>IF(OR(B283="",H283="",C283=""),"",H283-7*VLOOKUP(C283,Plazos!$A$6:$F$8,4,FALSE))</f>
        <v/>
      </c>
      <c r="L283" s="30">
        <f>IF(OR(B283="",H283="",C283=""),"",H283-7*VLOOKUP(C283,Plazos!$A$6:$F$8,5,FALSE))</f>
        <v/>
      </c>
      <c r="M283" s="30">
        <f>IF(OR(B283="",H283="",C283=""),"",H283-7*VLOOKUP(C283,Plazos!$A$6:$F$8,6,FALSE))</f>
        <v/>
      </c>
      <c r="N283" s="29" t="n"/>
      <c r="O283" s="28" t="n"/>
      <c r="P283" s="25" t="n"/>
      <c r="Q283" s="31">
        <f>IF(OR(B283="",M283=""),"",IF(N283&lt;&gt;"",MAX(0,N283-M283),MAX(0,$B$3-M283)))</f>
        <v/>
      </c>
      <c r="R283" s="26">
        <f>IF(OR(B283="",M283=""),"",IF(N283&lt;&gt;"",IF(Q283&gt;0,"Liberado con atraso","Liberado a tiempo"),IF($B$3&gt;M283,"Vencido sin liberar",IF(M283-$B$3&lt;=14,"Próximo a liberar","En plazo"))))</f>
        <v/>
      </c>
      <c r="S283" s="27" t="n"/>
    </row>
    <row r="284">
      <c r="A284" s="24" t="n"/>
      <c r="B284" s="25" t="n"/>
      <c r="C284" s="25" t="n"/>
      <c r="D284" s="26">
        <f>IF(B284="","","CWP"&amp;MID(B284,4,12))</f>
        <v/>
      </c>
      <c r="E284" s="27" t="n"/>
      <c r="F284" s="25" t="n"/>
      <c r="G284" s="28" t="n"/>
      <c r="H284" s="29" t="n"/>
      <c r="I284" s="30">
        <f>IF(OR(B284="",H284="",C284=""),"",H284-7*VLOOKUP(C284,Plazos!$A$6:$F$8,2,FALSE))</f>
        <v/>
      </c>
      <c r="J284" s="30">
        <f>IF(OR(B284="",H284="",C284=""),"",H284-7*VLOOKUP(C284,Plazos!$A$6:$F$8,3,FALSE))</f>
        <v/>
      </c>
      <c r="K284" s="30">
        <f>IF(OR(B284="",H284="",C284=""),"",H284-7*VLOOKUP(C284,Plazos!$A$6:$F$8,4,FALSE))</f>
        <v/>
      </c>
      <c r="L284" s="30">
        <f>IF(OR(B284="",H284="",C284=""),"",H284-7*VLOOKUP(C284,Plazos!$A$6:$F$8,5,FALSE))</f>
        <v/>
      </c>
      <c r="M284" s="30">
        <f>IF(OR(B284="",H284="",C284=""),"",H284-7*VLOOKUP(C284,Plazos!$A$6:$F$8,6,FALSE))</f>
        <v/>
      </c>
      <c r="N284" s="29" t="n"/>
      <c r="O284" s="28" t="n"/>
      <c r="P284" s="25" t="n"/>
      <c r="Q284" s="31">
        <f>IF(OR(B284="",M284=""),"",IF(N284&lt;&gt;"",MAX(0,N284-M284),MAX(0,$B$3-M284)))</f>
        <v/>
      </c>
      <c r="R284" s="26">
        <f>IF(OR(B284="",M284=""),"",IF(N284&lt;&gt;"",IF(Q284&gt;0,"Liberado con atraso","Liberado a tiempo"),IF($B$3&gt;M284,"Vencido sin liberar",IF(M284-$B$3&lt;=14,"Próximo a liberar","En plazo"))))</f>
        <v/>
      </c>
      <c r="S284" s="27" t="n"/>
    </row>
    <row r="285">
      <c r="A285" s="24" t="n"/>
      <c r="B285" s="25" t="n"/>
      <c r="C285" s="25" t="n"/>
      <c r="D285" s="26">
        <f>IF(B285="","","CWP"&amp;MID(B285,4,12))</f>
        <v/>
      </c>
      <c r="E285" s="27" t="n"/>
      <c r="F285" s="25" t="n"/>
      <c r="G285" s="28" t="n"/>
      <c r="H285" s="29" t="n"/>
      <c r="I285" s="30">
        <f>IF(OR(B285="",H285="",C285=""),"",H285-7*VLOOKUP(C285,Plazos!$A$6:$F$8,2,FALSE))</f>
        <v/>
      </c>
      <c r="J285" s="30">
        <f>IF(OR(B285="",H285="",C285=""),"",H285-7*VLOOKUP(C285,Plazos!$A$6:$F$8,3,FALSE))</f>
        <v/>
      </c>
      <c r="K285" s="30">
        <f>IF(OR(B285="",H285="",C285=""),"",H285-7*VLOOKUP(C285,Plazos!$A$6:$F$8,4,FALSE))</f>
        <v/>
      </c>
      <c r="L285" s="30">
        <f>IF(OR(B285="",H285="",C285=""),"",H285-7*VLOOKUP(C285,Plazos!$A$6:$F$8,5,FALSE))</f>
        <v/>
      </c>
      <c r="M285" s="30">
        <f>IF(OR(B285="",H285="",C285=""),"",H285-7*VLOOKUP(C285,Plazos!$A$6:$F$8,6,FALSE))</f>
        <v/>
      </c>
      <c r="N285" s="29" t="n"/>
      <c r="O285" s="28" t="n"/>
      <c r="P285" s="25" t="n"/>
      <c r="Q285" s="31">
        <f>IF(OR(B285="",M285=""),"",IF(N285&lt;&gt;"",MAX(0,N285-M285),MAX(0,$B$3-M285)))</f>
        <v/>
      </c>
      <c r="R285" s="26">
        <f>IF(OR(B285="",M285=""),"",IF(N285&lt;&gt;"",IF(Q285&gt;0,"Liberado con atraso","Liberado a tiempo"),IF($B$3&gt;M285,"Vencido sin liberar",IF(M285-$B$3&lt;=14,"Próximo a liberar","En plazo"))))</f>
        <v/>
      </c>
      <c r="S285" s="27" t="n"/>
    </row>
    <row r="286">
      <c r="A286" s="24" t="n"/>
      <c r="B286" s="25" t="n"/>
      <c r="C286" s="25" t="n"/>
      <c r="D286" s="26">
        <f>IF(B286="","","CWP"&amp;MID(B286,4,12))</f>
        <v/>
      </c>
      <c r="E286" s="27" t="n"/>
      <c r="F286" s="25" t="n"/>
      <c r="G286" s="28" t="n"/>
      <c r="H286" s="29" t="n"/>
      <c r="I286" s="30">
        <f>IF(OR(B286="",H286="",C286=""),"",H286-7*VLOOKUP(C286,Plazos!$A$6:$F$8,2,FALSE))</f>
        <v/>
      </c>
      <c r="J286" s="30">
        <f>IF(OR(B286="",H286="",C286=""),"",H286-7*VLOOKUP(C286,Plazos!$A$6:$F$8,3,FALSE))</f>
        <v/>
      </c>
      <c r="K286" s="30">
        <f>IF(OR(B286="",H286="",C286=""),"",H286-7*VLOOKUP(C286,Plazos!$A$6:$F$8,4,FALSE))</f>
        <v/>
      </c>
      <c r="L286" s="30">
        <f>IF(OR(B286="",H286="",C286=""),"",H286-7*VLOOKUP(C286,Plazos!$A$6:$F$8,5,FALSE))</f>
        <v/>
      </c>
      <c r="M286" s="30">
        <f>IF(OR(B286="",H286="",C286=""),"",H286-7*VLOOKUP(C286,Plazos!$A$6:$F$8,6,FALSE))</f>
        <v/>
      </c>
      <c r="N286" s="29" t="n"/>
      <c r="O286" s="28" t="n"/>
      <c r="P286" s="25" t="n"/>
      <c r="Q286" s="31">
        <f>IF(OR(B286="",M286=""),"",IF(N286&lt;&gt;"",MAX(0,N286-M286),MAX(0,$B$3-M286)))</f>
        <v/>
      </c>
      <c r="R286" s="26">
        <f>IF(OR(B286="",M286=""),"",IF(N286&lt;&gt;"",IF(Q286&gt;0,"Liberado con atraso","Liberado a tiempo"),IF($B$3&gt;M286,"Vencido sin liberar",IF(M286-$B$3&lt;=14,"Próximo a liberar","En plazo"))))</f>
        <v/>
      </c>
      <c r="S286" s="27" t="n"/>
    </row>
    <row r="287">
      <c r="A287" s="24" t="n"/>
      <c r="B287" s="25" t="n"/>
      <c r="C287" s="25" t="n"/>
      <c r="D287" s="26">
        <f>IF(B287="","","CWP"&amp;MID(B287,4,12))</f>
        <v/>
      </c>
      <c r="E287" s="27" t="n"/>
      <c r="F287" s="25" t="n"/>
      <c r="G287" s="28" t="n"/>
      <c r="H287" s="29" t="n"/>
      <c r="I287" s="30">
        <f>IF(OR(B287="",H287="",C287=""),"",H287-7*VLOOKUP(C287,Plazos!$A$6:$F$8,2,FALSE))</f>
        <v/>
      </c>
      <c r="J287" s="30">
        <f>IF(OR(B287="",H287="",C287=""),"",H287-7*VLOOKUP(C287,Plazos!$A$6:$F$8,3,FALSE))</f>
        <v/>
      </c>
      <c r="K287" s="30">
        <f>IF(OR(B287="",H287="",C287=""),"",H287-7*VLOOKUP(C287,Plazos!$A$6:$F$8,4,FALSE))</f>
        <v/>
      </c>
      <c r="L287" s="30">
        <f>IF(OR(B287="",H287="",C287=""),"",H287-7*VLOOKUP(C287,Plazos!$A$6:$F$8,5,FALSE))</f>
        <v/>
      </c>
      <c r="M287" s="30">
        <f>IF(OR(B287="",H287="",C287=""),"",H287-7*VLOOKUP(C287,Plazos!$A$6:$F$8,6,FALSE))</f>
        <v/>
      </c>
      <c r="N287" s="29" t="n"/>
      <c r="O287" s="28" t="n"/>
      <c r="P287" s="25" t="n"/>
      <c r="Q287" s="31">
        <f>IF(OR(B287="",M287=""),"",IF(N287&lt;&gt;"",MAX(0,N287-M287),MAX(0,$B$3-M287)))</f>
        <v/>
      </c>
      <c r="R287" s="26">
        <f>IF(OR(B287="",M287=""),"",IF(N287&lt;&gt;"",IF(Q287&gt;0,"Liberado con atraso","Liberado a tiempo"),IF($B$3&gt;M287,"Vencido sin liberar",IF(M287-$B$3&lt;=14,"Próximo a liberar","En plazo"))))</f>
        <v/>
      </c>
      <c r="S287" s="27" t="n"/>
    </row>
    <row r="288">
      <c r="A288" s="24" t="n"/>
      <c r="B288" s="25" t="n"/>
      <c r="C288" s="25" t="n"/>
      <c r="D288" s="26">
        <f>IF(B288="","","CWP"&amp;MID(B288,4,12))</f>
        <v/>
      </c>
      <c r="E288" s="27" t="n"/>
      <c r="F288" s="25" t="n"/>
      <c r="G288" s="28" t="n"/>
      <c r="H288" s="29" t="n"/>
      <c r="I288" s="30">
        <f>IF(OR(B288="",H288="",C288=""),"",H288-7*VLOOKUP(C288,Plazos!$A$6:$F$8,2,FALSE))</f>
        <v/>
      </c>
      <c r="J288" s="30">
        <f>IF(OR(B288="",H288="",C288=""),"",H288-7*VLOOKUP(C288,Plazos!$A$6:$F$8,3,FALSE))</f>
        <v/>
      </c>
      <c r="K288" s="30">
        <f>IF(OR(B288="",H288="",C288=""),"",H288-7*VLOOKUP(C288,Plazos!$A$6:$F$8,4,FALSE))</f>
        <v/>
      </c>
      <c r="L288" s="30">
        <f>IF(OR(B288="",H288="",C288=""),"",H288-7*VLOOKUP(C288,Plazos!$A$6:$F$8,5,FALSE))</f>
        <v/>
      </c>
      <c r="M288" s="30">
        <f>IF(OR(B288="",H288="",C288=""),"",H288-7*VLOOKUP(C288,Plazos!$A$6:$F$8,6,FALSE))</f>
        <v/>
      </c>
      <c r="N288" s="29" t="n"/>
      <c r="O288" s="28" t="n"/>
      <c r="P288" s="25" t="n"/>
      <c r="Q288" s="31">
        <f>IF(OR(B288="",M288=""),"",IF(N288&lt;&gt;"",MAX(0,N288-M288),MAX(0,$B$3-M288)))</f>
        <v/>
      </c>
      <c r="R288" s="26">
        <f>IF(OR(B288="",M288=""),"",IF(N288&lt;&gt;"",IF(Q288&gt;0,"Liberado con atraso","Liberado a tiempo"),IF($B$3&gt;M288,"Vencido sin liberar",IF(M288-$B$3&lt;=14,"Próximo a liberar","En plazo"))))</f>
        <v/>
      </c>
      <c r="S288" s="27" t="n"/>
    </row>
    <row r="289">
      <c r="A289" s="24" t="n"/>
      <c r="B289" s="25" t="n"/>
      <c r="C289" s="25" t="n"/>
      <c r="D289" s="26">
        <f>IF(B289="","","CWP"&amp;MID(B289,4,12))</f>
        <v/>
      </c>
      <c r="E289" s="27" t="n"/>
      <c r="F289" s="25" t="n"/>
      <c r="G289" s="28" t="n"/>
      <c r="H289" s="29" t="n"/>
      <c r="I289" s="30">
        <f>IF(OR(B289="",H289="",C289=""),"",H289-7*VLOOKUP(C289,Plazos!$A$6:$F$8,2,FALSE))</f>
        <v/>
      </c>
      <c r="J289" s="30">
        <f>IF(OR(B289="",H289="",C289=""),"",H289-7*VLOOKUP(C289,Plazos!$A$6:$F$8,3,FALSE))</f>
        <v/>
      </c>
      <c r="K289" s="30">
        <f>IF(OR(B289="",H289="",C289=""),"",H289-7*VLOOKUP(C289,Plazos!$A$6:$F$8,4,FALSE))</f>
        <v/>
      </c>
      <c r="L289" s="30">
        <f>IF(OR(B289="",H289="",C289=""),"",H289-7*VLOOKUP(C289,Plazos!$A$6:$F$8,5,FALSE))</f>
        <v/>
      </c>
      <c r="M289" s="30">
        <f>IF(OR(B289="",H289="",C289=""),"",H289-7*VLOOKUP(C289,Plazos!$A$6:$F$8,6,FALSE))</f>
        <v/>
      </c>
      <c r="N289" s="29" t="n"/>
      <c r="O289" s="28" t="n"/>
      <c r="P289" s="25" t="n"/>
      <c r="Q289" s="31">
        <f>IF(OR(B289="",M289=""),"",IF(N289&lt;&gt;"",MAX(0,N289-M289),MAX(0,$B$3-M289)))</f>
        <v/>
      </c>
      <c r="R289" s="26">
        <f>IF(OR(B289="",M289=""),"",IF(N289&lt;&gt;"",IF(Q289&gt;0,"Liberado con atraso","Liberado a tiempo"),IF($B$3&gt;M289,"Vencido sin liberar",IF(M289-$B$3&lt;=14,"Próximo a liberar","En plazo"))))</f>
        <v/>
      </c>
      <c r="S289" s="27" t="n"/>
    </row>
    <row r="290">
      <c r="A290" s="24" t="n"/>
      <c r="B290" s="25" t="n"/>
      <c r="C290" s="25" t="n"/>
      <c r="D290" s="26">
        <f>IF(B290="","","CWP"&amp;MID(B290,4,12))</f>
        <v/>
      </c>
      <c r="E290" s="27" t="n"/>
      <c r="F290" s="25" t="n"/>
      <c r="G290" s="28" t="n"/>
      <c r="H290" s="29" t="n"/>
      <c r="I290" s="30">
        <f>IF(OR(B290="",H290="",C290=""),"",H290-7*VLOOKUP(C290,Plazos!$A$6:$F$8,2,FALSE))</f>
        <v/>
      </c>
      <c r="J290" s="30">
        <f>IF(OR(B290="",H290="",C290=""),"",H290-7*VLOOKUP(C290,Plazos!$A$6:$F$8,3,FALSE))</f>
        <v/>
      </c>
      <c r="K290" s="30">
        <f>IF(OR(B290="",H290="",C290=""),"",H290-7*VLOOKUP(C290,Plazos!$A$6:$F$8,4,FALSE))</f>
        <v/>
      </c>
      <c r="L290" s="30">
        <f>IF(OR(B290="",H290="",C290=""),"",H290-7*VLOOKUP(C290,Plazos!$A$6:$F$8,5,FALSE))</f>
        <v/>
      </c>
      <c r="M290" s="30">
        <f>IF(OR(B290="",H290="",C290=""),"",H290-7*VLOOKUP(C290,Plazos!$A$6:$F$8,6,FALSE))</f>
        <v/>
      </c>
      <c r="N290" s="29" t="n"/>
      <c r="O290" s="28" t="n"/>
      <c r="P290" s="25" t="n"/>
      <c r="Q290" s="31">
        <f>IF(OR(B290="",M290=""),"",IF(N290&lt;&gt;"",MAX(0,N290-M290),MAX(0,$B$3-M290)))</f>
        <v/>
      </c>
      <c r="R290" s="26">
        <f>IF(OR(B290="",M290=""),"",IF(N290&lt;&gt;"",IF(Q290&gt;0,"Liberado con atraso","Liberado a tiempo"),IF($B$3&gt;M290,"Vencido sin liberar",IF(M290-$B$3&lt;=14,"Próximo a liberar","En plazo"))))</f>
        <v/>
      </c>
      <c r="S290" s="27" t="n"/>
    </row>
    <row r="291">
      <c r="A291" s="24" t="n"/>
      <c r="B291" s="25" t="n"/>
      <c r="C291" s="25" t="n"/>
      <c r="D291" s="26">
        <f>IF(B291="","","CWP"&amp;MID(B291,4,12))</f>
        <v/>
      </c>
      <c r="E291" s="27" t="n"/>
      <c r="F291" s="25" t="n"/>
      <c r="G291" s="28" t="n"/>
      <c r="H291" s="29" t="n"/>
      <c r="I291" s="30">
        <f>IF(OR(B291="",H291="",C291=""),"",H291-7*VLOOKUP(C291,Plazos!$A$6:$F$8,2,FALSE))</f>
        <v/>
      </c>
      <c r="J291" s="30">
        <f>IF(OR(B291="",H291="",C291=""),"",H291-7*VLOOKUP(C291,Plazos!$A$6:$F$8,3,FALSE))</f>
        <v/>
      </c>
      <c r="K291" s="30">
        <f>IF(OR(B291="",H291="",C291=""),"",H291-7*VLOOKUP(C291,Plazos!$A$6:$F$8,4,FALSE))</f>
        <v/>
      </c>
      <c r="L291" s="30">
        <f>IF(OR(B291="",H291="",C291=""),"",H291-7*VLOOKUP(C291,Plazos!$A$6:$F$8,5,FALSE))</f>
        <v/>
      </c>
      <c r="M291" s="30">
        <f>IF(OR(B291="",H291="",C291=""),"",H291-7*VLOOKUP(C291,Plazos!$A$6:$F$8,6,FALSE))</f>
        <v/>
      </c>
      <c r="N291" s="29" t="n"/>
      <c r="O291" s="28" t="n"/>
      <c r="P291" s="25" t="n"/>
      <c r="Q291" s="31">
        <f>IF(OR(B291="",M291=""),"",IF(N291&lt;&gt;"",MAX(0,N291-M291),MAX(0,$B$3-M291)))</f>
        <v/>
      </c>
      <c r="R291" s="26">
        <f>IF(OR(B291="",M291=""),"",IF(N291&lt;&gt;"",IF(Q291&gt;0,"Liberado con atraso","Liberado a tiempo"),IF($B$3&gt;M291,"Vencido sin liberar",IF(M291-$B$3&lt;=14,"Próximo a liberar","En plazo"))))</f>
        <v/>
      </c>
      <c r="S291" s="27" t="n"/>
    </row>
    <row r="292">
      <c r="A292" s="24" t="n"/>
      <c r="B292" s="25" t="n"/>
      <c r="C292" s="25" t="n"/>
      <c r="D292" s="26">
        <f>IF(B292="","","CWP"&amp;MID(B292,4,12))</f>
        <v/>
      </c>
      <c r="E292" s="27" t="n"/>
      <c r="F292" s="25" t="n"/>
      <c r="G292" s="28" t="n"/>
      <c r="H292" s="29" t="n"/>
      <c r="I292" s="30">
        <f>IF(OR(B292="",H292="",C292=""),"",H292-7*VLOOKUP(C292,Plazos!$A$6:$F$8,2,FALSE))</f>
        <v/>
      </c>
      <c r="J292" s="30">
        <f>IF(OR(B292="",H292="",C292=""),"",H292-7*VLOOKUP(C292,Plazos!$A$6:$F$8,3,FALSE))</f>
        <v/>
      </c>
      <c r="K292" s="30">
        <f>IF(OR(B292="",H292="",C292=""),"",H292-7*VLOOKUP(C292,Plazos!$A$6:$F$8,4,FALSE))</f>
        <v/>
      </c>
      <c r="L292" s="30">
        <f>IF(OR(B292="",H292="",C292=""),"",H292-7*VLOOKUP(C292,Plazos!$A$6:$F$8,5,FALSE))</f>
        <v/>
      </c>
      <c r="M292" s="30">
        <f>IF(OR(B292="",H292="",C292=""),"",H292-7*VLOOKUP(C292,Plazos!$A$6:$F$8,6,FALSE))</f>
        <v/>
      </c>
      <c r="N292" s="29" t="n"/>
      <c r="O292" s="28" t="n"/>
      <c r="P292" s="25" t="n"/>
      <c r="Q292" s="31">
        <f>IF(OR(B292="",M292=""),"",IF(N292&lt;&gt;"",MAX(0,N292-M292),MAX(0,$B$3-M292)))</f>
        <v/>
      </c>
      <c r="R292" s="26">
        <f>IF(OR(B292="",M292=""),"",IF(N292&lt;&gt;"",IF(Q292&gt;0,"Liberado con atraso","Liberado a tiempo"),IF($B$3&gt;M292,"Vencido sin liberar",IF(M292-$B$3&lt;=14,"Próximo a liberar","En plazo"))))</f>
        <v/>
      </c>
      <c r="S292" s="27" t="n"/>
    </row>
    <row r="293">
      <c r="A293" s="24" t="n"/>
      <c r="B293" s="25" t="n"/>
      <c r="C293" s="25" t="n"/>
      <c r="D293" s="26">
        <f>IF(B293="","","CWP"&amp;MID(B293,4,12))</f>
        <v/>
      </c>
      <c r="E293" s="27" t="n"/>
      <c r="F293" s="25" t="n"/>
      <c r="G293" s="28" t="n"/>
      <c r="H293" s="29" t="n"/>
      <c r="I293" s="30">
        <f>IF(OR(B293="",H293="",C293=""),"",H293-7*VLOOKUP(C293,Plazos!$A$6:$F$8,2,FALSE))</f>
        <v/>
      </c>
      <c r="J293" s="30">
        <f>IF(OR(B293="",H293="",C293=""),"",H293-7*VLOOKUP(C293,Plazos!$A$6:$F$8,3,FALSE))</f>
        <v/>
      </c>
      <c r="K293" s="30">
        <f>IF(OR(B293="",H293="",C293=""),"",H293-7*VLOOKUP(C293,Plazos!$A$6:$F$8,4,FALSE))</f>
        <v/>
      </c>
      <c r="L293" s="30">
        <f>IF(OR(B293="",H293="",C293=""),"",H293-7*VLOOKUP(C293,Plazos!$A$6:$F$8,5,FALSE))</f>
        <v/>
      </c>
      <c r="M293" s="30">
        <f>IF(OR(B293="",H293="",C293=""),"",H293-7*VLOOKUP(C293,Plazos!$A$6:$F$8,6,FALSE))</f>
        <v/>
      </c>
      <c r="N293" s="29" t="n"/>
      <c r="O293" s="28" t="n"/>
      <c r="P293" s="25" t="n"/>
      <c r="Q293" s="31">
        <f>IF(OR(B293="",M293=""),"",IF(N293&lt;&gt;"",MAX(0,N293-M293),MAX(0,$B$3-M293)))</f>
        <v/>
      </c>
      <c r="R293" s="26">
        <f>IF(OR(B293="",M293=""),"",IF(N293&lt;&gt;"",IF(Q293&gt;0,"Liberado con atraso","Liberado a tiempo"),IF($B$3&gt;M293,"Vencido sin liberar",IF(M293-$B$3&lt;=14,"Próximo a liberar","En plazo"))))</f>
        <v/>
      </c>
      <c r="S293" s="27" t="n"/>
    </row>
    <row r="294">
      <c r="A294" s="24" t="n"/>
      <c r="B294" s="25" t="n"/>
      <c r="C294" s="25" t="n"/>
      <c r="D294" s="26">
        <f>IF(B294="","","CWP"&amp;MID(B294,4,12))</f>
        <v/>
      </c>
      <c r="E294" s="27" t="n"/>
      <c r="F294" s="25" t="n"/>
      <c r="G294" s="28" t="n"/>
      <c r="H294" s="29" t="n"/>
      <c r="I294" s="30">
        <f>IF(OR(B294="",H294="",C294=""),"",H294-7*VLOOKUP(C294,Plazos!$A$6:$F$8,2,FALSE))</f>
        <v/>
      </c>
      <c r="J294" s="30">
        <f>IF(OR(B294="",H294="",C294=""),"",H294-7*VLOOKUP(C294,Plazos!$A$6:$F$8,3,FALSE))</f>
        <v/>
      </c>
      <c r="K294" s="30">
        <f>IF(OR(B294="",H294="",C294=""),"",H294-7*VLOOKUP(C294,Plazos!$A$6:$F$8,4,FALSE))</f>
        <v/>
      </c>
      <c r="L294" s="30">
        <f>IF(OR(B294="",H294="",C294=""),"",H294-7*VLOOKUP(C294,Plazos!$A$6:$F$8,5,FALSE))</f>
        <v/>
      </c>
      <c r="M294" s="30">
        <f>IF(OR(B294="",H294="",C294=""),"",H294-7*VLOOKUP(C294,Plazos!$A$6:$F$8,6,FALSE))</f>
        <v/>
      </c>
      <c r="N294" s="29" t="n"/>
      <c r="O294" s="28" t="n"/>
      <c r="P294" s="25" t="n"/>
      <c r="Q294" s="31">
        <f>IF(OR(B294="",M294=""),"",IF(N294&lt;&gt;"",MAX(0,N294-M294),MAX(0,$B$3-M294)))</f>
        <v/>
      </c>
      <c r="R294" s="26">
        <f>IF(OR(B294="",M294=""),"",IF(N294&lt;&gt;"",IF(Q294&gt;0,"Liberado con atraso","Liberado a tiempo"),IF($B$3&gt;M294,"Vencido sin liberar",IF(M294-$B$3&lt;=14,"Próximo a liberar","En plazo"))))</f>
        <v/>
      </c>
      <c r="S294" s="27" t="n"/>
    </row>
    <row r="295">
      <c r="A295" s="24" t="n"/>
      <c r="B295" s="25" t="n"/>
      <c r="C295" s="25" t="n"/>
      <c r="D295" s="26">
        <f>IF(B295="","","CWP"&amp;MID(B295,4,12))</f>
        <v/>
      </c>
      <c r="E295" s="27" t="n"/>
      <c r="F295" s="25" t="n"/>
      <c r="G295" s="28" t="n"/>
      <c r="H295" s="29" t="n"/>
      <c r="I295" s="30">
        <f>IF(OR(B295="",H295="",C295=""),"",H295-7*VLOOKUP(C295,Plazos!$A$6:$F$8,2,FALSE))</f>
        <v/>
      </c>
      <c r="J295" s="30">
        <f>IF(OR(B295="",H295="",C295=""),"",H295-7*VLOOKUP(C295,Plazos!$A$6:$F$8,3,FALSE))</f>
        <v/>
      </c>
      <c r="K295" s="30">
        <f>IF(OR(B295="",H295="",C295=""),"",H295-7*VLOOKUP(C295,Plazos!$A$6:$F$8,4,FALSE))</f>
        <v/>
      </c>
      <c r="L295" s="30">
        <f>IF(OR(B295="",H295="",C295=""),"",H295-7*VLOOKUP(C295,Plazos!$A$6:$F$8,5,FALSE))</f>
        <v/>
      </c>
      <c r="M295" s="30">
        <f>IF(OR(B295="",H295="",C295=""),"",H295-7*VLOOKUP(C295,Plazos!$A$6:$F$8,6,FALSE))</f>
        <v/>
      </c>
      <c r="N295" s="29" t="n"/>
      <c r="O295" s="28" t="n"/>
      <c r="P295" s="25" t="n"/>
      <c r="Q295" s="31">
        <f>IF(OR(B295="",M295=""),"",IF(N295&lt;&gt;"",MAX(0,N295-M295),MAX(0,$B$3-M295)))</f>
        <v/>
      </c>
      <c r="R295" s="26">
        <f>IF(OR(B295="",M295=""),"",IF(N295&lt;&gt;"",IF(Q295&gt;0,"Liberado con atraso","Liberado a tiempo"),IF($B$3&gt;M295,"Vencido sin liberar",IF(M295-$B$3&lt;=14,"Próximo a liberar","En plazo"))))</f>
        <v/>
      </c>
      <c r="S295" s="27" t="n"/>
    </row>
    <row r="296">
      <c r="A296" s="24" t="n"/>
      <c r="B296" s="25" t="n"/>
      <c r="C296" s="25" t="n"/>
      <c r="D296" s="26">
        <f>IF(B296="","","CWP"&amp;MID(B296,4,12))</f>
        <v/>
      </c>
      <c r="E296" s="27" t="n"/>
      <c r="F296" s="25" t="n"/>
      <c r="G296" s="28" t="n"/>
      <c r="H296" s="29" t="n"/>
      <c r="I296" s="30">
        <f>IF(OR(B296="",H296="",C296=""),"",H296-7*VLOOKUP(C296,Plazos!$A$6:$F$8,2,FALSE))</f>
        <v/>
      </c>
      <c r="J296" s="30">
        <f>IF(OR(B296="",H296="",C296=""),"",H296-7*VLOOKUP(C296,Plazos!$A$6:$F$8,3,FALSE))</f>
        <v/>
      </c>
      <c r="K296" s="30">
        <f>IF(OR(B296="",H296="",C296=""),"",H296-7*VLOOKUP(C296,Plazos!$A$6:$F$8,4,FALSE))</f>
        <v/>
      </c>
      <c r="L296" s="30">
        <f>IF(OR(B296="",H296="",C296=""),"",H296-7*VLOOKUP(C296,Plazos!$A$6:$F$8,5,FALSE))</f>
        <v/>
      </c>
      <c r="M296" s="30">
        <f>IF(OR(B296="",H296="",C296=""),"",H296-7*VLOOKUP(C296,Plazos!$A$6:$F$8,6,FALSE))</f>
        <v/>
      </c>
      <c r="N296" s="29" t="n"/>
      <c r="O296" s="28" t="n"/>
      <c r="P296" s="25" t="n"/>
      <c r="Q296" s="31">
        <f>IF(OR(B296="",M296=""),"",IF(N296&lt;&gt;"",MAX(0,N296-M296),MAX(0,$B$3-M296)))</f>
        <v/>
      </c>
      <c r="R296" s="26">
        <f>IF(OR(B296="",M296=""),"",IF(N296&lt;&gt;"",IF(Q296&gt;0,"Liberado con atraso","Liberado a tiempo"),IF($B$3&gt;M296,"Vencido sin liberar",IF(M296-$B$3&lt;=14,"Próximo a liberar","En plazo"))))</f>
        <v/>
      </c>
      <c r="S296" s="27" t="n"/>
    </row>
    <row r="297">
      <c r="A297" s="24" t="n"/>
      <c r="B297" s="25" t="n"/>
      <c r="C297" s="25" t="n"/>
      <c r="D297" s="26">
        <f>IF(B297="","","CWP"&amp;MID(B297,4,12))</f>
        <v/>
      </c>
      <c r="E297" s="27" t="n"/>
      <c r="F297" s="25" t="n"/>
      <c r="G297" s="28" t="n"/>
      <c r="H297" s="29" t="n"/>
      <c r="I297" s="30">
        <f>IF(OR(B297="",H297="",C297=""),"",H297-7*VLOOKUP(C297,Plazos!$A$6:$F$8,2,FALSE))</f>
        <v/>
      </c>
      <c r="J297" s="30">
        <f>IF(OR(B297="",H297="",C297=""),"",H297-7*VLOOKUP(C297,Plazos!$A$6:$F$8,3,FALSE))</f>
        <v/>
      </c>
      <c r="K297" s="30">
        <f>IF(OR(B297="",H297="",C297=""),"",H297-7*VLOOKUP(C297,Plazos!$A$6:$F$8,4,FALSE))</f>
        <v/>
      </c>
      <c r="L297" s="30">
        <f>IF(OR(B297="",H297="",C297=""),"",H297-7*VLOOKUP(C297,Plazos!$A$6:$F$8,5,FALSE))</f>
        <v/>
      </c>
      <c r="M297" s="30">
        <f>IF(OR(B297="",H297="",C297=""),"",H297-7*VLOOKUP(C297,Plazos!$A$6:$F$8,6,FALSE))</f>
        <v/>
      </c>
      <c r="N297" s="29" t="n"/>
      <c r="O297" s="28" t="n"/>
      <c r="P297" s="25" t="n"/>
      <c r="Q297" s="31">
        <f>IF(OR(B297="",M297=""),"",IF(N297&lt;&gt;"",MAX(0,N297-M297),MAX(0,$B$3-M297)))</f>
        <v/>
      </c>
      <c r="R297" s="26">
        <f>IF(OR(B297="",M297=""),"",IF(N297&lt;&gt;"",IF(Q297&gt;0,"Liberado con atraso","Liberado a tiempo"),IF($B$3&gt;M297,"Vencido sin liberar",IF(M297-$B$3&lt;=14,"Próximo a liberar","En plazo"))))</f>
        <v/>
      </c>
      <c r="S297" s="27" t="n"/>
    </row>
    <row r="298">
      <c r="A298" s="24" t="n"/>
      <c r="B298" s="25" t="n"/>
      <c r="C298" s="25" t="n"/>
      <c r="D298" s="26">
        <f>IF(B298="","","CWP"&amp;MID(B298,4,12))</f>
        <v/>
      </c>
      <c r="E298" s="27" t="n"/>
      <c r="F298" s="25" t="n"/>
      <c r="G298" s="28" t="n"/>
      <c r="H298" s="29" t="n"/>
      <c r="I298" s="30">
        <f>IF(OR(B298="",H298="",C298=""),"",H298-7*VLOOKUP(C298,Plazos!$A$6:$F$8,2,FALSE))</f>
        <v/>
      </c>
      <c r="J298" s="30">
        <f>IF(OR(B298="",H298="",C298=""),"",H298-7*VLOOKUP(C298,Plazos!$A$6:$F$8,3,FALSE))</f>
        <v/>
      </c>
      <c r="K298" s="30">
        <f>IF(OR(B298="",H298="",C298=""),"",H298-7*VLOOKUP(C298,Plazos!$A$6:$F$8,4,FALSE))</f>
        <v/>
      </c>
      <c r="L298" s="30">
        <f>IF(OR(B298="",H298="",C298=""),"",H298-7*VLOOKUP(C298,Plazos!$A$6:$F$8,5,FALSE))</f>
        <v/>
      </c>
      <c r="M298" s="30">
        <f>IF(OR(B298="",H298="",C298=""),"",H298-7*VLOOKUP(C298,Plazos!$A$6:$F$8,6,FALSE))</f>
        <v/>
      </c>
      <c r="N298" s="29" t="n"/>
      <c r="O298" s="28" t="n"/>
      <c r="P298" s="25" t="n"/>
      <c r="Q298" s="31">
        <f>IF(OR(B298="",M298=""),"",IF(N298&lt;&gt;"",MAX(0,N298-M298),MAX(0,$B$3-M298)))</f>
        <v/>
      </c>
      <c r="R298" s="26">
        <f>IF(OR(B298="",M298=""),"",IF(N298&lt;&gt;"",IF(Q298&gt;0,"Liberado con atraso","Liberado a tiempo"),IF($B$3&gt;M298,"Vencido sin liberar",IF(M298-$B$3&lt;=14,"Próximo a liberar","En plazo"))))</f>
        <v/>
      </c>
      <c r="S298" s="27" t="n"/>
    </row>
    <row r="299">
      <c r="A299" s="24" t="n"/>
      <c r="B299" s="25" t="n"/>
      <c r="C299" s="25" t="n"/>
      <c r="D299" s="26">
        <f>IF(B299="","","CWP"&amp;MID(B299,4,12))</f>
        <v/>
      </c>
      <c r="E299" s="27" t="n"/>
      <c r="F299" s="25" t="n"/>
      <c r="G299" s="28" t="n"/>
      <c r="H299" s="29" t="n"/>
      <c r="I299" s="30">
        <f>IF(OR(B299="",H299="",C299=""),"",H299-7*VLOOKUP(C299,Plazos!$A$6:$F$8,2,FALSE))</f>
        <v/>
      </c>
      <c r="J299" s="30">
        <f>IF(OR(B299="",H299="",C299=""),"",H299-7*VLOOKUP(C299,Plazos!$A$6:$F$8,3,FALSE))</f>
        <v/>
      </c>
      <c r="K299" s="30">
        <f>IF(OR(B299="",H299="",C299=""),"",H299-7*VLOOKUP(C299,Plazos!$A$6:$F$8,4,FALSE))</f>
        <v/>
      </c>
      <c r="L299" s="30">
        <f>IF(OR(B299="",H299="",C299=""),"",H299-7*VLOOKUP(C299,Plazos!$A$6:$F$8,5,FALSE))</f>
        <v/>
      </c>
      <c r="M299" s="30">
        <f>IF(OR(B299="",H299="",C299=""),"",H299-7*VLOOKUP(C299,Plazos!$A$6:$F$8,6,FALSE))</f>
        <v/>
      </c>
      <c r="N299" s="29" t="n"/>
      <c r="O299" s="28" t="n"/>
      <c r="P299" s="25" t="n"/>
      <c r="Q299" s="31">
        <f>IF(OR(B299="",M299=""),"",IF(N299&lt;&gt;"",MAX(0,N299-M299),MAX(0,$B$3-M299)))</f>
        <v/>
      </c>
      <c r="R299" s="26">
        <f>IF(OR(B299="",M299=""),"",IF(N299&lt;&gt;"",IF(Q299&gt;0,"Liberado con atraso","Liberado a tiempo"),IF($B$3&gt;M299,"Vencido sin liberar",IF(M299-$B$3&lt;=14,"Próximo a liberar","En plazo"))))</f>
        <v/>
      </c>
      <c r="S299" s="27" t="n"/>
    </row>
    <row r="300">
      <c r="A300" s="24" t="n"/>
      <c r="B300" s="25" t="n"/>
      <c r="C300" s="25" t="n"/>
      <c r="D300" s="26">
        <f>IF(B300="","","CWP"&amp;MID(B300,4,12))</f>
        <v/>
      </c>
      <c r="E300" s="27" t="n"/>
      <c r="F300" s="25" t="n"/>
      <c r="G300" s="28" t="n"/>
      <c r="H300" s="29" t="n"/>
      <c r="I300" s="30">
        <f>IF(OR(B300="",H300="",C300=""),"",H300-7*VLOOKUP(C300,Plazos!$A$6:$F$8,2,FALSE))</f>
        <v/>
      </c>
      <c r="J300" s="30">
        <f>IF(OR(B300="",H300="",C300=""),"",H300-7*VLOOKUP(C300,Plazos!$A$6:$F$8,3,FALSE))</f>
        <v/>
      </c>
      <c r="K300" s="30">
        <f>IF(OR(B300="",H300="",C300=""),"",H300-7*VLOOKUP(C300,Plazos!$A$6:$F$8,4,FALSE))</f>
        <v/>
      </c>
      <c r="L300" s="30">
        <f>IF(OR(B300="",H300="",C300=""),"",H300-7*VLOOKUP(C300,Plazos!$A$6:$F$8,5,FALSE))</f>
        <v/>
      </c>
      <c r="M300" s="30">
        <f>IF(OR(B300="",H300="",C300=""),"",H300-7*VLOOKUP(C300,Plazos!$A$6:$F$8,6,FALSE))</f>
        <v/>
      </c>
      <c r="N300" s="29" t="n"/>
      <c r="O300" s="28" t="n"/>
      <c r="P300" s="25" t="n"/>
      <c r="Q300" s="31">
        <f>IF(OR(B300="",M300=""),"",IF(N300&lt;&gt;"",MAX(0,N300-M300),MAX(0,$B$3-M300)))</f>
        <v/>
      </c>
      <c r="R300" s="26">
        <f>IF(OR(B300="",M300=""),"",IF(N300&lt;&gt;"",IF(Q300&gt;0,"Liberado con atraso","Liberado a tiempo"),IF($B$3&gt;M300,"Vencido sin liberar",IF(M300-$B$3&lt;=14,"Próximo a liberar","En plazo"))))</f>
        <v/>
      </c>
      <c r="S300" s="27" t="n"/>
    </row>
    <row r="301">
      <c r="A301" s="24" t="n"/>
      <c r="B301" s="25" t="n"/>
      <c r="C301" s="25" t="n"/>
      <c r="D301" s="26">
        <f>IF(B301="","","CWP"&amp;MID(B301,4,12))</f>
        <v/>
      </c>
      <c r="E301" s="27" t="n"/>
      <c r="F301" s="25" t="n"/>
      <c r="G301" s="28" t="n"/>
      <c r="H301" s="29" t="n"/>
      <c r="I301" s="30">
        <f>IF(OR(B301="",H301="",C301=""),"",H301-7*VLOOKUP(C301,Plazos!$A$6:$F$8,2,FALSE))</f>
        <v/>
      </c>
      <c r="J301" s="30">
        <f>IF(OR(B301="",H301="",C301=""),"",H301-7*VLOOKUP(C301,Plazos!$A$6:$F$8,3,FALSE))</f>
        <v/>
      </c>
      <c r="K301" s="30">
        <f>IF(OR(B301="",H301="",C301=""),"",H301-7*VLOOKUP(C301,Plazos!$A$6:$F$8,4,FALSE))</f>
        <v/>
      </c>
      <c r="L301" s="30">
        <f>IF(OR(B301="",H301="",C301=""),"",H301-7*VLOOKUP(C301,Plazos!$A$6:$F$8,5,FALSE))</f>
        <v/>
      </c>
      <c r="M301" s="30">
        <f>IF(OR(B301="",H301="",C301=""),"",H301-7*VLOOKUP(C301,Plazos!$A$6:$F$8,6,FALSE))</f>
        <v/>
      </c>
      <c r="N301" s="29" t="n"/>
      <c r="O301" s="28" t="n"/>
      <c r="P301" s="25" t="n"/>
      <c r="Q301" s="31">
        <f>IF(OR(B301="",M301=""),"",IF(N301&lt;&gt;"",MAX(0,N301-M301),MAX(0,$B$3-M301)))</f>
        <v/>
      </c>
      <c r="R301" s="26">
        <f>IF(OR(B301="",M301=""),"",IF(N301&lt;&gt;"",IF(Q301&gt;0,"Liberado con atraso","Liberado a tiempo"),IF($B$3&gt;M301,"Vencido sin liberar",IF(M301-$B$3&lt;=14,"Próximo a liberar","En plazo"))))</f>
        <v/>
      </c>
      <c r="S301" s="27" t="n"/>
    </row>
    <row r="302">
      <c r="A302" s="24" t="n"/>
      <c r="B302" s="25" t="n"/>
      <c r="C302" s="25" t="n"/>
      <c r="D302" s="26">
        <f>IF(B302="","","CWP"&amp;MID(B302,4,12))</f>
        <v/>
      </c>
      <c r="E302" s="27" t="n"/>
      <c r="F302" s="25" t="n"/>
      <c r="G302" s="28" t="n"/>
      <c r="H302" s="29" t="n"/>
      <c r="I302" s="30">
        <f>IF(OR(B302="",H302="",C302=""),"",H302-7*VLOOKUP(C302,Plazos!$A$6:$F$8,2,FALSE))</f>
        <v/>
      </c>
      <c r="J302" s="30">
        <f>IF(OR(B302="",H302="",C302=""),"",H302-7*VLOOKUP(C302,Plazos!$A$6:$F$8,3,FALSE))</f>
        <v/>
      </c>
      <c r="K302" s="30">
        <f>IF(OR(B302="",H302="",C302=""),"",H302-7*VLOOKUP(C302,Plazos!$A$6:$F$8,4,FALSE))</f>
        <v/>
      </c>
      <c r="L302" s="30">
        <f>IF(OR(B302="",H302="",C302=""),"",H302-7*VLOOKUP(C302,Plazos!$A$6:$F$8,5,FALSE))</f>
        <v/>
      </c>
      <c r="M302" s="30">
        <f>IF(OR(B302="",H302="",C302=""),"",H302-7*VLOOKUP(C302,Plazos!$A$6:$F$8,6,FALSE))</f>
        <v/>
      </c>
      <c r="N302" s="29" t="n"/>
      <c r="O302" s="28" t="n"/>
      <c r="P302" s="25" t="n"/>
      <c r="Q302" s="31">
        <f>IF(OR(B302="",M302=""),"",IF(N302&lt;&gt;"",MAX(0,N302-M302),MAX(0,$B$3-M302)))</f>
        <v/>
      </c>
      <c r="R302" s="26">
        <f>IF(OR(B302="",M302=""),"",IF(N302&lt;&gt;"",IF(Q302&gt;0,"Liberado con atraso","Liberado a tiempo"),IF($B$3&gt;M302,"Vencido sin liberar",IF(M302-$B$3&lt;=14,"Próximo a liberar","En plazo"))))</f>
        <v/>
      </c>
      <c r="S302" s="27" t="n"/>
    </row>
    <row r="303">
      <c r="A303" s="24" t="n"/>
      <c r="B303" s="25" t="n"/>
      <c r="C303" s="25" t="n"/>
      <c r="D303" s="26">
        <f>IF(B303="","","CWP"&amp;MID(B303,4,12))</f>
        <v/>
      </c>
      <c r="E303" s="27" t="n"/>
      <c r="F303" s="25" t="n"/>
      <c r="G303" s="28" t="n"/>
      <c r="H303" s="29" t="n"/>
      <c r="I303" s="30">
        <f>IF(OR(B303="",H303="",C303=""),"",H303-7*VLOOKUP(C303,Plazos!$A$6:$F$8,2,FALSE))</f>
        <v/>
      </c>
      <c r="J303" s="30">
        <f>IF(OR(B303="",H303="",C303=""),"",H303-7*VLOOKUP(C303,Plazos!$A$6:$F$8,3,FALSE))</f>
        <v/>
      </c>
      <c r="K303" s="30">
        <f>IF(OR(B303="",H303="",C303=""),"",H303-7*VLOOKUP(C303,Plazos!$A$6:$F$8,4,FALSE))</f>
        <v/>
      </c>
      <c r="L303" s="30">
        <f>IF(OR(B303="",H303="",C303=""),"",H303-7*VLOOKUP(C303,Plazos!$A$6:$F$8,5,FALSE))</f>
        <v/>
      </c>
      <c r="M303" s="30">
        <f>IF(OR(B303="",H303="",C303=""),"",H303-7*VLOOKUP(C303,Plazos!$A$6:$F$8,6,FALSE))</f>
        <v/>
      </c>
      <c r="N303" s="29" t="n"/>
      <c r="O303" s="28" t="n"/>
      <c r="P303" s="25" t="n"/>
      <c r="Q303" s="31">
        <f>IF(OR(B303="",M303=""),"",IF(N303&lt;&gt;"",MAX(0,N303-M303),MAX(0,$B$3-M303)))</f>
        <v/>
      </c>
      <c r="R303" s="26">
        <f>IF(OR(B303="",M303=""),"",IF(N303&lt;&gt;"",IF(Q303&gt;0,"Liberado con atraso","Liberado a tiempo"),IF($B$3&gt;M303,"Vencido sin liberar",IF(M303-$B$3&lt;=14,"Próximo a liberar","En plazo"))))</f>
        <v/>
      </c>
      <c r="S303" s="27" t="n"/>
    </row>
    <row r="304">
      <c r="A304" s="24" t="n"/>
      <c r="B304" s="25" t="n"/>
      <c r="C304" s="25" t="n"/>
      <c r="D304" s="26">
        <f>IF(B304="","","CWP"&amp;MID(B304,4,12))</f>
        <v/>
      </c>
      <c r="E304" s="27" t="n"/>
      <c r="F304" s="25" t="n"/>
      <c r="G304" s="28" t="n"/>
      <c r="H304" s="29" t="n"/>
      <c r="I304" s="30">
        <f>IF(OR(B304="",H304="",C304=""),"",H304-7*VLOOKUP(C304,Plazos!$A$6:$F$8,2,FALSE))</f>
        <v/>
      </c>
      <c r="J304" s="30">
        <f>IF(OR(B304="",H304="",C304=""),"",H304-7*VLOOKUP(C304,Plazos!$A$6:$F$8,3,FALSE))</f>
        <v/>
      </c>
      <c r="K304" s="30">
        <f>IF(OR(B304="",H304="",C304=""),"",H304-7*VLOOKUP(C304,Plazos!$A$6:$F$8,4,FALSE))</f>
        <v/>
      </c>
      <c r="L304" s="30">
        <f>IF(OR(B304="",H304="",C304=""),"",H304-7*VLOOKUP(C304,Plazos!$A$6:$F$8,5,FALSE))</f>
        <v/>
      </c>
      <c r="M304" s="30">
        <f>IF(OR(B304="",H304="",C304=""),"",H304-7*VLOOKUP(C304,Plazos!$A$6:$F$8,6,FALSE))</f>
        <v/>
      </c>
      <c r="N304" s="29" t="n"/>
      <c r="O304" s="28" t="n"/>
      <c r="P304" s="25" t="n"/>
      <c r="Q304" s="31">
        <f>IF(OR(B304="",M304=""),"",IF(N304&lt;&gt;"",MAX(0,N304-M304),MAX(0,$B$3-M304)))</f>
        <v/>
      </c>
      <c r="R304" s="26">
        <f>IF(OR(B304="",M304=""),"",IF(N304&lt;&gt;"",IF(Q304&gt;0,"Liberado con atraso","Liberado a tiempo"),IF($B$3&gt;M304,"Vencido sin liberar",IF(M304-$B$3&lt;=14,"Próximo a liberar","En plazo"))))</f>
        <v/>
      </c>
      <c r="S304" s="27" t="n"/>
    </row>
    <row r="305">
      <c r="A305" s="24" t="n"/>
      <c r="B305" s="25" t="n"/>
      <c r="C305" s="25" t="n"/>
      <c r="D305" s="26">
        <f>IF(B305="","","CWP"&amp;MID(B305,4,12))</f>
        <v/>
      </c>
      <c r="E305" s="27" t="n"/>
      <c r="F305" s="25" t="n"/>
      <c r="G305" s="28" t="n"/>
      <c r="H305" s="29" t="n"/>
      <c r="I305" s="30">
        <f>IF(OR(B305="",H305="",C305=""),"",H305-7*VLOOKUP(C305,Plazos!$A$6:$F$8,2,FALSE))</f>
        <v/>
      </c>
      <c r="J305" s="30">
        <f>IF(OR(B305="",H305="",C305=""),"",H305-7*VLOOKUP(C305,Plazos!$A$6:$F$8,3,FALSE))</f>
        <v/>
      </c>
      <c r="K305" s="30">
        <f>IF(OR(B305="",H305="",C305=""),"",H305-7*VLOOKUP(C305,Plazos!$A$6:$F$8,4,FALSE))</f>
        <v/>
      </c>
      <c r="L305" s="30">
        <f>IF(OR(B305="",H305="",C305=""),"",H305-7*VLOOKUP(C305,Plazos!$A$6:$F$8,5,FALSE))</f>
        <v/>
      </c>
      <c r="M305" s="30">
        <f>IF(OR(B305="",H305="",C305=""),"",H305-7*VLOOKUP(C305,Plazos!$A$6:$F$8,6,FALSE))</f>
        <v/>
      </c>
      <c r="N305" s="29" t="n"/>
      <c r="O305" s="28" t="n"/>
      <c r="P305" s="25" t="n"/>
      <c r="Q305" s="31">
        <f>IF(OR(B305="",M305=""),"",IF(N305&lt;&gt;"",MAX(0,N305-M305),MAX(0,$B$3-M305)))</f>
        <v/>
      </c>
      <c r="R305" s="26">
        <f>IF(OR(B305="",M305=""),"",IF(N305&lt;&gt;"",IF(Q305&gt;0,"Liberado con atraso","Liberado a tiempo"),IF($B$3&gt;M305,"Vencido sin liberar",IF(M305-$B$3&lt;=14,"Próximo a liberar","En plazo"))))</f>
        <v/>
      </c>
      <c r="S305" s="27" t="n"/>
    </row>
  </sheetData>
  <autoFilter ref="A5:S305"/>
  <conditionalFormatting sqref="A6:S305">
    <cfRule type="expression" priority="1" dxfId="0" stopIfTrue="1">
      <formula>$R6="Vencido sin liberar"</formula>
    </cfRule>
    <cfRule type="expression" priority="2" dxfId="1" stopIfTrue="1">
      <formula>$R6="Próximo a liberar"</formula>
    </cfRule>
  </conditionalFormatting>
  <conditionalFormatting sqref="R6:R305">
    <cfRule type="expression" priority="3" dxfId="2" stopIfTrue="1">
      <formula>LEFT($R6,8)="Liberado"</formula>
    </cfRule>
  </conditionalFormatting>
  <dataValidations count="2">
    <dataValidation sqref="C6:C305" showDropDown="0" showInputMessage="0" showErrorMessage="1" allowBlank="1" errorTitle="Valor no válido" error="Seleccione un valor de la lista." prompt="Seleccione fase del proyecto" type="list">
      <formula1>=Fases</formula1>
    </dataValidation>
    <dataValidation sqref="P6:P305" showDropDown="0" showInputMessage="0" showErrorMessage="1" allowBlank="1" errorTitle="Valor no válido" error="Seleccione un valor de la lista." prompt="Seleccione estado" type="list">
      <formula1>=EstadosPaquete</formula1>
    </dataValidation>
  </dataValidations>
  <printOptions horizontalCentered="1"/>
  <pageMargins left="0.4" right="0.4" top="0.6" bottom="0.6" header="0.5" footer="0.5"/>
  <pageSetup orientation="landscape" paperSize="9" fitToHeight="0" fitToWidth="1"/>
  <headerFooter>
    <oddHeader>&amp;L&amp;8 Kit de implementación AWP&amp;R&amp;8 Programa de liberación de IWP</oddHeader>
    <oddFooter>&amp;L&amp;8 Proyecto Tipo (PT) – Complejo de instalaciones en tres fases&amp;R&amp;8 Página &amp;P de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F8"/>
  <sheetViews>
    <sheetView tabSelected="0"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s>
  <sheetData>
    <row r="1" ht="24" customHeight="1">
      <c r="A1" s="11" t="inlineStr">
        <is>
          <t>Plazos de liberación por fase (semanas antes del inicio de ejecución)</t>
        </is>
      </c>
    </row>
    <row r="2">
      <c r="A2" s="2" t="inlineStr">
        <is>
          <t>Basado en el programa típico de restricciones del marco educativo del CII. Puede ajustarlos: las fechas del programa se recalculan.</t>
        </is>
      </c>
    </row>
    <row r="5" ht="32" customHeight="1">
      <c r="A5" s="32" t="inlineStr">
        <is>
          <t>Fase del proyecto</t>
        </is>
      </c>
      <c r="B5" s="32" t="inlineStr">
        <is>
          <t>IWP iniciado</t>
        </is>
      </c>
      <c r="C5" s="32" t="inlineStr">
        <is>
          <t>Restricciones identificadas</t>
        </is>
      </c>
      <c r="D5" s="32" t="inlineStr">
        <is>
          <t>Restricciones asignadas</t>
        </is>
      </c>
      <c r="E5" s="32" t="inlineStr">
        <is>
          <t>Restricciones levantadas</t>
        </is>
      </c>
      <c r="F5" s="32" t="inlineStr">
        <is>
          <t>Liberación (backlog)</t>
        </is>
      </c>
    </row>
    <row r="6">
      <c r="A6" s="33" t="inlineStr">
        <is>
          <t>Fase 1</t>
        </is>
      </c>
      <c r="B6" s="34" t="n">
        <v>8</v>
      </c>
      <c r="C6" s="34" t="n">
        <v>6</v>
      </c>
      <c r="D6" s="34" t="n">
        <v>5</v>
      </c>
      <c r="E6" s="34" t="n">
        <v>3</v>
      </c>
      <c r="F6" s="34" t="n">
        <v>2</v>
      </c>
    </row>
    <row r="7">
      <c r="A7" s="33" t="inlineStr">
        <is>
          <t>Fase 2</t>
        </is>
      </c>
      <c r="B7" s="34" t="n">
        <v>12</v>
      </c>
      <c r="C7" s="34" t="n">
        <v>10</v>
      </c>
      <c r="D7" s="34" t="n">
        <v>8</v>
      </c>
      <c r="E7" s="34" t="n">
        <v>4</v>
      </c>
      <c r="F7" s="34" t="n">
        <v>2</v>
      </c>
    </row>
    <row r="8">
      <c r="A8" s="33" t="inlineStr">
        <is>
          <t>Fase 3</t>
        </is>
      </c>
      <c r="B8" s="34" t="n">
        <v>8</v>
      </c>
      <c r="C8" s="34" t="n">
        <v>6</v>
      </c>
      <c r="D8" s="34" t="n">
        <v>5</v>
      </c>
      <c r="E8" s="34" t="n">
        <v>3</v>
      </c>
      <c r="F8" s="34" t="n">
        <v>2</v>
      </c>
    </row>
  </sheetData>
  <printOptions horizontalCentered="1"/>
  <pageMargins left="0.4" right="0.4" top="0.6" bottom="0.6" header="0.5" footer="0.5"/>
  <pageSetup orientation="landscape" paperSize="9" fitToHeight="0" fitToWidth="1"/>
  <headerFooter>
    <oddHeader>&amp;L&amp;8 Kit de implementación AWP&amp;R&amp;8 Plazos por fase</oddHeader>
    <oddFooter>&amp;L&amp;8 Proyecto Tipo (PT) – Complejo de instalaciones en tres fases&amp;R&amp;8 Página &amp;P de &amp;N</oddFooter>
    <evenHeader/>
    <evenFooter/>
    <firstHeader/>
    <firstFooter/>
  </headerFooter>
</worksheet>
</file>

<file path=xl/worksheets/sheet4.xml><?xml version="1.0" encoding="utf-8"?>
<worksheet xmlns="http://schemas.openxmlformats.org/spreadsheetml/2006/main">
  <sheetPr>
    <tabColor rgb="007F7F7F"/>
    <outlinePr summaryBelow="1" summaryRight="1"/>
    <pageSetUpPr/>
  </sheetPr>
  <dimension ref="A1:C18"/>
  <sheetViews>
    <sheetView tabSelected="0" workbookViewId="0">
      <pane ySplit="2" topLeftCell="A3" activePane="bottomLeft" state="frozen"/>
      <selection pane="bottomLeft" activeCell="A1" sqref="A1"/>
    </sheetView>
  </sheetViews>
  <sheetFormatPr baseColWidth="8" defaultRowHeight="15"/>
  <cols>
    <col width="14" customWidth="1" min="1" max="1"/>
    <col width="15" customWidth="1" min="2" max="2"/>
    <col width="39" customWidth="1" min="3" max="3"/>
  </cols>
  <sheetData>
    <row r="1">
      <c r="A1" s="35" t="inlineStr">
        <is>
          <t>Valores de las listas desplegables. Puede ampliarlas agregando valores al final de cada columna y ajustando el rango con nombre (Fórmulas &gt; Administrador de nombres).</t>
        </is>
      </c>
    </row>
    <row r="2">
      <c r="A2" s="36" t="inlineStr">
        <is>
          <t>Fases</t>
        </is>
      </c>
      <c r="B2" s="36" t="inlineStr">
        <is>
          <t>EstadosPaquete</t>
        </is>
      </c>
      <c r="C2" s="36" t="inlineStr">
        <is>
          <t>Roles</t>
        </is>
      </c>
    </row>
    <row r="3">
      <c r="A3" s="37" t="inlineStr">
        <is>
          <t>Fase 1</t>
        </is>
      </c>
      <c r="B3" s="37" t="inlineStr">
        <is>
          <t>Planificado</t>
        </is>
      </c>
      <c r="C3" s="37" t="inlineStr">
        <is>
          <t>Gerente del proyecto del cliente</t>
        </is>
      </c>
    </row>
    <row r="4">
      <c r="A4" s="37" t="inlineStr">
        <is>
          <t>Fase 2</t>
        </is>
      </c>
      <c r="B4" s="37" t="inlineStr">
        <is>
          <t>En desarrollo</t>
        </is>
      </c>
      <c r="C4" s="37" t="inlineStr">
        <is>
          <t>Gerente de Proyecto</t>
        </is>
      </c>
    </row>
    <row r="5">
      <c r="A5" s="37" t="inlineStr">
        <is>
          <t>Fase 3</t>
        </is>
      </c>
      <c r="B5" s="37" t="inlineStr">
        <is>
          <t>En revisión</t>
        </is>
      </c>
      <c r="C5" s="37" t="inlineStr">
        <is>
          <t>AWP Champion</t>
        </is>
      </c>
    </row>
    <row r="6">
      <c r="B6" s="37" t="inlineStr">
        <is>
          <t>Aprobado</t>
        </is>
      </c>
      <c r="C6" s="37" t="inlineStr">
        <is>
          <t>Líder de WFP</t>
        </is>
      </c>
    </row>
    <row r="7">
      <c r="B7" s="37" t="inlineStr">
        <is>
          <t>Liberado</t>
        </is>
      </c>
      <c r="C7" s="37" t="inlineStr">
        <is>
          <t>Planificador de frente de trabajo</t>
        </is>
      </c>
    </row>
    <row r="8">
      <c r="B8" s="37" t="inlineStr">
        <is>
          <t>En ejecución</t>
        </is>
      </c>
      <c r="C8" s="37" t="inlineStr">
        <is>
          <t>Líder de Ingeniería</t>
        </is>
      </c>
    </row>
    <row r="9">
      <c r="B9" s="37" t="inlineStr">
        <is>
          <t>Cerrado</t>
        </is>
      </c>
      <c r="C9" s="37" t="inlineStr">
        <is>
          <t>Líder de Procura</t>
        </is>
      </c>
    </row>
    <row r="10">
      <c r="B10" s="37" t="inlineStr">
        <is>
          <t>Suspendido</t>
        </is>
      </c>
      <c r="C10" s="37" t="inlineStr">
        <is>
          <t>Gestor de materiales</t>
        </is>
      </c>
    </row>
    <row r="11">
      <c r="C11" s="37" t="inlineStr">
        <is>
          <t>Gerente de Construcción</t>
        </is>
      </c>
    </row>
    <row r="12">
      <c r="C12" s="37" t="inlineStr">
        <is>
          <t>Superintendente / capataz general</t>
        </is>
      </c>
    </row>
    <row r="13">
      <c r="C13" s="37" t="inlineStr">
        <is>
          <t>Controles del proyecto</t>
        </is>
      </c>
    </row>
    <row r="14">
      <c r="C14" s="37" t="inlineStr">
        <is>
          <t>Coordinador de gestión de información</t>
        </is>
      </c>
    </row>
    <row r="15">
      <c r="C15" s="37" t="inlineStr">
        <is>
          <t>Líder de HSE</t>
        </is>
      </c>
    </row>
    <row r="16">
      <c r="C16" s="37" t="inlineStr">
        <is>
          <t>Líder de calidad (QA/QC)</t>
        </is>
      </c>
    </row>
    <row r="17">
      <c r="C17" s="37" t="inlineStr">
        <is>
          <t>Líder de comisionamiento</t>
        </is>
      </c>
    </row>
    <row r="18">
      <c r="C18" s="37" t="inlineStr">
        <is>
          <t>Subcontratista de especialidad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Kit de implementación AWP</dc:creator>
  <dc:title xmlns:dc="http://purl.org/dc/elements/1.1/">Programa de liberación de IWP</dc:title>
  <dc:subject xmlns:dc="http://purl.org/dc/elements/1.1/">Proyecto Tipo (PT) – Complejo de instalaciones en tres fases</dc:subject>
  <dcterms:created xmlns:dcterms="http://purl.org/dc/terms/" xmlns:xsi="http://www.w3.org/2001/XMLSchema-instance" xsi:type="dcterms:W3CDTF">2026-09-25T03:31:53Z</dcterms:created>
  <dcterms:modified xmlns:dcterms="http://purl.org/dc/terms/" xmlns:xsi="http://www.w3.org/2001/XMLSchema-instance" xsi:type="dcterms:W3CDTF">2026-09-25T03:31:53Z</dcterms:modified>
</cp:coreProperties>
</file>