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th of Construction" sheetId="2" state="visible" r:id="rId2"/>
    <sheet xmlns:r="http://schemas.openxmlformats.org/officeDocument/2006/relationships" name="Listas" sheetId="3" state="visible" r:id="rId3"/>
  </sheets>
  <definedNames>
    <definedName name="Fases">Listas!$A$3:$A$5</definedName>
    <definedName name="Disciplinas">Listas!$B$3:$B$10</definedName>
    <definedName name="SiNo">Listas!$C$3:$C$4</definedName>
    <definedName name="_xlnm.Print_Area" localSheetId="0">'Instrucciones'!$A$1:$C$34</definedName>
    <definedName name="_xlnm._FilterDatabase" localSheetId="1" hidden="1">'Path of Construction'!$A$5:$R$155</definedName>
    <definedName name="_xlnm.Print_Titles" localSheetId="1">'Path of Construction'!$5:$5</definedName>
    <definedName name="_xlnm.Print_Area" localSheetId="1">'Path of Construction'!$A$1:$BB$55</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mm/yy"/>
  </numFmts>
  <fonts count="14">
    <font>
      <name val="Calibri"/>
      <family val="2"/>
      <color theme="1"/>
      <sz val="11"/>
      <scheme val="minor"/>
    </font>
    <font>
      <name val="Calibri"/>
      <b val="1"/>
      <color rgb="001F3864"/>
      <sz val="15"/>
    </font>
    <font>
      <name val="Calibri"/>
      <i val="1"/>
      <color rgb="00595959"/>
      <sz val="10"/>
    </font>
    <font>
      <name val="Calibri"/>
      <b val="1"/>
      <sz val="10"/>
    </font>
    <font>
      <name val="Calibri"/>
      <b val="1"/>
      <color rgb="00FFFFFF"/>
      <sz val="10"/>
    </font>
    <font>
      <name val="Calibri"/>
      <color rgb="00000000"/>
      <sz val="10"/>
    </font>
    <font>
      <name val="Calibri"/>
      <color rgb="00404040"/>
      <sz val="10"/>
    </font>
    <font>
      <name val="Calibri"/>
      <color rgb="00595959"/>
      <sz val="7"/>
    </font>
    <font>
      <name val="Calibri"/>
      <b val="1"/>
      <color rgb="001F3864"/>
      <sz val="16"/>
    </font>
    <font>
      <name val="Calibri"/>
      <b val="1"/>
      <color rgb="001F3864"/>
      <sz val="11"/>
    </font>
    <font>
      <name val="Calibri"/>
      <sz val="10"/>
    </font>
    <font>
      <name val="Calibri"/>
      <b val="1"/>
      <color rgb="001F3864"/>
      <sz val="12"/>
    </font>
    <font>
      <name val="Calibri"/>
      <b val="1"/>
      <color rgb="00FFFFFF"/>
    </font>
    <font>
      <name val="Calibri"/>
      <i val="1"/>
      <sz val="9"/>
    </font>
  </fonts>
  <fills count="8">
    <fill>
      <patternFill/>
    </fill>
    <fill>
      <patternFill patternType="gray125"/>
    </fill>
    <fill>
      <patternFill patternType="solid">
        <fgColor rgb="00DCE6F2"/>
        <bgColor rgb="00DCE6F2"/>
      </patternFill>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8" fillId="0" borderId="0" pivotButton="0" quotePrefix="0" xfId="0"/>
    <xf numFmtId="0" fontId="2" fillId="0" borderId="0" pivotButton="0" quotePrefix="0" xfId="0"/>
    <xf numFmtId="0" fontId="9" fillId="0" borderId="0" applyAlignment="1" pivotButton="0" quotePrefix="0" xfId="0">
      <alignment vertical="top"/>
    </xf>
    <xf numFmtId="0" fontId="10" fillId="0" borderId="0" applyAlignment="1" pivotButton="0" quotePrefix="0" xfId="0">
      <alignment vertical="top" wrapText="1"/>
    </xf>
    <xf numFmtId="0" fontId="11" fillId="0" borderId="0" pivotButton="0" quotePrefix="0" xfId="0"/>
    <xf numFmtId="0" fontId="12" fillId="3" borderId="1" pivotButton="0" quotePrefix="0" xfId="0"/>
    <xf numFmtId="0" fontId="3" fillId="0" borderId="1" applyAlignment="1" pivotButton="0" quotePrefix="0" xfId="0">
      <alignment vertical="top" wrapText="1"/>
    </xf>
    <xf numFmtId="0" fontId="10" fillId="0" borderId="1" applyAlignment="1" pivotButton="0" quotePrefix="0" xfId="0">
      <alignment vertical="top" wrapText="1"/>
    </xf>
    <xf numFmtId="0" fontId="3" fillId="6" borderId="1" applyAlignment="1" pivotButton="0" quotePrefix="0" xfId="0">
      <alignment vertical="top" wrapText="1"/>
    </xf>
    <xf numFmtId="0" fontId="10" fillId="6" borderId="1" applyAlignment="1" pivotButton="0" quotePrefix="0" xfId="0">
      <alignment vertical="top" wrapText="1"/>
    </xf>
    <xf numFmtId="0" fontId="1" fillId="0" borderId="0" pivotButton="0" quotePrefix="0" xfId="0"/>
    <xf numFmtId="0" fontId="3" fillId="0" borderId="0" applyAlignment="1" pivotButton="0" quotePrefix="0" xfId="0">
      <alignment horizontal="right"/>
    </xf>
    <xf numFmtId="165" fontId="3" fillId="2" borderId="1" pivotButton="0" quotePrefix="0" xfId="0"/>
    <xf numFmtId="0" fontId="3" fillId="2" borderId="1" pivotButton="0" quotePrefix="0" xfId="0"/>
    <xf numFmtId="166" fontId="7" fillId="0" borderId="0" applyAlignment="1" pivotButton="0" quotePrefix="0" xfId="0">
      <alignment horizontal="center" textRotation="90"/>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center" vertical="center" textRotation="90"/>
    </xf>
    <xf numFmtId="0" fontId="5" fillId="5" borderId="1" applyAlignment="1" pivotButton="0" quotePrefix="0" xfId="0">
      <alignment horizontal="center" vertical="top"/>
    </xf>
    <xf numFmtId="3" fontId="5" fillId="5" borderId="1" applyAlignment="1" pivotButton="0" quotePrefix="0" xfId="0">
      <alignment vertical="top"/>
    </xf>
    <xf numFmtId="0" fontId="5" fillId="5" borderId="1" applyAlignment="1" pivotButton="0" quotePrefix="0" xfId="0">
      <alignment vertical="top"/>
    </xf>
    <xf numFmtId="0" fontId="6" fillId="5" borderId="1" applyAlignment="1" pivotButton="0" quotePrefix="0" xfId="0">
      <alignment vertical="top"/>
    </xf>
    <xf numFmtId="0" fontId="5" fillId="5" borderId="1" applyAlignment="1" pivotButton="0" quotePrefix="0" xfId="0">
      <alignment vertical="top" wrapText="1"/>
    </xf>
    <xf numFmtId="165" fontId="5" fillId="5" borderId="1" applyAlignment="1" pivotButton="0" quotePrefix="0" xfId="0">
      <alignment horizontal="center" vertical="top"/>
    </xf>
    <xf numFmtId="165" fontId="6" fillId="5" borderId="1" applyAlignment="1" pivotButton="0" quotePrefix="0" xfId="0">
      <alignment horizontal="center" vertical="top"/>
    </xf>
    <xf numFmtId="3" fontId="6" fillId="7" borderId="1" applyAlignment="1" pivotButton="0" quotePrefix="0" xfId="0">
      <alignment vertical="top"/>
    </xf>
    <xf numFmtId="0" fontId="5" fillId="0" borderId="1" applyAlignment="1" pivotButton="0" quotePrefix="0" xfId="0">
      <alignment horizontal="center" vertical="top"/>
    </xf>
    <xf numFmtId="3" fontId="5" fillId="0" borderId="1" applyAlignment="1" pivotButton="0" quotePrefix="0" xfId="0">
      <alignment vertical="top"/>
    </xf>
    <xf numFmtId="0" fontId="5" fillId="0" borderId="1" applyAlignment="1" pivotButton="0" quotePrefix="0" xfId="0">
      <alignment vertical="top"/>
    </xf>
    <xf numFmtId="0" fontId="6" fillId="6" borderId="1" applyAlignment="1" pivotButton="0" quotePrefix="0" xfId="0">
      <alignment vertical="top"/>
    </xf>
    <xf numFmtId="0" fontId="5" fillId="0" borderId="1" applyAlignment="1" pivotButton="0" quotePrefix="0" xfId="0">
      <alignment vertical="top" wrapText="1"/>
    </xf>
    <xf numFmtId="165" fontId="5" fillId="0" borderId="1" applyAlignment="1" pivotButton="0" quotePrefix="0" xfId="0">
      <alignment horizontal="center" vertical="top"/>
    </xf>
    <xf numFmtId="165" fontId="6" fillId="6" borderId="1" applyAlignment="1" pivotButton="0" quotePrefix="0" xfId="0">
      <alignment horizontal="center" vertical="top"/>
    </xf>
    <xf numFmtId="0" fontId="13" fillId="0" borderId="0" pivotButton="0" quotePrefix="0" xfId="0"/>
    <xf numFmtId="0" fontId="12" fillId="3" borderId="0" pivotButton="0" quotePrefix="0" xfId="0"/>
    <xf numFmtId="0" fontId="10" fillId="0" borderId="0" pivotButton="0" quotePrefix="0" xfId="0"/>
  </cellXfs>
  <cellStyles count="1">
    <cellStyle name="Normal" xfId="0" builtinId="0" hidden="0"/>
  </cellStyles>
  <dxfs count="3">
    <dxf>
      <font>
        <color rgb="002F5597"/>
      </font>
      <fill>
        <patternFill patternType="solid">
          <fgColor rgb="002F5597"/>
          <bgColor rgb="002F5597"/>
        </patternFill>
      </fill>
    </dxf>
    <dxf>
      <font>
        <color rgb="009C0006"/>
      </font>
      <fill>
        <patternFill patternType="solid">
          <fgColor rgb="00F8CBAD"/>
          <bgColor rgb="00F8CBAD"/>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32"/>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Path of Construction</t>
        </is>
      </c>
    </row>
    <row r="2">
      <c r="A2" s="2" t="inlineStr">
        <is>
          <t>Kit de implementación AWP · Proyecto Tipo (PT) – Complejo de instalaciones en tres fases</t>
        </is>
      </c>
    </row>
    <row r="4" ht="42" customHeight="1">
      <c r="A4" s="3" t="inlineStr">
        <is>
          <t>Propósito</t>
        </is>
      </c>
      <c r="B4" s="4" t="inlineStr">
        <is>
          <t>Documentar el Path of Construction (PoC): la secuencia en que se construirán los CWP de cada fase, con sus predecesores, y calcular hacia atrás las fechas que ingeniería (EWP), construcción (emisión de CWP) y procura (RAS) deben cumplir.</t>
        </is>
      </c>
    </row>
    <row r="5" ht="42" customHeight="1">
      <c r="A5" s="3" t="inlineStr">
        <is>
          <t>Por qué se incluye</t>
        </is>
      </c>
      <c r="B5" s="4" t="inlineStr">
        <is>
          <t>Las fuentes coinciden en que la secuencia de construcción debe dirigir la ingeniería y la procura. Esta plantilla convierte el PoC en fechas requeridas concretas y detecta conflictos de secuencia.</t>
        </is>
      </c>
    </row>
    <row r="6" ht="28" customHeight="1">
      <c r="A6" s="3" t="inlineStr">
        <is>
          <t>Cuándo se usa</t>
        </is>
      </c>
      <c r="B6" s="4" t="inlineStr">
        <is>
          <t>Se desarrolla en los talleres de planificación interactiva (IPP) de la planificación temprana de cada fase y se congela en el hito H2. Se revisa ante cambios mayores.</t>
        </is>
      </c>
    </row>
    <row r="7" ht="28" customHeight="1">
      <c r="A7" s="3" t="inlineStr">
        <is>
          <t>Quién la llena</t>
        </is>
      </c>
      <c r="B7" s="4" t="inlineStr">
        <is>
          <t>El Gerente de Construcción lidera; el AWP Champion facilita; ingeniería, procura, comisionamiento y controles del proyecto participan.</t>
        </is>
      </c>
    </row>
    <row r="8" ht="98" customHeight="1">
      <c r="A8" s="3" t="inlineStr">
        <is>
          <t>Cómo llenarla</t>
        </is>
      </c>
      <c r="B8" s="4" t="inlineStr">
        <is>
          <t>1. Ajuste los parámetros de la fila 3: mes M1 del proyecto y anticipaciones de EWP, CWP y RAS.
2. Borre las filas amarillas de ejemplo.
3. Registre los CWP en el orden acordado en el taller, con su predecesor, inicio y duración.
4. Revise la columna «Control de secuencia»: no debe haber conflictos.
5. Traslade las fechas «EWP IFC requerido» y «RAS» al plan de ingeniería y de procura, y a Seguimiento_Paquetes.
6. Las columnas M1 a M36 muestran un diagrama de barras por mes (no las edite).</t>
        </is>
      </c>
    </row>
    <row r="9" ht="42" customHeight="1">
      <c r="A9" s="3" t="inlineStr">
        <is>
          <t>Colores</t>
        </is>
      </c>
      <c r="B9"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10" ht="42" customHeight="1">
      <c r="A10" s="3" t="inlineStr">
        <is>
          <t>Impresión</t>
        </is>
      </c>
      <c r="B10"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2">
      <c r="A12" s="5" t="inlineStr">
        <is>
          <t>Columnas de la hoja «Path of Construction»</t>
        </is>
      </c>
    </row>
    <row r="13">
      <c r="A13" s="6" t="inlineStr">
        <is>
          <t>Columna</t>
        </is>
      </c>
      <c r="B13" s="6" t="inlineStr">
        <is>
          <t>Significado</t>
        </is>
      </c>
      <c r="C13" s="6" t="inlineStr">
        <is>
          <t>Tipo de dato</t>
        </is>
      </c>
    </row>
    <row r="14" ht="15" customHeight="1">
      <c r="A14" s="7" t="inlineStr">
        <is>
          <t>Ejemplo</t>
        </is>
      </c>
      <c r="B14" s="8" t="inlineStr">
        <is>
          <t>Contiene «EJEMPLO» en las filas de ejemplo. Déjela vacía en las filas reales.</t>
        </is>
      </c>
      <c r="C14" s="8" t="inlineStr">
        <is>
          <t>Manual</t>
        </is>
      </c>
    </row>
    <row r="15" ht="15" customHeight="1">
      <c r="A15" s="7" t="inlineStr">
        <is>
          <t>Secuencia</t>
        </is>
      </c>
      <c r="B15" s="8" t="inlineStr">
        <is>
          <t>Orden del CWP en el Path of Construction.</t>
        </is>
      </c>
      <c r="C15" s="8" t="inlineStr">
        <is>
          <t>Manual</t>
        </is>
      </c>
    </row>
    <row r="16" ht="15" customHeight="1">
      <c r="A16" s="7" t="inlineStr">
        <is>
          <t>Fase del proyecto</t>
        </is>
      </c>
      <c r="B16" s="8" t="inlineStr">
        <is>
          <t>Fase del proyecto.</t>
        </is>
      </c>
      <c r="C16" s="8" t="inlineStr">
        <is>
          <t>Lista</t>
        </is>
      </c>
    </row>
    <row r="17" ht="15" customHeight="1">
      <c r="A17" s="9" t="inlineStr">
        <is>
          <t>CWA</t>
        </is>
      </c>
      <c r="B17" s="10" t="inlineStr">
        <is>
          <t>Calculado a partir del código del CWP.</t>
        </is>
      </c>
      <c r="C17" s="10" t="inlineStr">
        <is>
          <t>Calculado</t>
        </is>
      </c>
    </row>
    <row r="18" ht="15" customHeight="1">
      <c r="A18" s="7" t="inlineStr">
        <is>
          <t>CWP</t>
        </is>
      </c>
      <c r="B18" s="8" t="inlineStr">
        <is>
          <t>Código del CWP.</t>
        </is>
      </c>
      <c r="C18" s="8" t="inlineStr">
        <is>
          <t>Manual</t>
        </is>
      </c>
    </row>
    <row r="19" ht="15" customHeight="1">
      <c r="A19" s="7" t="inlineStr">
        <is>
          <t>Descripción</t>
        </is>
      </c>
      <c r="B19" s="8" t="inlineStr">
        <is>
          <t>Alcance resumido del CWP.</t>
        </is>
      </c>
      <c r="C19" s="8" t="inlineStr">
        <is>
          <t>Manual</t>
        </is>
      </c>
    </row>
    <row r="20" ht="15" customHeight="1">
      <c r="A20" s="7" t="inlineStr">
        <is>
          <t>Disciplina</t>
        </is>
      </c>
      <c r="B20" s="8" t="inlineStr">
        <is>
          <t>Disciplina del CWP.</t>
        </is>
      </c>
      <c r="C20" s="8" t="inlineStr">
        <is>
          <t>Lista</t>
        </is>
      </c>
    </row>
    <row r="21" ht="15" customHeight="1">
      <c r="A21" s="7" t="inlineStr">
        <is>
          <t>HH estimadas</t>
        </is>
      </c>
      <c r="B21" s="8" t="inlineStr">
        <is>
          <t>Horas-hombre directas estimadas.</t>
        </is>
      </c>
      <c r="C21" s="8" t="inlineStr">
        <is>
          <t>Manual</t>
        </is>
      </c>
    </row>
    <row r="22" ht="15" customHeight="1">
      <c r="A22" s="7" t="inlineStr">
        <is>
          <t>Predecesor</t>
        </is>
      </c>
      <c r="B22" s="8" t="inlineStr">
        <is>
          <t>CWP que debe terminar antes (relación fin–comienzo). «—» si no tiene.</t>
        </is>
      </c>
      <c r="C22" s="8" t="inlineStr">
        <is>
          <t>Manual</t>
        </is>
      </c>
    </row>
    <row r="23" ht="15" customHeight="1">
      <c r="A23" s="7" t="inlineStr">
        <is>
          <t>Inicio plan</t>
        </is>
      </c>
      <c r="B23" s="8" t="inlineStr">
        <is>
          <t>Fecha de inicio de construcción del CWP.</t>
        </is>
      </c>
      <c r="C23" s="8" t="inlineStr">
        <is>
          <t>Manual</t>
        </is>
      </c>
    </row>
    <row r="24" ht="15" customHeight="1">
      <c r="A24" s="7" t="inlineStr">
        <is>
          <t>Duración (semanas)</t>
        </is>
      </c>
      <c r="B24" s="8" t="inlineStr">
        <is>
          <t>Duración de construcción en semanas.</t>
        </is>
      </c>
      <c r="C24" s="8" t="inlineStr">
        <is>
          <t>Manual</t>
        </is>
      </c>
    </row>
    <row r="25" ht="15" customHeight="1">
      <c r="A25" s="9" t="inlineStr">
        <is>
          <t>Fin plan</t>
        </is>
      </c>
      <c r="B25" s="10" t="inlineStr">
        <is>
          <t>Calculado: inicio + duración.</t>
        </is>
      </c>
      <c r="C25" s="10" t="inlineStr">
        <is>
          <t>Calculado</t>
        </is>
      </c>
    </row>
    <row r="26" ht="15" customHeight="1">
      <c r="A26" s="9" t="inlineStr">
        <is>
          <t>EWP IFC requerido</t>
        </is>
      </c>
      <c r="B26" s="10" t="inlineStr">
        <is>
          <t>Calculado: fecha límite para emitir el EWP IFC (inicio − anticipación de EWP).</t>
        </is>
      </c>
      <c r="C26" s="10" t="inlineStr">
        <is>
          <t>Calculado</t>
        </is>
      </c>
    </row>
    <row r="27" ht="15" customHeight="1">
      <c r="A27" s="9" t="inlineStr">
        <is>
          <t>Emisión del CWP</t>
        </is>
      </c>
      <c r="B27" s="10" t="inlineStr">
        <is>
          <t>Calculado: fecha de emisión del CWP (inicio − anticipación de CWP).</t>
        </is>
      </c>
      <c r="C27" s="10" t="inlineStr">
        <is>
          <t>Calculado</t>
        </is>
      </c>
    </row>
    <row r="28" ht="28" customHeight="1">
      <c r="A28" s="9" t="inlineStr">
        <is>
          <t>Materiales en obra (RAS)</t>
        </is>
      </c>
      <c r="B28" s="10" t="inlineStr">
        <is>
          <t>Calculado: fecha requerida en obra de los materiales del PWP (inicio − días RAS).</t>
        </is>
      </c>
      <c r="C28" s="10" t="inlineStr">
        <is>
          <t>Calculado</t>
        </is>
      </c>
    </row>
    <row r="29" ht="15" customHeight="1">
      <c r="A29" s="9" t="inlineStr">
        <is>
          <t>Control de secuencia</t>
        </is>
      </c>
      <c r="B29" s="10" t="inlineStr">
        <is>
          <t>Calculado: «Conflicto» si el predecesor termina después del inicio de este CWP.</t>
        </is>
      </c>
      <c r="C29" s="10" t="inlineStr">
        <is>
          <t>Calculado</t>
        </is>
      </c>
    </row>
    <row r="30" ht="15" customHeight="1">
      <c r="A30" s="7" t="inlineStr">
        <is>
          <t>Sistema</t>
        </is>
      </c>
      <c r="B30" s="8" t="inlineStr">
        <is>
          <t>Sistema de comisionamiento que completa el CWP.</t>
        </is>
      </c>
      <c r="C30" s="8" t="inlineStr">
        <is>
          <t>Manual</t>
        </is>
      </c>
    </row>
    <row r="31" ht="15" customHeight="1">
      <c r="A31" s="7" t="inlineStr">
        <is>
          <t>Justificación de la secuencia</t>
        </is>
      </c>
      <c r="B31" s="8" t="inlineStr">
        <is>
          <t>Por qué el CWP va en esa posición (acuerdo del taller IPP).</t>
        </is>
      </c>
      <c r="C31" s="8" t="inlineStr">
        <is>
          <t>Manual</t>
        </is>
      </c>
    </row>
    <row r="32" ht="15" customHeight="1">
      <c r="A32" s="9" t="inlineStr">
        <is>
          <t>M1 … M36</t>
        </is>
      </c>
      <c r="B32" s="10" t="inlineStr">
        <is>
          <t>Calculado: meses del proyecto en que se construye el CWP (barra azul).</t>
        </is>
      </c>
      <c r="C32" s="10" t="inlineStr">
        <is>
          <t>Calculado</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Path of Construction</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BB155"/>
  <sheetViews>
    <sheetView tabSelected="0" workbookViewId="0">
      <pane xSplit="5" ySplit="5" topLeftCell="F6"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1" customWidth="1" min="3" max="3"/>
    <col width="10" customWidth="1" min="4" max="4"/>
    <col width="17" customWidth="1" min="5" max="5"/>
    <col width="30" customWidth="1" min="6" max="6"/>
    <col width="9" customWidth="1" min="7" max="7"/>
    <col width="10" customWidth="1" min="8" max="8"/>
    <col width="17" customWidth="1" min="9" max="9"/>
    <col width="11" customWidth="1" min="10" max="10"/>
    <col width="9" customWidth="1" min="11" max="11"/>
    <col width="11" customWidth="1" min="12" max="12"/>
    <col width="11" customWidth="1" min="13" max="13"/>
    <col width="11" customWidth="1" min="14" max="14"/>
    <col width="11" customWidth="1" min="15" max="15"/>
    <col width="18" customWidth="1" min="16" max="16"/>
    <col width="16" customWidth="1" min="17" max="17"/>
    <col width="40"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s>
  <sheetData>
    <row r="1" ht="24" customHeight="1">
      <c r="A1" s="11" t="inlineStr">
        <is>
          <t>Path of Construction (secuencia de CWP)</t>
        </is>
      </c>
    </row>
    <row r="2">
      <c r="A2" s="2" t="inlineStr">
        <is>
          <t>Proyecto Tipo (PT) – Complejo de instalaciones en tres fases. Las filas en amarillo marcadas «EJEMPLO» son de ejemplo: bórrelas o reemplácelas.</t>
        </is>
      </c>
    </row>
    <row r="3">
      <c r="A3" s="12" t="inlineStr">
        <is>
          <t>Mes M1 del proyecto:</t>
        </is>
      </c>
      <c r="B3" s="13" t="n">
        <v>46388</v>
      </c>
      <c r="D3" s="12" t="inlineStr">
        <is>
          <t>Anticipación EWP (semanas):</t>
        </is>
      </c>
      <c r="E3" s="14" t="n">
        <v>13</v>
      </c>
      <c r="G3" s="12" t="inlineStr">
        <is>
          <t>Anticipación CWP (semanas):</t>
        </is>
      </c>
      <c r="H3" s="14" t="n">
        <v>10</v>
      </c>
      <c r="J3" s="12" t="inlineStr">
        <is>
          <t>Anticipación RAS (días):</t>
        </is>
      </c>
      <c r="K3" s="14" t="n">
        <v>10</v>
      </c>
    </row>
    <row r="4" ht="34" customHeight="1">
      <c r="S4" s="15">
        <f>EDATE($B$3,0)</f>
        <v/>
      </c>
      <c r="T4" s="15">
        <f>EDATE($B$3,1)</f>
        <v/>
      </c>
      <c r="U4" s="15">
        <f>EDATE($B$3,2)</f>
        <v/>
      </c>
      <c r="V4" s="15">
        <f>EDATE($B$3,3)</f>
        <v/>
      </c>
      <c r="W4" s="15">
        <f>EDATE($B$3,4)</f>
        <v/>
      </c>
      <c r="X4" s="15">
        <f>EDATE($B$3,5)</f>
        <v/>
      </c>
      <c r="Y4" s="15">
        <f>EDATE($B$3,6)</f>
        <v/>
      </c>
      <c r="Z4" s="15">
        <f>EDATE($B$3,7)</f>
        <v/>
      </c>
      <c r="AA4" s="15">
        <f>EDATE($B$3,8)</f>
        <v/>
      </c>
      <c r="AB4" s="15">
        <f>EDATE($B$3,9)</f>
        <v/>
      </c>
      <c r="AC4" s="15">
        <f>EDATE($B$3,10)</f>
        <v/>
      </c>
      <c r="AD4" s="15">
        <f>EDATE($B$3,11)</f>
        <v/>
      </c>
      <c r="AE4" s="15">
        <f>EDATE($B$3,12)</f>
        <v/>
      </c>
      <c r="AF4" s="15">
        <f>EDATE($B$3,13)</f>
        <v/>
      </c>
      <c r="AG4" s="15">
        <f>EDATE($B$3,14)</f>
        <v/>
      </c>
      <c r="AH4" s="15">
        <f>EDATE($B$3,15)</f>
        <v/>
      </c>
      <c r="AI4" s="15">
        <f>EDATE($B$3,16)</f>
        <v/>
      </c>
      <c r="AJ4" s="15">
        <f>EDATE($B$3,17)</f>
        <v/>
      </c>
      <c r="AK4" s="15">
        <f>EDATE($B$3,18)</f>
        <v/>
      </c>
      <c r="AL4" s="15">
        <f>EDATE($B$3,19)</f>
        <v/>
      </c>
      <c r="AM4" s="15">
        <f>EDATE($B$3,20)</f>
        <v/>
      </c>
      <c r="AN4" s="15">
        <f>EDATE($B$3,21)</f>
        <v/>
      </c>
      <c r="AO4" s="15">
        <f>EDATE($B$3,22)</f>
        <v/>
      </c>
      <c r="AP4" s="15">
        <f>EDATE($B$3,23)</f>
        <v/>
      </c>
      <c r="AQ4" s="15">
        <f>EDATE($B$3,24)</f>
        <v/>
      </c>
      <c r="AR4" s="15">
        <f>EDATE($B$3,25)</f>
        <v/>
      </c>
      <c r="AS4" s="15">
        <f>EDATE($B$3,26)</f>
        <v/>
      </c>
      <c r="AT4" s="15">
        <f>EDATE($B$3,27)</f>
        <v/>
      </c>
      <c r="AU4" s="15">
        <f>EDATE($B$3,28)</f>
        <v/>
      </c>
      <c r="AV4" s="15">
        <f>EDATE($B$3,29)</f>
        <v/>
      </c>
      <c r="AW4" s="15">
        <f>EDATE($B$3,30)</f>
        <v/>
      </c>
      <c r="AX4" s="15">
        <f>EDATE($B$3,31)</f>
        <v/>
      </c>
      <c r="AY4" s="15">
        <f>EDATE($B$3,32)</f>
        <v/>
      </c>
      <c r="AZ4" s="15">
        <f>EDATE($B$3,33)</f>
        <v/>
      </c>
      <c r="BA4" s="15">
        <f>EDATE($B$3,34)</f>
        <v/>
      </c>
      <c r="BB4" s="15">
        <f>EDATE($B$3,35)</f>
        <v/>
      </c>
    </row>
    <row r="5" ht="42" customHeight="1">
      <c r="A5" s="16" t="inlineStr">
        <is>
          <t>Ejemplo</t>
        </is>
      </c>
      <c r="B5" s="16" t="inlineStr">
        <is>
          <t>Secuencia</t>
        </is>
      </c>
      <c r="C5" s="16" t="inlineStr">
        <is>
          <t>Fase del proyecto</t>
        </is>
      </c>
      <c r="D5" s="17" t="inlineStr">
        <is>
          <t>CWA</t>
        </is>
      </c>
      <c r="E5" s="16" t="inlineStr">
        <is>
          <t>CWP</t>
        </is>
      </c>
      <c r="F5" s="16" t="inlineStr">
        <is>
          <t>Descripción</t>
        </is>
      </c>
      <c r="G5" s="16" t="inlineStr">
        <is>
          <t>Disciplina</t>
        </is>
      </c>
      <c r="H5" s="16" t="inlineStr">
        <is>
          <t>HH estimadas</t>
        </is>
      </c>
      <c r="I5" s="16" t="inlineStr">
        <is>
          <t>Predecesor</t>
        </is>
      </c>
      <c r="J5" s="16" t="inlineStr">
        <is>
          <t>Inicio plan</t>
        </is>
      </c>
      <c r="K5" s="16" t="inlineStr">
        <is>
          <t>Duración (semanas)</t>
        </is>
      </c>
      <c r="L5" s="17" t="inlineStr">
        <is>
          <t>Fin plan</t>
        </is>
      </c>
      <c r="M5" s="17" t="inlineStr">
        <is>
          <t>EWP IFC requerido</t>
        </is>
      </c>
      <c r="N5" s="17" t="inlineStr">
        <is>
          <t>Emisión del CWP</t>
        </is>
      </c>
      <c r="O5" s="17" t="inlineStr">
        <is>
          <t>Materiales en obra (RAS)</t>
        </is>
      </c>
      <c r="P5" s="17" t="inlineStr">
        <is>
          <t>Control de secuencia</t>
        </is>
      </c>
      <c r="Q5" s="16" t="inlineStr">
        <is>
          <t>Sistema</t>
        </is>
      </c>
      <c r="R5" s="16" t="inlineStr">
        <is>
          <t>Justificación de la secuencia</t>
        </is>
      </c>
      <c r="S5" s="18" t="inlineStr">
        <is>
          <t>M1</t>
        </is>
      </c>
      <c r="T5" s="18" t="inlineStr">
        <is>
          <t>M2</t>
        </is>
      </c>
      <c r="U5" s="18" t="inlineStr">
        <is>
          <t>M3</t>
        </is>
      </c>
      <c r="V5" s="18" t="inlineStr">
        <is>
          <t>M4</t>
        </is>
      </c>
      <c r="W5" s="18" t="inlineStr">
        <is>
          <t>M5</t>
        </is>
      </c>
      <c r="X5" s="18" t="inlineStr">
        <is>
          <t>M6</t>
        </is>
      </c>
      <c r="Y5" s="18" t="inlineStr">
        <is>
          <t>M7</t>
        </is>
      </c>
      <c r="Z5" s="18" t="inlineStr">
        <is>
          <t>M8</t>
        </is>
      </c>
      <c r="AA5" s="18" t="inlineStr">
        <is>
          <t>M9</t>
        </is>
      </c>
      <c r="AB5" s="18" t="inlineStr">
        <is>
          <t>M10</t>
        </is>
      </c>
      <c r="AC5" s="18" t="inlineStr">
        <is>
          <t>M11</t>
        </is>
      </c>
      <c r="AD5" s="18" t="inlineStr">
        <is>
          <t>M12</t>
        </is>
      </c>
      <c r="AE5" s="18" t="inlineStr">
        <is>
          <t>M13</t>
        </is>
      </c>
      <c r="AF5" s="18" t="inlineStr">
        <is>
          <t>M14</t>
        </is>
      </c>
      <c r="AG5" s="18" t="inlineStr">
        <is>
          <t>M15</t>
        </is>
      </c>
      <c r="AH5" s="18" t="inlineStr">
        <is>
          <t>M16</t>
        </is>
      </c>
      <c r="AI5" s="18" t="inlineStr">
        <is>
          <t>M17</t>
        </is>
      </c>
      <c r="AJ5" s="18" t="inlineStr">
        <is>
          <t>M18</t>
        </is>
      </c>
      <c r="AK5" s="18" t="inlineStr">
        <is>
          <t>M19</t>
        </is>
      </c>
      <c r="AL5" s="18" t="inlineStr">
        <is>
          <t>M20</t>
        </is>
      </c>
      <c r="AM5" s="18" t="inlineStr">
        <is>
          <t>M21</t>
        </is>
      </c>
      <c r="AN5" s="18" t="inlineStr">
        <is>
          <t>M22</t>
        </is>
      </c>
      <c r="AO5" s="18" t="inlineStr">
        <is>
          <t>M23</t>
        </is>
      </c>
      <c r="AP5" s="18" t="inlineStr">
        <is>
          <t>M24</t>
        </is>
      </c>
      <c r="AQ5" s="18" t="inlineStr">
        <is>
          <t>M25</t>
        </is>
      </c>
      <c r="AR5" s="18" t="inlineStr">
        <is>
          <t>M26</t>
        </is>
      </c>
      <c r="AS5" s="18" t="inlineStr">
        <is>
          <t>M27</t>
        </is>
      </c>
      <c r="AT5" s="18" t="inlineStr">
        <is>
          <t>M28</t>
        </is>
      </c>
      <c r="AU5" s="18" t="inlineStr">
        <is>
          <t>M29</t>
        </is>
      </c>
      <c r="AV5" s="18" t="inlineStr">
        <is>
          <t>M30</t>
        </is>
      </c>
      <c r="AW5" s="18" t="inlineStr">
        <is>
          <t>M31</t>
        </is>
      </c>
      <c r="AX5" s="18" t="inlineStr">
        <is>
          <t>M32</t>
        </is>
      </c>
      <c r="AY5" s="18" t="inlineStr">
        <is>
          <t>M33</t>
        </is>
      </c>
      <c r="AZ5" s="18" t="inlineStr">
        <is>
          <t>M34</t>
        </is>
      </c>
      <c r="BA5" s="18" t="inlineStr">
        <is>
          <t>M35</t>
        </is>
      </c>
      <c r="BB5" s="18" t="inlineStr">
        <is>
          <t>M36</t>
        </is>
      </c>
    </row>
    <row r="6">
      <c r="A6" s="19" t="inlineStr">
        <is>
          <t>EJEMPLO</t>
        </is>
      </c>
      <c r="B6" s="20" t="n">
        <v>1</v>
      </c>
      <c r="C6" s="21" t="inlineStr">
        <is>
          <t>Fase 1</t>
        </is>
      </c>
      <c r="D6" s="22">
        <f>IF(E6="","","CWA-"&amp;MID(E6,5,4))</f>
        <v/>
      </c>
      <c r="E6" s="21" t="inlineStr">
        <is>
          <t>CWP-1.01-CIV-01</t>
        </is>
      </c>
      <c r="F6" s="23" t="inlineStr">
        <is>
          <t>Movimiento de tierras plataforma norte</t>
        </is>
      </c>
      <c r="G6" s="21" t="inlineStr">
        <is>
          <t>CIV</t>
        </is>
      </c>
      <c r="H6" s="20" t="n">
        <v>42000</v>
      </c>
      <c r="I6" s="21" t="inlineStr">
        <is>
          <t>—</t>
        </is>
      </c>
      <c r="J6" s="24" t="n">
        <v>46545</v>
      </c>
      <c r="K6" s="20" t="n">
        <v>7</v>
      </c>
      <c r="L6" s="25">
        <f>IF(OR(J6="",K6=""),"",J6+7*K6-1)</f>
        <v/>
      </c>
      <c r="M6" s="25">
        <f>IF(J6="","",J6-7*$E$3)</f>
        <v/>
      </c>
      <c r="N6" s="25">
        <f>IF(J6="","",J6-7*$H$3)</f>
        <v/>
      </c>
      <c r="O6" s="25">
        <f>IF(J6="","",J6-1*$K$3)</f>
        <v/>
      </c>
      <c r="P6" s="22">
        <f>IF(OR(E6="",I6="",I6="—"),IF(E6="","","OK"),IFERROR(IF(INDEX($L$6:$L$155,MATCH(I6,$E$6:$E$155,0))&gt;=J6,"Conflicto con predecesor","OK"),"Predecesor no encontrado"))</f>
        <v/>
      </c>
      <c r="Q6" s="21" t="inlineStr">
        <is>
          <t>Plataformas</t>
        </is>
      </c>
      <c r="R6" s="23" t="inlineStr">
        <is>
          <t>Libera la plataforma de la instalación principal para la Fase 2.</t>
        </is>
      </c>
      <c r="S6" s="26">
        <f>IF(OR(J6="",L6=""),"",IF(AND(J6&lt;=EOMONTH(S$4,0),L6&gt;=S$4),1,""))</f>
        <v/>
      </c>
      <c r="T6" s="26">
        <f>IF(OR(J6="",L6=""),"",IF(AND(J6&lt;=EOMONTH(T$4,0),L6&gt;=T$4),1,""))</f>
        <v/>
      </c>
      <c r="U6" s="26">
        <f>IF(OR(J6="",L6=""),"",IF(AND(J6&lt;=EOMONTH(U$4,0),L6&gt;=U$4),1,""))</f>
        <v/>
      </c>
      <c r="V6" s="26">
        <f>IF(OR(J6="",L6=""),"",IF(AND(J6&lt;=EOMONTH(V$4,0),L6&gt;=V$4),1,""))</f>
        <v/>
      </c>
      <c r="W6" s="26">
        <f>IF(OR(J6="",L6=""),"",IF(AND(J6&lt;=EOMONTH(W$4,0),L6&gt;=W$4),1,""))</f>
        <v/>
      </c>
      <c r="X6" s="26">
        <f>IF(OR(J6="",L6=""),"",IF(AND(J6&lt;=EOMONTH(X$4,0),L6&gt;=X$4),1,""))</f>
        <v/>
      </c>
      <c r="Y6" s="26">
        <f>IF(OR(J6="",L6=""),"",IF(AND(J6&lt;=EOMONTH(Y$4,0),L6&gt;=Y$4),1,""))</f>
        <v/>
      </c>
      <c r="Z6" s="26">
        <f>IF(OR(J6="",L6=""),"",IF(AND(J6&lt;=EOMONTH(Z$4,0),L6&gt;=Z$4),1,""))</f>
        <v/>
      </c>
      <c r="AA6" s="26">
        <f>IF(OR(J6="",L6=""),"",IF(AND(J6&lt;=EOMONTH(AA$4,0),L6&gt;=AA$4),1,""))</f>
        <v/>
      </c>
      <c r="AB6" s="26">
        <f>IF(OR(J6="",L6=""),"",IF(AND(J6&lt;=EOMONTH(AB$4,0),L6&gt;=AB$4),1,""))</f>
        <v/>
      </c>
      <c r="AC6" s="26">
        <f>IF(OR(J6="",L6=""),"",IF(AND(J6&lt;=EOMONTH(AC$4,0),L6&gt;=AC$4),1,""))</f>
        <v/>
      </c>
      <c r="AD6" s="26">
        <f>IF(OR(J6="",L6=""),"",IF(AND(J6&lt;=EOMONTH(AD$4,0),L6&gt;=AD$4),1,""))</f>
        <v/>
      </c>
      <c r="AE6" s="26">
        <f>IF(OR(J6="",L6=""),"",IF(AND(J6&lt;=EOMONTH(AE$4,0),L6&gt;=AE$4),1,""))</f>
        <v/>
      </c>
      <c r="AF6" s="26">
        <f>IF(OR(J6="",L6=""),"",IF(AND(J6&lt;=EOMONTH(AF$4,0),L6&gt;=AF$4),1,""))</f>
        <v/>
      </c>
      <c r="AG6" s="26">
        <f>IF(OR(J6="",L6=""),"",IF(AND(J6&lt;=EOMONTH(AG$4,0),L6&gt;=AG$4),1,""))</f>
        <v/>
      </c>
      <c r="AH6" s="26">
        <f>IF(OR(J6="",L6=""),"",IF(AND(J6&lt;=EOMONTH(AH$4,0),L6&gt;=AH$4),1,""))</f>
        <v/>
      </c>
      <c r="AI6" s="26">
        <f>IF(OR(J6="",L6=""),"",IF(AND(J6&lt;=EOMONTH(AI$4,0),L6&gt;=AI$4),1,""))</f>
        <v/>
      </c>
      <c r="AJ6" s="26">
        <f>IF(OR(J6="",L6=""),"",IF(AND(J6&lt;=EOMONTH(AJ$4,0),L6&gt;=AJ$4),1,""))</f>
        <v/>
      </c>
      <c r="AK6" s="26">
        <f>IF(OR(J6="",L6=""),"",IF(AND(J6&lt;=EOMONTH(AK$4,0),L6&gt;=AK$4),1,""))</f>
        <v/>
      </c>
      <c r="AL6" s="26">
        <f>IF(OR(J6="",L6=""),"",IF(AND(J6&lt;=EOMONTH(AL$4,0),L6&gt;=AL$4),1,""))</f>
        <v/>
      </c>
      <c r="AM6" s="26">
        <f>IF(OR(J6="",L6=""),"",IF(AND(J6&lt;=EOMONTH(AM$4,0),L6&gt;=AM$4),1,""))</f>
        <v/>
      </c>
      <c r="AN6" s="26">
        <f>IF(OR(J6="",L6=""),"",IF(AND(J6&lt;=EOMONTH(AN$4,0),L6&gt;=AN$4),1,""))</f>
        <v/>
      </c>
      <c r="AO6" s="26">
        <f>IF(OR(J6="",L6=""),"",IF(AND(J6&lt;=EOMONTH(AO$4,0),L6&gt;=AO$4),1,""))</f>
        <v/>
      </c>
      <c r="AP6" s="26">
        <f>IF(OR(J6="",L6=""),"",IF(AND(J6&lt;=EOMONTH(AP$4,0),L6&gt;=AP$4),1,""))</f>
        <v/>
      </c>
      <c r="AQ6" s="26">
        <f>IF(OR(J6="",L6=""),"",IF(AND(J6&lt;=EOMONTH(AQ$4,0),L6&gt;=AQ$4),1,""))</f>
        <v/>
      </c>
      <c r="AR6" s="26">
        <f>IF(OR(J6="",L6=""),"",IF(AND(J6&lt;=EOMONTH(AR$4,0),L6&gt;=AR$4),1,""))</f>
        <v/>
      </c>
      <c r="AS6" s="26">
        <f>IF(OR(J6="",L6=""),"",IF(AND(J6&lt;=EOMONTH(AS$4,0),L6&gt;=AS$4),1,""))</f>
        <v/>
      </c>
      <c r="AT6" s="26">
        <f>IF(OR(J6="",L6=""),"",IF(AND(J6&lt;=EOMONTH(AT$4,0),L6&gt;=AT$4),1,""))</f>
        <v/>
      </c>
      <c r="AU6" s="26">
        <f>IF(OR(J6="",L6=""),"",IF(AND(J6&lt;=EOMONTH(AU$4,0),L6&gt;=AU$4),1,""))</f>
        <v/>
      </c>
      <c r="AV6" s="26">
        <f>IF(OR(J6="",L6=""),"",IF(AND(J6&lt;=EOMONTH(AV$4,0),L6&gt;=AV$4),1,""))</f>
        <v/>
      </c>
      <c r="AW6" s="26">
        <f>IF(OR(J6="",L6=""),"",IF(AND(J6&lt;=EOMONTH(AW$4,0),L6&gt;=AW$4),1,""))</f>
        <v/>
      </c>
      <c r="AX6" s="26">
        <f>IF(OR(J6="",L6=""),"",IF(AND(J6&lt;=EOMONTH(AX$4,0),L6&gt;=AX$4),1,""))</f>
        <v/>
      </c>
      <c r="AY6" s="26">
        <f>IF(OR(J6="",L6=""),"",IF(AND(J6&lt;=EOMONTH(AY$4,0),L6&gt;=AY$4),1,""))</f>
        <v/>
      </c>
      <c r="AZ6" s="26">
        <f>IF(OR(J6="",L6=""),"",IF(AND(J6&lt;=EOMONTH(AZ$4,0),L6&gt;=AZ$4),1,""))</f>
        <v/>
      </c>
      <c r="BA6" s="26">
        <f>IF(OR(J6="",L6=""),"",IF(AND(J6&lt;=EOMONTH(BA$4,0),L6&gt;=BA$4),1,""))</f>
        <v/>
      </c>
      <c r="BB6" s="26">
        <f>IF(OR(J6="",L6=""),"",IF(AND(J6&lt;=EOMONTH(BB$4,0),L6&gt;=BB$4),1,""))</f>
        <v/>
      </c>
    </row>
    <row r="7">
      <c r="A7" s="19" t="inlineStr">
        <is>
          <t>EJEMPLO</t>
        </is>
      </c>
      <c r="B7" s="20" t="n">
        <v>2</v>
      </c>
      <c r="C7" s="21" t="inlineStr">
        <is>
          <t>Fase 1</t>
        </is>
      </c>
      <c r="D7" s="22">
        <f>IF(E7="","","CWA-"&amp;MID(E7,5,4))</f>
        <v/>
      </c>
      <c r="E7" s="21" t="inlineStr">
        <is>
          <t>CWP-1.02-TUB-01</t>
        </is>
      </c>
      <c r="F7" s="23" t="inlineStr">
        <is>
          <t>Redes de agua y desagüe</t>
        </is>
      </c>
      <c r="G7" s="21" t="inlineStr">
        <is>
          <t>TUB</t>
        </is>
      </c>
      <c r="H7" s="20" t="n">
        <v>26000</v>
      </c>
      <c r="I7" s="21" t="inlineStr">
        <is>
          <t>CWP-1.01-CIV-01</t>
        </is>
      </c>
      <c r="J7" s="24" t="n">
        <v>46601</v>
      </c>
      <c r="K7" s="20" t="n">
        <v>18</v>
      </c>
      <c r="L7" s="25">
        <f>IF(OR(J7="",K7=""),"",J7+7*K7-1)</f>
        <v/>
      </c>
      <c r="M7" s="25">
        <f>IF(J7="","",J7-7*$E$3)</f>
        <v/>
      </c>
      <c r="N7" s="25">
        <f>IF(J7="","",J7-7*$H$3)</f>
        <v/>
      </c>
      <c r="O7" s="25">
        <f>IF(J7="","",J7-1*$K$3)</f>
        <v/>
      </c>
      <c r="P7" s="22">
        <f>IF(OR(E7="",I7="",I7="—"),IF(E7="","","OK"),IFERROR(IF(INDEX($L$6:$L$155,MATCH(I7,$E$6:$E$155,0))&gt;=J7,"Conflicto con predecesor","OK"),"Predecesor no encontrado"))</f>
        <v/>
      </c>
      <c r="Q7" s="21" t="inlineStr">
        <is>
          <t>Agua y desagüe</t>
        </is>
      </c>
      <c r="R7" s="23" t="inlineStr">
        <is>
          <t>Redes enterradas antes de cimentaciones para evitar interferencias.</t>
        </is>
      </c>
      <c r="S7" s="26">
        <f>IF(OR(J7="",L7=""),"",IF(AND(J7&lt;=EOMONTH(S$4,0),L7&gt;=S$4),1,""))</f>
        <v/>
      </c>
      <c r="T7" s="26">
        <f>IF(OR(J7="",L7=""),"",IF(AND(J7&lt;=EOMONTH(T$4,0),L7&gt;=T$4),1,""))</f>
        <v/>
      </c>
      <c r="U7" s="26">
        <f>IF(OR(J7="",L7=""),"",IF(AND(J7&lt;=EOMONTH(U$4,0),L7&gt;=U$4),1,""))</f>
        <v/>
      </c>
      <c r="V7" s="26">
        <f>IF(OR(J7="",L7=""),"",IF(AND(J7&lt;=EOMONTH(V$4,0),L7&gt;=V$4),1,""))</f>
        <v/>
      </c>
      <c r="W7" s="26">
        <f>IF(OR(J7="",L7=""),"",IF(AND(J7&lt;=EOMONTH(W$4,0),L7&gt;=W$4),1,""))</f>
        <v/>
      </c>
      <c r="X7" s="26">
        <f>IF(OR(J7="",L7=""),"",IF(AND(J7&lt;=EOMONTH(X$4,0),L7&gt;=X$4),1,""))</f>
        <v/>
      </c>
      <c r="Y7" s="26">
        <f>IF(OR(J7="",L7=""),"",IF(AND(J7&lt;=EOMONTH(Y$4,0),L7&gt;=Y$4),1,""))</f>
        <v/>
      </c>
      <c r="Z7" s="26">
        <f>IF(OR(J7="",L7=""),"",IF(AND(J7&lt;=EOMONTH(Z$4,0),L7&gt;=Z$4),1,""))</f>
        <v/>
      </c>
      <c r="AA7" s="26">
        <f>IF(OR(J7="",L7=""),"",IF(AND(J7&lt;=EOMONTH(AA$4,0),L7&gt;=AA$4),1,""))</f>
        <v/>
      </c>
      <c r="AB7" s="26">
        <f>IF(OR(J7="",L7=""),"",IF(AND(J7&lt;=EOMONTH(AB$4,0),L7&gt;=AB$4),1,""))</f>
        <v/>
      </c>
      <c r="AC7" s="26">
        <f>IF(OR(J7="",L7=""),"",IF(AND(J7&lt;=EOMONTH(AC$4,0),L7&gt;=AC$4),1,""))</f>
        <v/>
      </c>
      <c r="AD7" s="26">
        <f>IF(OR(J7="",L7=""),"",IF(AND(J7&lt;=EOMONTH(AD$4,0),L7&gt;=AD$4),1,""))</f>
        <v/>
      </c>
      <c r="AE7" s="26">
        <f>IF(OR(J7="",L7=""),"",IF(AND(J7&lt;=EOMONTH(AE$4,0),L7&gt;=AE$4),1,""))</f>
        <v/>
      </c>
      <c r="AF7" s="26">
        <f>IF(OR(J7="",L7=""),"",IF(AND(J7&lt;=EOMONTH(AF$4,0),L7&gt;=AF$4),1,""))</f>
        <v/>
      </c>
      <c r="AG7" s="26">
        <f>IF(OR(J7="",L7=""),"",IF(AND(J7&lt;=EOMONTH(AG$4,0),L7&gt;=AG$4),1,""))</f>
        <v/>
      </c>
      <c r="AH7" s="26">
        <f>IF(OR(J7="",L7=""),"",IF(AND(J7&lt;=EOMONTH(AH$4,0),L7&gt;=AH$4),1,""))</f>
        <v/>
      </c>
      <c r="AI7" s="26">
        <f>IF(OR(J7="",L7=""),"",IF(AND(J7&lt;=EOMONTH(AI$4,0),L7&gt;=AI$4),1,""))</f>
        <v/>
      </c>
      <c r="AJ7" s="26">
        <f>IF(OR(J7="",L7=""),"",IF(AND(J7&lt;=EOMONTH(AJ$4,0),L7&gt;=AJ$4),1,""))</f>
        <v/>
      </c>
      <c r="AK7" s="26">
        <f>IF(OR(J7="",L7=""),"",IF(AND(J7&lt;=EOMONTH(AK$4,0),L7&gt;=AK$4),1,""))</f>
        <v/>
      </c>
      <c r="AL7" s="26">
        <f>IF(OR(J7="",L7=""),"",IF(AND(J7&lt;=EOMONTH(AL$4,0),L7&gt;=AL$4),1,""))</f>
        <v/>
      </c>
      <c r="AM7" s="26">
        <f>IF(OR(J7="",L7=""),"",IF(AND(J7&lt;=EOMONTH(AM$4,0),L7&gt;=AM$4),1,""))</f>
        <v/>
      </c>
      <c r="AN7" s="26">
        <f>IF(OR(J7="",L7=""),"",IF(AND(J7&lt;=EOMONTH(AN$4,0),L7&gt;=AN$4),1,""))</f>
        <v/>
      </c>
      <c r="AO7" s="26">
        <f>IF(OR(J7="",L7=""),"",IF(AND(J7&lt;=EOMONTH(AO$4,0),L7&gt;=AO$4),1,""))</f>
        <v/>
      </c>
      <c r="AP7" s="26">
        <f>IF(OR(J7="",L7=""),"",IF(AND(J7&lt;=EOMONTH(AP$4,0),L7&gt;=AP$4),1,""))</f>
        <v/>
      </c>
      <c r="AQ7" s="26">
        <f>IF(OR(J7="",L7=""),"",IF(AND(J7&lt;=EOMONTH(AQ$4,0),L7&gt;=AQ$4),1,""))</f>
        <v/>
      </c>
      <c r="AR7" s="26">
        <f>IF(OR(J7="",L7=""),"",IF(AND(J7&lt;=EOMONTH(AR$4,0),L7&gt;=AR$4),1,""))</f>
        <v/>
      </c>
      <c r="AS7" s="26">
        <f>IF(OR(J7="",L7=""),"",IF(AND(J7&lt;=EOMONTH(AS$4,0),L7&gt;=AS$4),1,""))</f>
        <v/>
      </c>
      <c r="AT7" s="26">
        <f>IF(OR(J7="",L7=""),"",IF(AND(J7&lt;=EOMONTH(AT$4,0),L7&gt;=AT$4),1,""))</f>
        <v/>
      </c>
      <c r="AU7" s="26">
        <f>IF(OR(J7="",L7=""),"",IF(AND(J7&lt;=EOMONTH(AU$4,0),L7&gt;=AU$4),1,""))</f>
        <v/>
      </c>
      <c r="AV7" s="26">
        <f>IF(OR(J7="",L7=""),"",IF(AND(J7&lt;=EOMONTH(AV$4,0),L7&gt;=AV$4),1,""))</f>
        <v/>
      </c>
      <c r="AW7" s="26">
        <f>IF(OR(J7="",L7=""),"",IF(AND(J7&lt;=EOMONTH(AW$4,0),L7&gt;=AW$4),1,""))</f>
        <v/>
      </c>
      <c r="AX7" s="26">
        <f>IF(OR(J7="",L7=""),"",IF(AND(J7&lt;=EOMONTH(AX$4,0),L7&gt;=AX$4),1,""))</f>
        <v/>
      </c>
      <c r="AY7" s="26">
        <f>IF(OR(J7="",L7=""),"",IF(AND(J7&lt;=EOMONTH(AY$4,0),L7&gt;=AY$4),1,""))</f>
        <v/>
      </c>
      <c r="AZ7" s="26">
        <f>IF(OR(J7="",L7=""),"",IF(AND(J7&lt;=EOMONTH(AZ$4,0),L7&gt;=AZ$4),1,""))</f>
        <v/>
      </c>
      <c r="BA7" s="26">
        <f>IF(OR(J7="",L7=""),"",IF(AND(J7&lt;=EOMONTH(BA$4,0),L7&gt;=BA$4),1,""))</f>
        <v/>
      </c>
      <c r="BB7" s="26">
        <f>IF(OR(J7="",L7=""),"",IF(AND(J7&lt;=EOMONTH(BB$4,0),L7&gt;=BB$4),1,""))</f>
        <v/>
      </c>
    </row>
    <row r="8">
      <c r="A8" s="19" t="inlineStr">
        <is>
          <t>EJEMPLO</t>
        </is>
      </c>
      <c r="B8" s="20" t="n">
        <v>3</v>
      </c>
      <c r="C8" s="21" t="inlineStr">
        <is>
          <t>Fase 1</t>
        </is>
      </c>
      <c r="D8" s="22">
        <f>IF(E8="","","CWA-"&amp;MID(E8,5,4))</f>
        <v/>
      </c>
      <c r="E8" s="21" t="inlineStr">
        <is>
          <t>CWP-1.02-ELE-01</t>
        </is>
      </c>
      <c r="F8" s="23" t="inlineStr">
        <is>
          <t>Bancos de ductos eléctricos</t>
        </is>
      </c>
      <c r="G8" s="21" t="inlineStr">
        <is>
          <t>ELE</t>
        </is>
      </c>
      <c r="H8" s="20" t="n">
        <v>18000</v>
      </c>
      <c r="I8" s="21" t="inlineStr">
        <is>
          <t>CWP-1.01-CIV-01</t>
        </is>
      </c>
      <c r="J8" s="24" t="n">
        <v>46615</v>
      </c>
      <c r="K8" s="20" t="n">
        <v>16</v>
      </c>
      <c r="L8" s="25">
        <f>IF(OR(J8="",K8=""),"",J8+7*K8-1)</f>
        <v/>
      </c>
      <c r="M8" s="25">
        <f>IF(J8="","",J8-7*$E$3)</f>
        <v/>
      </c>
      <c r="N8" s="25">
        <f>IF(J8="","",J8-7*$H$3)</f>
        <v/>
      </c>
      <c r="O8" s="25">
        <f>IF(J8="","",J8-1*$K$3)</f>
        <v/>
      </c>
      <c r="P8" s="22">
        <f>IF(OR(E8="",I8="",I8="—"),IF(E8="","","OK"),IFERROR(IF(INDEX($L$6:$L$155,MATCH(I8,$E$6:$E$155,0))&gt;=J8,"Conflicto con predecesor","OK"),"Predecesor no encontrado"))</f>
        <v/>
      </c>
      <c r="Q8" s="21" t="inlineStr">
        <is>
          <t>Energía de obra</t>
        </is>
      </c>
      <c r="R8" s="23" t="inlineStr">
        <is>
          <t>Alimenta la subestación de obra y la futura sala eléctrica.</t>
        </is>
      </c>
      <c r="S8" s="26">
        <f>IF(OR(J8="",L8=""),"",IF(AND(J8&lt;=EOMONTH(S$4,0),L8&gt;=S$4),1,""))</f>
        <v/>
      </c>
      <c r="T8" s="26">
        <f>IF(OR(J8="",L8=""),"",IF(AND(J8&lt;=EOMONTH(T$4,0),L8&gt;=T$4),1,""))</f>
        <v/>
      </c>
      <c r="U8" s="26">
        <f>IF(OR(J8="",L8=""),"",IF(AND(J8&lt;=EOMONTH(U$4,0),L8&gt;=U$4),1,""))</f>
        <v/>
      </c>
      <c r="V8" s="26">
        <f>IF(OR(J8="",L8=""),"",IF(AND(J8&lt;=EOMONTH(V$4,0),L8&gt;=V$4),1,""))</f>
        <v/>
      </c>
      <c r="W8" s="26">
        <f>IF(OR(J8="",L8=""),"",IF(AND(J8&lt;=EOMONTH(W$4,0),L8&gt;=W$4),1,""))</f>
        <v/>
      </c>
      <c r="X8" s="26">
        <f>IF(OR(J8="",L8=""),"",IF(AND(J8&lt;=EOMONTH(X$4,0),L8&gt;=X$4),1,""))</f>
        <v/>
      </c>
      <c r="Y8" s="26">
        <f>IF(OR(J8="",L8=""),"",IF(AND(J8&lt;=EOMONTH(Y$4,0),L8&gt;=Y$4),1,""))</f>
        <v/>
      </c>
      <c r="Z8" s="26">
        <f>IF(OR(J8="",L8=""),"",IF(AND(J8&lt;=EOMONTH(Z$4,0),L8&gt;=Z$4),1,""))</f>
        <v/>
      </c>
      <c r="AA8" s="26">
        <f>IF(OR(J8="",L8=""),"",IF(AND(J8&lt;=EOMONTH(AA$4,0),L8&gt;=AA$4),1,""))</f>
        <v/>
      </c>
      <c r="AB8" s="26">
        <f>IF(OR(J8="",L8=""),"",IF(AND(J8&lt;=EOMONTH(AB$4,0),L8&gt;=AB$4),1,""))</f>
        <v/>
      </c>
      <c r="AC8" s="26">
        <f>IF(OR(J8="",L8=""),"",IF(AND(J8&lt;=EOMONTH(AC$4,0),L8&gt;=AC$4),1,""))</f>
        <v/>
      </c>
      <c r="AD8" s="26">
        <f>IF(OR(J8="",L8=""),"",IF(AND(J8&lt;=EOMONTH(AD$4,0),L8&gt;=AD$4),1,""))</f>
        <v/>
      </c>
      <c r="AE8" s="26">
        <f>IF(OR(J8="",L8=""),"",IF(AND(J8&lt;=EOMONTH(AE$4,0),L8&gt;=AE$4),1,""))</f>
        <v/>
      </c>
      <c r="AF8" s="26">
        <f>IF(OR(J8="",L8=""),"",IF(AND(J8&lt;=EOMONTH(AF$4,0),L8&gt;=AF$4),1,""))</f>
        <v/>
      </c>
      <c r="AG8" s="26">
        <f>IF(OR(J8="",L8=""),"",IF(AND(J8&lt;=EOMONTH(AG$4,0),L8&gt;=AG$4),1,""))</f>
        <v/>
      </c>
      <c r="AH8" s="26">
        <f>IF(OR(J8="",L8=""),"",IF(AND(J8&lt;=EOMONTH(AH$4,0),L8&gt;=AH$4),1,""))</f>
        <v/>
      </c>
      <c r="AI8" s="26">
        <f>IF(OR(J8="",L8=""),"",IF(AND(J8&lt;=EOMONTH(AI$4,0),L8&gt;=AI$4),1,""))</f>
        <v/>
      </c>
      <c r="AJ8" s="26">
        <f>IF(OR(J8="",L8=""),"",IF(AND(J8&lt;=EOMONTH(AJ$4,0),L8&gt;=AJ$4),1,""))</f>
        <v/>
      </c>
      <c r="AK8" s="26">
        <f>IF(OR(J8="",L8=""),"",IF(AND(J8&lt;=EOMONTH(AK$4,0),L8&gt;=AK$4),1,""))</f>
        <v/>
      </c>
      <c r="AL8" s="26">
        <f>IF(OR(J8="",L8=""),"",IF(AND(J8&lt;=EOMONTH(AL$4,0),L8&gt;=AL$4),1,""))</f>
        <v/>
      </c>
      <c r="AM8" s="26">
        <f>IF(OR(J8="",L8=""),"",IF(AND(J8&lt;=EOMONTH(AM$4,0),L8&gt;=AM$4),1,""))</f>
        <v/>
      </c>
      <c r="AN8" s="26">
        <f>IF(OR(J8="",L8=""),"",IF(AND(J8&lt;=EOMONTH(AN$4,0),L8&gt;=AN$4),1,""))</f>
        <v/>
      </c>
      <c r="AO8" s="26">
        <f>IF(OR(J8="",L8=""),"",IF(AND(J8&lt;=EOMONTH(AO$4,0),L8&gt;=AO$4),1,""))</f>
        <v/>
      </c>
      <c r="AP8" s="26">
        <f>IF(OR(J8="",L8=""),"",IF(AND(J8&lt;=EOMONTH(AP$4,0),L8&gt;=AP$4),1,""))</f>
        <v/>
      </c>
      <c r="AQ8" s="26">
        <f>IF(OR(J8="",L8=""),"",IF(AND(J8&lt;=EOMONTH(AQ$4,0),L8&gt;=AQ$4),1,""))</f>
        <v/>
      </c>
      <c r="AR8" s="26">
        <f>IF(OR(J8="",L8=""),"",IF(AND(J8&lt;=EOMONTH(AR$4,0),L8&gt;=AR$4),1,""))</f>
        <v/>
      </c>
      <c r="AS8" s="26">
        <f>IF(OR(J8="",L8=""),"",IF(AND(J8&lt;=EOMONTH(AS$4,0),L8&gt;=AS$4),1,""))</f>
        <v/>
      </c>
      <c r="AT8" s="26">
        <f>IF(OR(J8="",L8=""),"",IF(AND(J8&lt;=EOMONTH(AT$4,0),L8&gt;=AT$4),1,""))</f>
        <v/>
      </c>
      <c r="AU8" s="26">
        <f>IF(OR(J8="",L8=""),"",IF(AND(J8&lt;=EOMONTH(AU$4,0),L8&gt;=AU$4),1,""))</f>
        <v/>
      </c>
      <c r="AV8" s="26">
        <f>IF(OR(J8="",L8=""),"",IF(AND(J8&lt;=EOMONTH(AV$4,0),L8&gt;=AV$4),1,""))</f>
        <v/>
      </c>
      <c r="AW8" s="26">
        <f>IF(OR(J8="",L8=""),"",IF(AND(J8&lt;=EOMONTH(AW$4,0),L8&gt;=AW$4),1,""))</f>
        <v/>
      </c>
      <c r="AX8" s="26">
        <f>IF(OR(J8="",L8=""),"",IF(AND(J8&lt;=EOMONTH(AX$4,0),L8&gt;=AX$4),1,""))</f>
        <v/>
      </c>
      <c r="AY8" s="26">
        <f>IF(OR(J8="",L8=""),"",IF(AND(J8&lt;=EOMONTH(AY$4,0),L8&gt;=AY$4),1,""))</f>
        <v/>
      </c>
      <c r="AZ8" s="26">
        <f>IF(OR(J8="",L8=""),"",IF(AND(J8&lt;=EOMONTH(AZ$4,0),L8&gt;=AZ$4),1,""))</f>
        <v/>
      </c>
      <c r="BA8" s="26">
        <f>IF(OR(J8="",L8=""),"",IF(AND(J8&lt;=EOMONTH(BA$4,0),L8&gt;=BA$4),1,""))</f>
        <v/>
      </c>
      <c r="BB8" s="26">
        <f>IF(OR(J8="",L8=""),"",IF(AND(J8&lt;=EOMONTH(BB$4,0),L8&gt;=BB$4),1,""))</f>
        <v/>
      </c>
    </row>
    <row r="9">
      <c r="A9" s="19" t="inlineStr">
        <is>
          <t>EJEMPLO</t>
        </is>
      </c>
      <c r="B9" s="20" t="n">
        <v>4</v>
      </c>
      <c r="C9" s="21" t="inlineStr">
        <is>
          <t>Fase 2</t>
        </is>
      </c>
      <c r="D9" s="22">
        <f>IF(E9="","","CWA-"&amp;MID(E9,5,4))</f>
        <v/>
      </c>
      <c r="E9" s="21" t="inlineStr">
        <is>
          <t>CWP-2.03-ELE-01</t>
        </is>
      </c>
      <c r="F9" s="23" t="inlineStr">
        <is>
          <t>Equipos y cableado de sala eléctrica</t>
        </is>
      </c>
      <c r="G9" s="21" t="inlineStr">
        <is>
          <t>ELE</t>
        </is>
      </c>
      <c r="H9" s="20" t="n">
        <v>30000</v>
      </c>
      <c r="I9" s="21" t="inlineStr">
        <is>
          <t>CWP-1.02-ELE-01</t>
        </is>
      </c>
      <c r="J9" s="24" t="n">
        <v>46818</v>
      </c>
      <c r="K9" s="20" t="n">
        <v>30</v>
      </c>
      <c r="L9" s="25">
        <f>IF(OR(J9="",K9=""),"",J9+7*K9-1)</f>
        <v/>
      </c>
      <c r="M9" s="25">
        <f>IF(J9="","",J9-7*$E$3)</f>
        <v/>
      </c>
      <c r="N9" s="25">
        <f>IF(J9="","",J9-7*$H$3)</f>
        <v/>
      </c>
      <c r="O9" s="25">
        <f>IF(J9="","",J9-1*$K$3)</f>
        <v/>
      </c>
      <c r="P9" s="22">
        <f>IF(OR(E9="",I9="",I9="—"),IF(E9="","","OK"),IFERROR(IF(INDEX($L$6:$L$155,MATCH(I9,$E$6:$E$155,0))&gt;=J9,"Conflicto con predecesor","OK"),"Predecesor no encontrado"))</f>
        <v/>
      </c>
      <c r="Q9" s="21" t="inlineStr">
        <is>
          <t>Distribución eléctrica</t>
        </is>
      </c>
      <c r="R9" s="23" t="inlineStr">
        <is>
          <t>Energización temprana para pruebas de los bloques A y B.</t>
        </is>
      </c>
      <c r="S9" s="26">
        <f>IF(OR(J9="",L9=""),"",IF(AND(J9&lt;=EOMONTH(S$4,0),L9&gt;=S$4),1,""))</f>
        <v/>
      </c>
      <c r="T9" s="26">
        <f>IF(OR(J9="",L9=""),"",IF(AND(J9&lt;=EOMONTH(T$4,0),L9&gt;=T$4),1,""))</f>
        <v/>
      </c>
      <c r="U9" s="26">
        <f>IF(OR(J9="",L9=""),"",IF(AND(J9&lt;=EOMONTH(U$4,0),L9&gt;=U$4),1,""))</f>
        <v/>
      </c>
      <c r="V9" s="26">
        <f>IF(OR(J9="",L9=""),"",IF(AND(J9&lt;=EOMONTH(V$4,0),L9&gt;=V$4),1,""))</f>
        <v/>
      </c>
      <c r="W9" s="26">
        <f>IF(OR(J9="",L9=""),"",IF(AND(J9&lt;=EOMONTH(W$4,0),L9&gt;=W$4),1,""))</f>
        <v/>
      </c>
      <c r="X9" s="26">
        <f>IF(OR(J9="",L9=""),"",IF(AND(J9&lt;=EOMONTH(X$4,0),L9&gt;=X$4),1,""))</f>
        <v/>
      </c>
      <c r="Y9" s="26">
        <f>IF(OR(J9="",L9=""),"",IF(AND(J9&lt;=EOMONTH(Y$4,0),L9&gt;=Y$4),1,""))</f>
        <v/>
      </c>
      <c r="Z9" s="26">
        <f>IF(OR(J9="",L9=""),"",IF(AND(J9&lt;=EOMONTH(Z$4,0),L9&gt;=Z$4),1,""))</f>
        <v/>
      </c>
      <c r="AA9" s="26">
        <f>IF(OR(J9="",L9=""),"",IF(AND(J9&lt;=EOMONTH(AA$4,0),L9&gt;=AA$4),1,""))</f>
        <v/>
      </c>
      <c r="AB9" s="26">
        <f>IF(OR(J9="",L9=""),"",IF(AND(J9&lt;=EOMONTH(AB$4,0),L9&gt;=AB$4),1,""))</f>
        <v/>
      </c>
      <c r="AC9" s="26">
        <f>IF(OR(J9="",L9=""),"",IF(AND(J9&lt;=EOMONTH(AC$4,0),L9&gt;=AC$4),1,""))</f>
        <v/>
      </c>
      <c r="AD9" s="26">
        <f>IF(OR(J9="",L9=""),"",IF(AND(J9&lt;=EOMONTH(AD$4,0),L9&gt;=AD$4),1,""))</f>
        <v/>
      </c>
      <c r="AE9" s="26">
        <f>IF(OR(J9="",L9=""),"",IF(AND(J9&lt;=EOMONTH(AE$4,0),L9&gt;=AE$4),1,""))</f>
        <v/>
      </c>
      <c r="AF9" s="26">
        <f>IF(OR(J9="",L9=""),"",IF(AND(J9&lt;=EOMONTH(AF$4,0),L9&gt;=AF$4),1,""))</f>
        <v/>
      </c>
      <c r="AG9" s="26">
        <f>IF(OR(J9="",L9=""),"",IF(AND(J9&lt;=EOMONTH(AG$4,0),L9&gt;=AG$4),1,""))</f>
        <v/>
      </c>
      <c r="AH9" s="26">
        <f>IF(OR(J9="",L9=""),"",IF(AND(J9&lt;=EOMONTH(AH$4,0),L9&gt;=AH$4),1,""))</f>
        <v/>
      </c>
      <c r="AI9" s="26">
        <f>IF(OR(J9="",L9=""),"",IF(AND(J9&lt;=EOMONTH(AI$4,0),L9&gt;=AI$4),1,""))</f>
        <v/>
      </c>
      <c r="AJ9" s="26">
        <f>IF(OR(J9="",L9=""),"",IF(AND(J9&lt;=EOMONTH(AJ$4,0),L9&gt;=AJ$4),1,""))</f>
        <v/>
      </c>
      <c r="AK9" s="26">
        <f>IF(OR(J9="",L9=""),"",IF(AND(J9&lt;=EOMONTH(AK$4,0),L9&gt;=AK$4),1,""))</f>
        <v/>
      </c>
      <c r="AL9" s="26">
        <f>IF(OR(J9="",L9=""),"",IF(AND(J9&lt;=EOMONTH(AL$4,0),L9&gt;=AL$4),1,""))</f>
        <v/>
      </c>
      <c r="AM9" s="26">
        <f>IF(OR(J9="",L9=""),"",IF(AND(J9&lt;=EOMONTH(AM$4,0),L9&gt;=AM$4),1,""))</f>
        <v/>
      </c>
      <c r="AN9" s="26">
        <f>IF(OR(J9="",L9=""),"",IF(AND(J9&lt;=EOMONTH(AN$4,0),L9&gt;=AN$4),1,""))</f>
        <v/>
      </c>
      <c r="AO9" s="26">
        <f>IF(OR(J9="",L9=""),"",IF(AND(J9&lt;=EOMONTH(AO$4,0),L9&gt;=AO$4),1,""))</f>
        <v/>
      </c>
      <c r="AP9" s="26">
        <f>IF(OR(J9="",L9=""),"",IF(AND(J9&lt;=EOMONTH(AP$4,0),L9&gt;=AP$4),1,""))</f>
        <v/>
      </c>
      <c r="AQ9" s="26">
        <f>IF(OR(J9="",L9=""),"",IF(AND(J9&lt;=EOMONTH(AQ$4,0),L9&gt;=AQ$4),1,""))</f>
        <v/>
      </c>
      <c r="AR9" s="26">
        <f>IF(OR(J9="",L9=""),"",IF(AND(J9&lt;=EOMONTH(AR$4,0),L9&gt;=AR$4),1,""))</f>
        <v/>
      </c>
      <c r="AS9" s="26">
        <f>IF(OR(J9="",L9=""),"",IF(AND(J9&lt;=EOMONTH(AS$4,0),L9&gt;=AS$4),1,""))</f>
        <v/>
      </c>
      <c r="AT9" s="26">
        <f>IF(OR(J9="",L9=""),"",IF(AND(J9&lt;=EOMONTH(AT$4,0),L9&gt;=AT$4),1,""))</f>
        <v/>
      </c>
      <c r="AU9" s="26">
        <f>IF(OR(J9="",L9=""),"",IF(AND(J9&lt;=EOMONTH(AU$4,0),L9&gt;=AU$4),1,""))</f>
        <v/>
      </c>
      <c r="AV9" s="26">
        <f>IF(OR(J9="",L9=""),"",IF(AND(J9&lt;=EOMONTH(AV$4,0),L9&gt;=AV$4),1,""))</f>
        <v/>
      </c>
      <c r="AW9" s="26">
        <f>IF(OR(J9="",L9=""),"",IF(AND(J9&lt;=EOMONTH(AW$4,0),L9&gt;=AW$4),1,""))</f>
        <v/>
      </c>
      <c r="AX9" s="26">
        <f>IF(OR(J9="",L9=""),"",IF(AND(J9&lt;=EOMONTH(AX$4,0),L9&gt;=AX$4),1,""))</f>
        <v/>
      </c>
      <c r="AY9" s="26">
        <f>IF(OR(J9="",L9=""),"",IF(AND(J9&lt;=EOMONTH(AY$4,0),L9&gt;=AY$4),1,""))</f>
        <v/>
      </c>
      <c r="AZ9" s="26">
        <f>IF(OR(J9="",L9=""),"",IF(AND(J9&lt;=EOMONTH(AZ$4,0),L9&gt;=AZ$4),1,""))</f>
        <v/>
      </c>
      <c r="BA9" s="26">
        <f>IF(OR(J9="",L9=""),"",IF(AND(J9&lt;=EOMONTH(BA$4,0),L9&gt;=BA$4),1,""))</f>
        <v/>
      </c>
      <c r="BB9" s="26">
        <f>IF(OR(J9="",L9=""),"",IF(AND(J9&lt;=EOMONTH(BB$4,0),L9&gt;=BB$4),1,""))</f>
        <v/>
      </c>
    </row>
    <row r="10">
      <c r="A10" s="19" t="inlineStr">
        <is>
          <t>EJEMPLO</t>
        </is>
      </c>
      <c r="B10" s="20" t="n">
        <v>5</v>
      </c>
      <c r="C10" s="21" t="inlineStr">
        <is>
          <t>Fase 2</t>
        </is>
      </c>
      <c r="D10" s="22">
        <f>IF(E10="","","CWA-"&amp;MID(E10,5,4))</f>
        <v/>
      </c>
      <c r="E10" s="21" t="inlineStr">
        <is>
          <t>CWP-2.01-CIV-01</t>
        </is>
      </c>
      <c r="F10" s="23" t="inlineStr">
        <is>
          <t>Cimentaciones bloque A</t>
        </is>
      </c>
      <c r="G10" s="21" t="inlineStr">
        <is>
          <t>CIV</t>
        </is>
      </c>
      <c r="H10" s="20" t="n">
        <v>36000</v>
      </c>
      <c r="I10" s="21" t="inlineStr">
        <is>
          <t>CWP-1.01-CIV-01</t>
        </is>
      </c>
      <c r="J10" s="24" t="n">
        <v>46790</v>
      </c>
      <c r="K10" s="20" t="n">
        <v>11</v>
      </c>
      <c r="L10" s="25">
        <f>IF(OR(J10="",K10=""),"",J10+7*K10-1)</f>
        <v/>
      </c>
      <c r="M10" s="25">
        <f>IF(J10="","",J10-7*$E$3)</f>
        <v/>
      </c>
      <c r="N10" s="25">
        <f>IF(J10="","",J10-7*$H$3)</f>
        <v/>
      </c>
      <c r="O10" s="25">
        <f>IF(J10="","",J10-1*$K$3)</f>
        <v/>
      </c>
      <c r="P10" s="22">
        <f>IF(OR(E10="",I10="",I10="—"),IF(E10="","","OK"),IFERROR(IF(INDEX($L$6:$L$155,MATCH(I10,$E$6:$E$155,0))&gt;=J10,"Conflicto con predecesor","OK"),"Predecesor no encontrado"))</f>
        <v/>
      </c>
      <c r="Q10" s="21" t="inlineStr">
        <is>
          <t>Estructura bloque A</t>
        </is>
      </c>
      <c r="R10" s="23" t="inlineStr">
        <is>
          <t>Primer frente de la instalación principal.</t>
        </is>
      </c>
      <c r="S10" s="26">
        <f>IF(OR(J10="",L10=""),"",IF(AND(J10&lt;=EOMONTH(S$4,0),L10&gt;=S$4),1,""))</f>
        <v/>
      </c>
      <c r="T10" s="26">
        <f>IF(OR(J10="",L10=""),"",IF(AND(J10&lt;=EOMONTH(T$4,0),L10&gt;=T$4),1,""))</f>
        <v/>
      </c>
      <c r="U10" s="26">
        <f>IF(OR(J10="",L10=""),"",IF(AND(J10&lt;=EOMONTH(U$4,0),L10&gt;=U$4),1,""))</f>
        <v/>
      </c>
      <c r="V10" s="26">
        <f>IF(OR(J10="",L10=""),"",IF(AND(J10&lt;=EOMONTH(V$4,0),L10&gt;=V$4),1,""))</f>
        <v/>
      </c>
      <c r="W10" s="26">
        <f>IF(OR(J10="",L10=""),"",IF(AND(J10&lt;=EOMONTH(W$4,0),L10&gt;=W$4),1,""))</f>
        <v/>
      </c>
      <c r="X10" s="26">
        <f>IF(OR(J10="",L10=""),"",IF(AND(J10&lt;=EOMONTH(X$4,0),L10&gt;=X$4),1,""))</f>
        <v/>
      </c>
      <c r="Y10" s="26">
        <f>IF(OR(J10="",L10=""),"",IF(AND(J10&lt;=EOMONTH(Y$4,0),L10&gt;=Y$4),1,""))</f>
        <v/>
      </c>
      <c r="Z10" s="26">
        <f>IF(OR(J10="",L10=""),"",IF(AND(J10&lt;=EOMONTH(Z$4,0),L10&gt;=Z$4),1,""))</f>
        <v/>
      </c>
      <c r="AA10" s="26">
        <f>IF(OR(J10="",L10=""),"",IF(AND(J10&lt;=EOMONTH(AA$4,0),L10&gt;=AA$4),1,""))</f>
        <v/>
      </c>
      <c r="AB10" s="26">
        <f>IF(OR(J10="",L10=""),"",IF(AND(J10&lt;=EOMONTH(AB$4,0),L10&gt;=AB$4),1,""))</f>
        <v/>
      </c>
      <c r="AC10" s="26">
        <f>IF(OR(J10="",L10=""),"",IF(AND(J10&lt;=EOMONTH(AC$4,0),L10&gt;=AC$4),1,""))</f>
        <v/>
      </c>
      <c r="AD10" s="26">
        <f>IF(OR(J10="",L10=""),"",IF(AND(J10&lt;=EOMONTH(AD$4,0),L10&gt;=AD$4),1,""))</f>
        <v/>
      </c>
      <c r="AE10" s="26">
        <f>IF(OR(J10="",L10=""),"",IF(AND(J10&lt;=EOMONTH(AE$4,0),L10&gt;=AE$4),1,""))</f>
        <v/>
      </c>
      <c r="AF10" s="26">
        <f>IF(OR(J10="",L10=""),"",IF(AND(J10&lt;=EOMONTH(AF$4,0),L10&gt;=AF$4),1,""))</f>
        <v/>
      </c>
      <c r="AG10" s="26">
        <f>IF(OR(J10="",L10=""),"",IF(AND(J10&lt;=EOMONTH(AG$4,0),L10&gt;=AG$4),1,""))</f>
        <v/>
      </c>
      <c r="AH10" s="26">
        <f>IF(OR(J10="",L10=""),"",IF(AND(J10&lt;=EOMONTH(AH$4,0),L10&gt;=AH$4),1,""))</f>
        <v/>
      </c>
      <c r="AI10" s="26">
        <f>IF(OR(J10="",L10=""),"",IF(AND(J10&lt;=EOMONTH(AI$4,0),L10&gt;=AI$4),1,""))</f>
        <v/>
      </c>
      <c r="AJ10" s="26">
        <f>IF(OR(J10="",L10=""),"",IF(AND(J10&lt;=EOMONTH(AJ$4,0),L10&gt;=AJ$4),1,""))</f>
        <v/>
      </c>
      <c r="AK10" s="26">
        <f>IF(OR(J10="",L10=""),"",IF(AND(J10&lt;=EOMONTH(AK$4,0),L10&gt;=AK$4),1,""))</f>
        <v/>
      </c>
      <c r="AL10" s="26">
        <f>IF(OR(J10="",L10=""),"",IF(AND(J10&lt;=EOMONTH(AL$4,0),L10&gt;=AL$4),1,""))</f>
        <v/>
      </c>
      <c r="AM10" s="26">
        <f>IF(OR(J10="",L10=""),"",IF(AND(J10&lt;=EOMONTH(AM$4,0),L10&gt;=AM$4),1,""))</f>
        <v/>
      </c>
      <c r="AN10" s="26">
        <f>IF(OR(J10="",L10=""),"",IF(AND(J10&lt;=EOMONTH(AN$4,0),L10&gt;=AN$4),1,""))</f>
        <v/>
      </c>
      <c r="AO10" s="26">
        <f>IF(OR(J10="",L10=""),"",IF(AND(J10&lt;=EOMONTH(AO$4,0),L10&gt;=AO$4),1,""))</f>
        <v/>
      </c>
      <c r="AP10" s="26">
        <f>IF(OR(J10="",L10=""),"",IF(AND(J10&lt;=EOMONTH(AP$4,0),L10&gt;=AP$4),1,""))</f>
        <v/>
      </c>
      <c r="AQ10" s="26">
        <f>IF(OR(J10="",L10=""),"",IF(AND(J10&lt;=EOMONTH(AQ$4,0),L10&gt;=AQ$4),1,""))</f>
        <v/>
      </c>
      <c r="AR10" s="26">
        <f>IF(OR(J10="",L10=""),"",IF(AND(J10&lt;=EOMONTH(AR$4,0),L10&gt;=AR$4),1,""))</f>
        <v/>
      </c>
      <c r="AS10" s="26">
        <f>IF(OR(J10="",L10=""),"",IF(AND(J10&lt;=EOMONTH(AS$4,0),L10&gt;=AS$4),1,""))</f>
        <v/>
      </c>
      <c r="AT10" s="26">
        <f>IF(OR(J10="",L10=""),"",IF(AND(J10&lt;=EOMONTH(AT$4,0),L10&gt;=AT$4),1,""))</f>
        <v/>
      </c>
      <c r="AU10" s="26">
        <f>IF(OR(J10="",L10=""),"",IF(AND(J10&lt;=EOMONTH(AU$4,0),L10&gt;=AU$4),1,""))</f>
        <v/>
      </c>
      <c r="AV10" s="26">
        <f>IF(OR(J10="",L10=""),"",IF(AND(J10&lt;=EOMONTH(AV$4,0),L10&gt;=AV$4),1,""))</f>
        <v/>
      </c>
      <c r="AW10" s="26">
        <f>IF(OR(J10="",L10=""),"",IF(AND(J10&lt;=EOMONTH(AW$4,0),L10&gt;=AW$4),1,""))</f>
        <v/>
      </c>
      <c r="AX10" s="26">
        <f>IF(OR(J10="",L10=""),"",IF(AND(J10&lt;=EOMONTH(AX$4,0),L10&gt;=AX$4),1,""))</f>
        <v/>
      </c>
      <c r="AY10" s="26">
        <f>IF(OR(J10="",L10=""),"",IF(AND(J10&lt;=EOMONTH(AY$4,0),L10&gt;=AY$4),1,""))</f>
        <v/>
      </c>
      <c r="AZ10" s="26">
        <f>IF(OR(J10="",L10=""),"",IF(AND(J10&lt;=EOMONTH(AZ$4,0),L10&gt;=AZ$4),1,""))</f>
        <v/>
      </c>
      <c r="BA10" s="26">
        <f>IF(OR(J10="",L10=""),"",IF(AND(J10&lt;=EOMONTH(BA$4,0),L10&gt;=BA$4),1,""))</f>
        <v/>
      </c>
      <c r="BB10" s="26">
        <f>IF(OR(J10="",L10=""),"",IF(AND(J10&lt;=EOMONTH(BB$4,0),L10&gt;=BB$4),1,""))</f>
        <v/>
      </c>
    </row>
    <row r="11">
      <c r="A11" s="19" t="inlineStr">
        <is>
          <t>EJEMPLO</t>
        </is>
      </c>
      <c r="B11" s="20" t="n">
        <v>6</v>
      </c>
      <c r="C11" s="21" t="inlineStr">
        <is>
          <t>Fase 2</t>
        </is>
      </c>
      <c r="D11" s="22">
        <f>IF(E11="","","CWA-"&amp;MID(E11,5,4))</f>
        <v/>
      </c>
      <c r="E11" s="21" t="inlineStr">
        <is>
          <t>CWP-2.01-EST-01</t>
        </is>
      </c>
      <c r="F11" s="23" t="inlineStr">
        <is>
          <t>Estructura metálica bloque A</t>
        </is>
      </c>
      <c r="G11" s="21" t="inlineStr">
        <is>
          <t>EST</t>
        </is>
      </c>
      <c r="H11" s="20" t="n">
        <v>9600</v>
      </c>
      <c r="I11" s="21" t="inlineStr">
        <is>
          <t>CWP-2.01-CIV-01</t>
        </is>
      </c>
      <c r="J11" s="24" t="n">
        <v>46868</v>
      </c>
      <c r="K11" s="20" t="n">
        <v>17</v>
      </c>
      <c r="L11" s="25">
        <f>IF(OR(J11="",K11=""),"",J11+7*K11-1)</f>
        <v/>
      </c>
      <c r="M11" s="25">
        <f>IF(J11="","",J11-7*$E$3)</f>
        <v/>
      </c>
      <c r="N11" s="25">
        <f>IF(J11="","",J11-7*$H$3)</f>
        <v/>
      </c>
      <c r="O11" s="25">
        <f>IF(J11="","",J11-1*$K$3)</f>
        <v/>
      </c>
      <c r="P11" s="22">
        <f>IF(OR(E11="",I11="",I11="—"),IF(E11="","","OK"),IFERROR(IF(INDEX($L$6:$L$155,MATCH(I11,$E$6:$E$155,0))&gt;=J11,"Conflicto con predecesor","OK"),"Predecesor no encontrado"))</f>
        <v/>
      </c>
      <c r="Q11" s="21" t="inlineStr">
        <is>
          <t>Estructura bloque A</t>
        </is>
      </c>
      <c r="R11" s="23" t="inlineStr">
        <is>
          <t>Requiere cimentaciones curadas y estructura fabricada (RAS).</t>
        </is>
      </c>
      <c r="S11" s="26">
        <f>IF(OR(J11="",L11=""),"",IF(AND(J11&lt;=EOMONTH(S$4,0),L11&gt;=S$4),1,""))</f>
        <v/>
      </c>
      <c r="T11" s="26">
        <f>IF(OR(J11="",L11=""),"",IF(AND(J11&lt;=EOMONTH(T$4,0),L11&gt;=T$4),1,""))</f>
        <v/>
      </c>
      <c r="U11" s="26">
        <f>IF(OR(J11="",L11=""),"",IF(AND(J11&lt;=EOMONTH(U$4,0),L11&gt;=U$4),1,""))</f>
        <v/>
      </c>
      <c r="V11" s="26">
        <f>IF(OR(J11="",L11=""),"",IF(AND(J11&lt;=EOMONTH(V$4,0),L11&gt;=V$4),1,""))</f>
        <v/>
      </c>
      <c r="W11" s="26">
        <f>IF(OR(J11="",L11=""),"",IF(AND(J11&lt;=EOMONTH(W$4,0),L11&gt;=W$4),1,""))</f>
        <v/>
      </c>
      <c r="X11" s="26">
        <f>IF(OR(J11="",L11=""),"",IF(AND(J11&lt;=EOMONTH(X$4,0),L11&gt;=X$4),1,""))</f>
        <v/>
      </c>
      <c r="Y11" s="26">
        <f>IF(OR(J11="",L11=""),"",IF(AND(J11&lt;=EOMONTH(Y$4,0),L11&gt;=Y$4),1,""))</f>
        <v/>
      </c>
      <c r="Z11" s="26">
        <f>IF(OR(J11="",L11=""),"",IF(AND(J11&lt;=EOMONTH(Z$4,0),L11&gt;=Z$4),1,""))</f>
        <v/>
      </c>
      <c r="AA11" s="26">
        <f>IF(OR(J11="",L11=""),"",IF(AND(J11&lt;=EOMONTH(AA$4,0),L11&gt;=AA$4),1,""))</f>
        <v/>
      </c>
      <c r="AB11" s="26">
        <f>IF(OR(J11="",L11=""),"",IF(AND(J11&lt;=EOMONTH(AB$4,0),L11&gt;=AB$4),1,""))</f>
        <v/>
      </c>
      <c r="AC11" s="26">
        <f>IF(OR(J11="",L11=""),"",IF(AND(J11&lt;=EOMONTH(AC$4,0),L11&gt;=AC$4),1,""))</f>
        <v/>
      </c>
      <c r="AD11" s="26">
        <f>IF(OR(J11="",L11=""),"",IF(AND(J11&lt;=EOMONTH(AD$4,0),L11&gt;=AD$4),1,""))</f>
        <v/>
      </c>
      <c r="AE11" s="26">
        <f>IF(OR(J11="",L11=""),"",IF(AND(J11&lt;=EOMONTH(AE$4,0),L11&gt;=AE$4),1,""))</f>
        <v/>
      </c>
      <c r="AF11" s="26">
        <f>IF(OR(J11="",L11=""),"",IF(AND(J11&lt;=EOMONTH(AF$4,0),L11&gt;=AF$4),1,""))</f>
        <v/>
      </c>
      <c r="AG11" s="26">
        <f>IF(OR(J11="",L11=""),"",IF(AND(J11&lt;=EOMONTH(AG$4,0),L11&gt;=AG$4),1,""))</f>
        <v/>
      </c>
      <c r="AH11" s="26">
        <f>IF(OR(J11="",L11=""),"",IF(AND(J11&lt;=EOMONTH(AH$4,0),L11&gt;=AH$4),1,""))</f>
        <v/>
      </c>
      <c r="AI11" s="26">
        <f>IF(OR(J11="",L11=""),"",IF(AND(J11&lt;=EOMONTH(AI$4,0),L11&gt;=AI$4),1,""))</f>
        <v/>
      </c>
      <c r="AJ11" s="26">
        <f>IF(OR(J11="",L11=""),"",IF(AND(J11&lt;=EOMONTH(AJ$4,0),L11&gt;=AJ$4),1,""))</f>
        <v/>
      </c>
      <c r="AK11" s="26">
        <f>IF(OR(J11="",L11=""),"",IF(AND(J11&lt;=EOMONTH(AK$4,0),L11&gt;=AK$4),1,""))</f>
        <v/>
      </c>
      <c r="AL11" s="26">
        <f>IF(OR(J11="",L11=""),"",IF(AND(J11&lt;=EOMONTH(AL$4,0),L11&gt;=AL$4),1,""))</f>
        <v/>
      </c>
      <c r="AM11" s="26">
        <f>IF(OR(J11="",L11=""),"",IF(AND(J11&lt;=EOMONTH(AM$4,0),L11&gt;=AM$4),1,""))</f>
        <v/>
      </c>
      <c r="AN11" s="26">
        <f>IF(OR(J11="",L11=""),"",IF(AND(J11&lt;=EOMONTH(AN$4,0),L11&gt;=AN$4),1,""))</f>
        <v/>
      </c>
      <c r="AO11" s="26">
        <f>IF(OR(J11="",L11=""),"",IF(AND(J11&lt;=EOMONTH(AO$4,0),L11&gt;=AO$4),1,""))</f>
        <v/>
      </c>
      <c r="AP11" s="26">
        <f>IF(OR(J11="",L11=""),"",IF(AND(J11&lt;=EOMONTH(AP$4,0),L11&gt;=AP$4),1,""))</f>
        <v/>
      </c>
      <c r="AQ11" s="26">
        <f>IF(OR(J11="",L11=""),"",IF(AND(J11&lt;=EOMONTH(AQ$4,0),L11&gt;=AQ$4),1,""))</f>
        <v/>
      </c>
      <c r="AR11" s="26">
        <f>IF(OR(J11="",L11=""),"",IF(AND(J11&lt;=EOMONTH(AR$4,0),L11&gt;=AR$4),1,""))</f>
        <v/>
      </c>
      <c r="AS11" s="26">
        <f>IF(OR(J11="",L11=""),"",IF(AND(J11&lt;=EOMONTH(AS$4,0),L11&gt;=AS$4),1,""))</f>
        <v/>
      </c>
      <c r="AT11" s="26">
        <f>IF(OR(J11="",L11=""),"",IF(AND(J11&lt;=EOMONTH(AT$4,0),L11&gt;=AT$4),1,""))</f>
        <v/>
      </c>
      <c r="AU11" s="26">
        <f>IF(OR(J11="",L11=""),"",IF(AND(J11&lt;=EOMONTH(AU$4,0),L11&gt;=AU$4),1,""))</f>
        <v/>
      </c>
      <c r="AV11" s="26">
        <f>IF(OR(J11="",L11=""),"",IF(AND(J11&lt;=EOMONTH(AV$4,0),L11&gt;=AV$4),1,""))</f>
        <v/>
      </c>
      <c r="AW11" s="26">
        <f>IF(OR(J11="",L11=""),"",IF(AND(J11&lt;=EOMONTH(AW$4,0),L11&gt;=AW$4),1,""))</f>
        <v/>
      </c>
      <c r="AX11" s="26">
        <f>IF(OR(J11="",L11=""),"",IF(AND(J11&lt;=EOMONTH(AX$4,0),L11&gt;=AX$4),1,""))</f>
        <v/>
      </c>
      <c r="AY11" s="26">
        <f>IF(OR(J11="",L11=""),"",IF(AND(J11&lt;=EOMONTH(AY$4,0),L11&gt;=AY$4),1,""))</f>
        <v/>
      </c>
      <c r="AZ11" s="26">
        <f>IF(OR(J11="",L11=""),"",IF(AND(J11&lt;=EOMONTH(AZ$4,0),L11&gt;=AZ$4),1,""))</f>
        <v/>
      </c>
      <c r="BA11" s="26">
        <f>IF(OR(J11="",L11=""),"",IF(AND(J11&lt;=EOMONTH(BA$4,0),L11&gt;=BA$4),1,""))</f>
        <v/>
      </c>
      <c r="BB11" s="26">
        <f>IF(OR(J11="",L11=""),"",IF(AND(J11&lt;=EOMONTH(BB$4,0),L11&gt;=BB$4),1,""))</f>
        <v/>
      </c>
    </row>
    <row r="12">
      <c r="A12" s="19" t="inlineStr">
        <is>
          <t>EJEMPLO</t>
        </is>
      </c>
      <c r="B12" s="20" t="n">
        <v>7</v>
      </c>
      <c r="C12" s="21" t="inlineStr">
        <is>
          <t>Fase 2</t>
        </is>
      </c>
      <c r="D12" s="22">
        <f>IF(E12="","","CWA-"&amp;MID(E12,5,4))</f>
        <v/>
      </c>
      <c r="E12" s="21" t="inlineStr">
        <is>
          <t>CWP-2.01-TUB-01</t>
        </is>
      </c>
      <c r="F12" s="23" t="inlineStr">
        <is>
          <t>Tuberías de servicios bloque A</t>
        </is>
      </c>
      <c r="G12" s="21" t="inlineStr">
        <is>
          <t>TUB</t>
        </is>
      </c>
      <c r="H12" s="20" t="n">
        <v>34000</v>
      </c>
      <c r="I12" s="21" t="inlineStr">
        <is>
          <t>CWP-2.01-EST-01</t>
        </is>
      </c>
      <c r="J12" s="24" t="n">
        <v>46993</v>
      </c>
      <c r="K12" s="20" t="n">
        <v>26</v>
      </c>
      <c r="L12" s="25">
        <f>IF(OR(J12="",K12=""),"",J12+7*K12-1)</f>
        <v/>
      </c>
      <c r="M12" s="25">
        <f>IF(J12="","",J12-7*$E$3)</f>
        <v/>
      </c>
      <c r="N12" s="25">
        <f>IF(J12="","",J12-7*$H$3)</f>
        <v/>
      </c>
      <c r="O12" s="25">
        <f>IF(J12="","",J12-1*$K$3)</f>
        <v/>
      </c>
      <c r="P12" s="22">
        <f>IF(OR(E12="",I12="",I12="—"),IF(E12="","","OK"),IFERROR(IF(INDEX($L$6:$L$155,MATCH(I12,$E$6:$E$155,0))&gt;=J12,"Conflicto con predecesor","OK"),"Predecesor no encontrado"))</f>
        <v/>
      </c>
      <c r="Q12" s="21" t="inlineStr">
        <is>
          <t>Agua de servicio</t>
        </is>
      </c>
      <c r="R12" s="23" t="inlineStr">
        <is>
          <t>Tuberías montadas sobre estructura terminada por niveles.</t>
        </is>
      </c>
      <c r="S12" s="26">
        <f>IF(OR(J12="",L12=""),"",IF(AND(J12&lt;=EOMONTH(S$4,0),L12&gt;=S$4),1,""))</f>
        <v/>
      </c>
      <c r="T12" s="26">
        <f>IF(OR(J12="",L12=""),"",IF(AND(J12&lt;=EOMONTH(T$4,0),L12&gt;=T$4),1,""))</f>
        <v/>
      </c>
      <c r="U12" s="26">
        <f>IF(OR(J12="",L12=""),"",IF(AND(J12&lt;=EOMONTH(U$4,0),L12&gt;=U$4),1,""))</f>
        <v/>
      </c>
      <c r="V12" s="26">
        <f>IF(OR(J12="",L12=""),"",IF(AND(J12&lt;=EOMONTH(V$4,0),L12&gt;=V$4),1,""))</f>
        <v/>
      </c>
      <c r="W12" s="26">
        <f>IF(OR(J12="",L12=""),"",IF(AND(J12&lt;=EOMONTH(W$4,0),L12&gt;=W$4),1,""))</f>
        <v/>
      </c>
      <c r="X12" s="26">
        <f>IF(OR(J12="",L12=""),"",IF(AND(J12&lt;=EOMONTH(X$4,0),L12&gt;=X$4),1,""))</f>
        <v/>
      </c>
      <c r="Y12" s="26">
        <f>IF(OR(J12="",L12=""),"",IF(AND(J12&lt;=EOMONTH(Y$4,0),L12&gt;=Y$4),1,""))</f>
        <v/>
      </c>
      <c r="Z12" s="26">
        <f>IF(OR(J12="",L12=""),"",IF(AND(J12&lt;=EOMONTH(Z$4,0),L12&gt;=Z$4),1,""))</f>
        <v/>
      </c>
      <c r="AA12" s="26">
        <f>IF(OR(J12="",L12=""),"",IF(AND(J12&lt;=EOMONTH(AA$4,0),L12&gt;=AA$4),1,""))</f>
        <v/>
      </c>
      <c r="AB12" s="26">
        <f>IF(OR(J12="",L12=""),"",IF(AND(J12&lt;=EOMONTH(AB$4,0),L12&gt;=AB$4),1,""))</f>
        <v/>
      </c>
      <c r="AC12" s="26">
        <f>IF(OR(J12="",L12=""),"",IF(AND(J12&lt;=EOMONTH(AC$4,0),L12&gt;=AC$4),1,""))</f>
        <v/>
      </c>
      <c r="AD12" s="26">
        <f>IF(OR(J12="",L12=""),"",IF(AND(J12&lt;=EOMONTH(AD$4,0),L12&gt;=AD$4),1,""))</f>
        <v/>
      </c>
      <c r="AE12" s="26">
        <f>IF(OR(J12="",L12=""),"",IF(AND(J12&lt;=EOMONTH(AE$4,0),L12&gt;=AE$4),1,""))</f>
        <v/>
      </c>
      <c r="AF12" s="26">
        <f>IF(OR(J12="",L12=""),"",IF(AND(J12&lt;=EOMONTH(AF$4,0),L12&gt;=AF$4),1,""))</f>
        <v/>
      </c>
      <c r="AG12" s="26">
        <f>IF(OR(J12="",L12=""),"",IF(AND(J12&lt;=EOMONTH(AG$4,0),L12&gt;=AG$4),1,""))</f>
        <v/>
      </c>
      <c r="AH12" s="26">
        <f>IF(OR(J12="",L12=""),"",IF(AND(J12&lt;=EOMONTH(AH$4,0),L12&gt;=AH$4),1,""))</f>
        <v/>
      </c>
      <c r="AI12" s="26">
        <f>IF(OR(J12="",L12=""),"",IF(AND(J12&lt;=EOMONTH(AI$4,0),L12&gt;=AI$4),1,""))</f>
        <v/>
      </c>
      <c r="AJ12" s="26">
        <f>IF(OR(J12="",L12=""),"",IF(AND(J12&lt;=EOMONTH(AJ$4,0),L12&gt;=AJ$4),1,""))</f>
        <v/>
      </c>
      <c r="AK12" s="26">
        <f>IF(OR(J12="",L12=""),"",IF(AND(J12&lt;=EOMONTH(AK$4,0),L12&gt;=AK$4),1,""))</f>
        <v/>
      </c>
      <c r="AL12" s="26">
        <f>IF(OR(J12="",L12=""),"",IF(AND(J12&lt;=EOMONTH(AL$4,0),L12&gt;=AL$4),1,""))</f>
        <v/>
      </c>
      <c r="AM12" s="26">
        <f>IF(OR(J12="",L12=""),"",IF(AND(J12&lt;=EOMONTH(AM$4,0),L12&gt;=AM$4),1,""))</f>
        <v/>
      </c>
      <c r="AN12" s="26">
        <f>IF(OR(J12="",L12=""),"",IF(AND(J12&lt;=EOMONTH(AN$4,0),L12&gt;=AN$4),1,""))</f>
        <v/>
      </c>
      <c r="AO12" s="26">
        <f>IF(OR(J12="",L12=""),"",IF(AND(J12&lt;=EOMONTH(AO$4,0),L12&gt;=AO$4),1,""))</f>
        <v/>
      </c>
      <c r="AP12" s="26">
        <f>IF(OR(J12="",L12=""),"",IF(AND(J12&lt;=EOMONTH(AP$4,0),L12&gt;=AP$4),1,""))</f>
        <v/>
      </c>
      <c r="AQ12" s="26">
        <f>IF(OR(J12="",L12=""),"",IF(AND(J12&lt;=EOMONTH(AQ$4,0),L12&gt;=AQ$4),1,""))</f>
        <v/>
      </c>
      <c r="AR12" s="26">
        <f>IF(OR(J12="",L12=""),"",IF(AND(J12&lt;=EOMONTH(AR$4,0),L12&gt;=AR$4),1,""))</f>
        <v/>
      </c>
      <c r="AS12" s="26">
        <f>IF(OR(J12="",L12=""),"",IF(AND(J12&lt;=EOMONTH(AS$4,0),L12&gt;=AS$4),1,""))</f>
        <v/>
      </c>
      <c r="AT12" s="26">
        <f>IF(OR(J12="",L12=""),"",IF(AND(J12&lt;=EOMONTH(AT$4,0),L12&gt;=AT$4),1,""))</f>
        <v/>
      </c>
      <c r="AU12" s="26">
        <f>IF(OR(J12="",L12=""),"",IF(AND(J12&lt;=EOMONTH(AU$4,0),L12&gt;=AU$4),1,""))</f>
        <v/>
      </c>
      <c r="AV12" s="26">
        <f>IF(OR(J12="",L12=""),"",IF(AND(J12&lt;=EOMONTH(AV$4,0),L12&gt;=AV$4),1,""))</f>
        <v/>
      </c>
      <c r="AW12" s="26">
        <f>IF(OR(J12="",L12=""),"",IF(AND(J12&lt;=EOMONTH(AW$4,0),L12&gt;=AW$4),1,""))</f>
        <v/>
      </c>
      <c r="AX12" s="26">
        <f>IF(OR(J12="",L12=""),"",IF(AND(J12&lt;=EOMONTH(AX$4,0),L12&gt;=AX$4),1,""))</f>
        <v/>
      </c>
      <c r="AY12" s="26">
        <f>IF(OR(J12="",L12=""),"",IF(AND(J12&lt;=EOMONTH(AY$4,0),L12&gt;=AY$4),1,""))</f>
        <v/>
      </c>
      <c r="AZ12" s="26">
        <f>IF(OR(J12="",L12=""),"",IF(AND(J12&lt;=EOMONTH(AZ$4,0),L12&gt;=AZ$4),1,""))</f>
        <v/>
      </c>
      <c r="BA12" s="26">
        <f>IF(OR(J12="",L12=""),"",IF(AND(J12&lt;=EOMONTH(BA$4,0),L12&gt;=BA$4),1,""))</f>
        <v/>
      </c>
      <c r="BB12" s="26">
        <f>IF(OR(J12="",L12=""),"",IF(AND(J12&lt;=EOMONTH(BB$4,0),L12&gt;=BB$4),1,""))</f>
        <v/>
      </c>
    </row>
    <row r="13">
      <c r="A13" s="19" t="inlineStr">
        <is>
          <t>EJEMPLO</t>
        </is>
      </c>
      <c r="B13" s="20" t="n">
        <v>8</v>
      </c>
      <c r="C13" s="21" t="inlineStr">
        <is>
          <t>Fase 3</t>
        </is>
      </c>
      <c r="D13" s="22">
        <f>IF(E13="","","CWA-"&amp;MID(E13,5,4))</f>
        <v/>
      </c>
      <c r="E13" s="21" t="inlineStr">
        <is>
          <t>CWP-3.01-ARQ-01</t>
        </is>
      </c>
      <c r="F13" s="23" t="inlineStr">
        <is>
          <t>Arquitectura edificio de oficinas</t>
        </is>
      </c>
      <c r="G13" s="21" t="inlineStr">
        <is>
          <t>ARQ</t>
        </is>
      </c>
      <c r="H13" s="20" t="n">
        <v>22000</v>
      </c>
      <c r="I13" s="21" t="inlineStr">
        <is>
          <t>CWP-1.02-TUB-01</t>
        </is>
      </c>
      <c r="J13" s="24" t="n">
        <v>47182</v>
      </c>
      <c r="K13" s="20" t="n">
        <v>20</v>
      </c>
      <c r="L13" s="25">
        <f>IF(OR(J13="",K13=""),"",J13+7*K13-1)</f>
        <v/>
      </c>
      <c r="M13" s="25">
        <f>IF(J13="","",J13-7*$E$3)</f>
        <v/>
      </c>
      <c r="N13" s="25">
        <f>IF(J13="","",J13-7*$H$3)</f>
        <v/>
      </c>
      <c r="O13" s="25">
        <f>IF(J13="","",J13-1*$K$3)</f>
        <v/>
      </c>
      <c r="P13" s="22">
        <f>IF(OR(E13="",I13="",I13="—"),IF(E13="","","OK"),IFERROR(IF(INDEX($L$6:$L$155,MATCH(I13,$E$6:$E$155,0))&gt;=J13,"Conflicto con predecesor","OK"),"Predecesor no encontrado"))</f>
        <v/>
      </c>
      <c r="Q13" s="21" t="inlineStr">
        <is>
          <t>Edificio de oficinas</t>
        </is>
      </c>
      <c r="R13" s="23" t="inlineStr">
        <is>
          <t>Edificio independiente; permite adelantar su entrega.</t>
        </is>
      </c>
      <c r="S13" s="26">
        <f>IF(OR(J13="",L13=""),"",IF(AND(J13&lt;=EOMONTH(S$4,0),L13&gt;=S$4),1,""))</f>
        <v/>
      </c>
      <c r="T13" s="26">
        <f>IF(OR(J13="",L13=""),"",IF(AND(J13&lt;=EOMONTH(T$4,0),L13&gt;=T$4),1,""))</f>
        <v/>
      </c>
      <c r="U13" s="26">
        <f>IF(OR(J13="",L13=""),"",IF(AND(J13&lt;=EOMONTH(U$4,0),L13&gt;=U$4),1,""))</f>
        <v/>
      </c>
      <c r="V13" s="26">
        <f>IF(OR(J13="",L13=""),"",IF(AND(J13&lt;=EOMONTH(V$4,0),L13&gt;=V$4),1,""))</f>
        <v/>
      </c>
      <c r="W13" s="26">
        <f>IF(OR(J13="",L13=""),"",IF(AND(J13&lt;=EOMONTH(W$4,0),L13&gt;=W$4),1,""))</f>
        <v/>
      </c>
      <c r="X13" s="26">
        <f>IF(OR(J13="",L13=""),"",IF(AND(J13&lt;=EOMONTH(X$4,0),L13&gt;=X$4),1,""))</f>
        <v/>
      </c>
      <c r="Y13" s="26">
        <f>IF(OR(J13="",L13=""),"",IF(AND(J13&lt;=EOMONTH(Y$4,0),L13&gt;=Y$4),1,""))</f>
        <v/>
      </c>
      <c r="Z13" s="26">
        <f>IF(OR(J13="",L13=""),"",IF(AND(J13&lt;=EOMONTH(Z$4,0),L13&gt;=Z$4),1,""))</f>
        <v/>
      </c>
      <c r="AA13" s="26">
        <f>IF(OR(J13="",L13=""),"",IF(AND(J13&lt;=EOMONTH(AA$4,0),L13&gt;=AA$4),1,""))</f>
        <v/>
      </c>
      <c r="AB13" s="26">
        <f>IF(OR(J13="",L13=""),"",IF(AND(J13&lt;=EOMONTH(AB$4,0),L13&gt;=AB$4),1,""))</f>
        <v/>
      </c>
      <c r="AC13" s="26">
        <f>IF(OR(J13="",L13=""),"",IF(AND(J13&lt;=EOMONTH(AC$4,0),L13&gt;=AC$4),1,""))</f>
        <v/>
      </c>
      <c r="AD13" s="26">
        <f>IF(OR(J13="",L13=""),"",IF(AND(J13&lt;=EOMONTH(AD$4,0),L13&gt;=AD$4),1,""))</f>
        <v/>
      </c>
      <c r="AE13" s="26">
        <f>IF(OR(J13="",L13=""),"",IF(AND(J13&lt;=EOMONTH(AE$4,0),L13&gt;=AE$4),1,""))</f>
        <v/>
      </c>
      <c r="AF13" s="26">
        <f>IF(OR(J13="",L13=""),"",IF(AND(J13&lt;=EOMONTH(AF$4,0),L13&gt;=AF$4),1,""))</f>
        <v/>
      </c>
      <c r="AG13" s="26">
        <f>IF(OR(J13="",L13=""),"",IF(AND(J13&lt;=EOMONTH(AG$4,0),L13&gt;=AG$4),1,""))</f>
        <v/>
      </c>
      <c r="AH13" s="26">
        <f>IF(OR(J13="",L13=""),"",IF(AND(J13&lt;=EOMONTH(AH$4,0),L13&gt;=AH$4),1,""))</f>
        <v/>
      </c>
      <c r="AI13" s="26">
        <f>IF(OR(J13="",L13=""),"",IF(AND(J13&lt;=EOMONTH(AI$4,0),L13&gt;=AI$4),1,""))</f>
        <v/>
      </c>
      <c r="AJ13" s="26">
        <f>IF(OR(J13="",L13=""),"",IF(AND(J13&lt;=EOMONTH(AJ$4,0),L13&gt;=AJ$4),1,""))</f>
        <v/>
      </c>
      <c r="AK13" s="26">
        <f>IF(OR(J13="",L13=""),"",IF(AND(J13&lt;=EOMONTH(AK$4,0),L13&gt;=AK$4),1,""))</f>
        <v/>
      </c>
      <c r="AL13" s="26">
        <f>IF(OR(J13="",L13=""),"",IF(AND(J13&lt;=EOMONTH(AL$4,0),L13&gt;=AL$4),1,""))</f>
        <v/>
      </c>
      <c r="AM13" s="26">
        <f>IF(OR(J13="",L13=""),"",IF(AND(J13&lt;=EOMONTH(AM$4,0),L13&gt;=AM$4),1,""))</f>
        <v/>
      </c>
      <c r="AN13" s="26">
        <f>IF(OR(J13="",L13=""),"",IF(AND(J13&lt;=EOMONTH(AN$4,0),L13&gt;=AN$4),1,""))</f>
        <v/>
      </c>
      <c r="AO13" s="26">
        <f>IF(OR(J13="",L13=""),"",IF(AND(J13&lt;=EOMONTH(AO$4,0),L13&gt;=AO$4),1,""))</f>
        <v/>
      </c>
      <c r="AP13" s="26">
        <f>IF(OR(J13="",L13=""),"",IF(AND(J13&lt;=EOMONTH(AP$4,0),L13&gt;=AP$4),1,""))</f>
        <v/>
      </c>
      <c r="AQ13" s="26">
        <f>IF(OR(J13="",L13=""),"",IF(AND(J13&lt;=EOMONTH(AQ$4,0),L13&gt;=AQ$4),1,""))</f>
        <v/>
      </c>
      <c r="AR13" s="26">
        <f>IF(OR(J13="",L13=""),"",IF(AND(J13&lt;=EOMONTH(AR$4,0),L13&gt;=AR$4),1,""))</f>
        <v/>
      </c>
      <c r="AS13" s="26">
        <f>IF(OR(J13="",L13=""),"",IF(AND(J13&lt;=EOMONTH(AS$4,0),L13&gt;=AS$4),1,""))</f>
        <v/>
      </c>
      <c r="AT13" s="26">
        <f>IF(OR(J13="",L13=""),"",IF(AND(J13&lt;=EOMONTH(AT$4,0),L13&gt;=AT$4),1,""))</f>
        <v/>
      </c>
      <c r="AU13" s="26">
        <f>IF(OR(J13="",L13=""),"",IF(AND(J13&lt;=EOMONTH(AU$4,0),L13&gt;=AU$4),1,""))</f>
        <v/>
      </c>
      <c r="AV13" s="26">
        <f>IF(OR(J13="",L13=""),"",IF(AND(J13&lt;=EOMONTH(AV$4,0),L13&gt;=AV$4),1,""))</f>
        <v/>
      </c>
      <c r="AW13" s="26">
        <f>IF(OR(J13="",L13=""),"",IF(AND(J13&lt;=EOMONTH(AW$4,0),L13&gt;=AW$4),1,""))</f>
        <v/>
      </c>
      <c r="AX13" s="26">
        <f>IF(OR(J13="",L13=""),"",IF(AND(J13&lt;=EOMONTH(AX$4,0),L13&gt;=AX$4),1,""))</f>
        <v/>
      </c>
      <c r="AY13" s="26">
        <f>IF(OR(J13="",L13=""),"",IF(AND(J13&lt;=EOMONTH(AY$4,0),L13&gt;=AY$4),1,""))</f>
        <v/>
      </c>
      <c r="AZ13" s="26">
        <f>IF(OR(J13="",L13=""),"",IF(AND(J13&lt;=EOMONTH(AZ$4,0),L13&gt;=AZ$4),1,""))</f>
        <v/>
      </c>
      <c r="BA13" s="26">
        <f>IF(OR(J13="",L13=""),"",IF(AND(J13&lt;=EOMONTH(BA$4,0),L13&gt;=BA$4),1,""))</f>
        <v/>
      </c>
      <c r="BB13" s="26">
        <f>IF(OR(J13="",L13=""),"",IF(AND(J13&lt;=EOMONTH(BB$4,0),L13&gt;=BB$4),1,""))</f>
        <v/>
      </c>
    </row>
    <row r="14">
      <c r="A14" s="19" t="inlineStr">
        <is>
          <t>EJEMPLO</t>
        </is>
      </c>
      <c r="B14" s="20" t="n">
        <v>9</v>
      </c>
      <c r="C14" s="21" t="inlineStr">
        <is>
          <t>Fase 3</t>
        </is>
      </c>
      <c r="D14" s="22">
        <f>IF(E14="","","CWA-"&amp;MID(E14,5,4))</f>
        <v/>
      </c>
      <c r="E14" s="21" t="inlineStr">
        <is>
          <t>CWP-3.02-CIV-01</t>
        </is>
      </c>
      <c r="F14" s="23" t="inlineStr">
        <is>
          <t>Cimentaciones de la ampliación</t>
        </is>
      </c>
      <c r="G14" s="21" t="inlineStr">
        <is>
          <t>CIV</t>
        </is>
      </c>
      <c r="H14" s="20" t="n">
        <v>28000</v>
      </c>
      <c r="I14" s="21" t="inlineStr">
        <is>
          <t>CWP-2.01-CIV-01</t>
        </is>
      </c>
      <c r="J14" s="24" t="n">
        <v>47154</v>
      </c>
      <c r="K14" s="20" t="n">
        <v>14</v>
      </c>
      <c r="L14" s="25">
        <f>IF(OR(J14="",K14=""),"",J14+7*K14-1)</f>
        <v/>
      </c>
      <c r="M14" s="25">
        <f>IF(J14="","",J14-7*$E$3)</f>
        <v/>
      </c>
      <c r="N14" s="25">
        <f>IF(J14="","",J14-7*$H$3)</f>
        <v/>
      </c>
      <c r="O14" s="25">
        <f>IF(J14="","",J14-1*$K$3)</f>
        <v/>
      </c>
      <c r="P14" s="22">
        <f>IF(OR(E14="",I14="",I14="—"),IF(E14="","","OK"),IFERROR(IF(INDEX($L$6:$L$155,MATCH(I14,$E$6:$E$155,0))&gt;=J14,"Conflicto con predecesor","OK"),"Predecesor no encontrado"))</f>
        <v/>
      </c>
      <c r="Q14" s="21" t="inlineStr">
        <is>
          <t>Estructura ampliación</t>
        </is>
      </c>
      <c r="R14" s="23" t="inlineStr">
        <is>
          <t>Inicia cuando la Fase 2 libera el acceso lateral del bloque B.</t>
        </is>
      </c>
      <c r="S14" s="26">
        <f>IF(OR(J14="",L14=""),"",IF(AND(J14&lt;=EOMONTH(S$4,0),L14&gt;=S$4),1,""))</f>
        <v/>
      </c>
      <c r="T14" s="26">
        <f>IF(OR(J14="",L14=""),"",IF(AND(J14&lt;=EOMONTH(T$4,0),L14&gt;=T$4),1,""))</f>
        <v/>
      </c>
      <c r="U14" s="26">
        <f>IF(OR(J14="",L14=""),"",IF(AND(J14&lt;=EOMONTH(U$4,0),L14&gt;=U$4),1,""))</f>
        <v/>
      </c>
      <c r="V14" s="26">
        <f>IF(OR(J14="",L14=""),"",IF(AND(J14&lt;=EOMONTH(V$4,0),L14&gt;=V$4),1,""))</f>
        <v/>
      </c>
      <c r="W14" s="26">
        <f>IF(OR(J14="",L14=""),"",IF(AND(J14&lt;=EOMONTH(W$4,0),L14&gt;=W$4),1,""))</f>
        <v/>
      </c>
      <c r="X14" s="26">
        <f>IF(OR(J14="",L14=""),"",IF(AND(J14&lt;=EOMONTH(X$4,0),L14&gt;=X$4),1,""))</f>
        <v/>
      </c>
      <c r="Y14" s="26">
        <f>IF(OR(J14="",L14=""),"",IF(AND(J14&lt;=EOMONTH(Y$4,0),L14&gt;=Y$4),1,""))</f>
        <v/>
      </c>
      <c r="Z14" s="26">
        <f>IF(OR(J14="",L14=""),"",IF(AND(J14&lt;=EOMONTH(Z$4,0),L14&gt;=Z$4),1,""))</f>
        <v/>
      </c>
      <c r="AA14" s="26">
        <f>IF(OR(J14="",L14=""),"",IF(AND(J14&lt;=EOMONTH(AA$4,0),L14&gt;=AA$4),1,""))</f>
        <v/>
      </c>
      <c r="AB14" s="26">
        <f>IF(OR(J14="",L14=""),"",IF(AND(J14&lt;=EOMONTH(AB$4,0),L14&gt;=AB$4),1,""))</f>
        <v/>
      </c>
      <c r="AC14" s="26">
        <f>IF(OR(J14="",L14=""),"",IF(AND(J14&lt;=EOMONTH(AC$4,0),L14&gt;=AC$4),1,""))</f>
        <v/>
      </c>
      <c r="AD14" s="26">
        <f>IF(OR(J14="",L14=""),"",IF(AND(J14&lt;=EOMONTH(AD$4,0),L14&gt;=AD$4),1,""))</f>
        <v/>
      </c>
      <c r="AE14" s="26">
        <f>IF(OR(J14="",L14=""),"",IF(AND(J14&lt;=EOMONTH(AE$4,0),L14&gt;=AE$4),1,""))</f>
        <v/>
      </c>
      <c r="AF14" s="26">
        <f>IF(OR(J14="",L14=""),"",IF(AND(J14&lt;=EOMONTH(AF$4,0),L14&gt;=AF$4),1,""))</f>
        <v/>
      </c>
      <c r="AG14" s="26">
        <f>IF(OR(J14="",L14=""),"",IF(AND(J14&lt;=EOMONTH(AG$4,0),L14&gt;=AG$4),1,""))</f>
        <v/>
      </c>
      <c r="AH14" s="26">
        <f>IF(OR(J14="",L14=""),"",IF(AND(J14&lt;=EOMONTH(AH$4,0),L14&gt;=AH$4),1,""))</f>
        <v/>
      </c>
      <c r="AI14" s="26">
        <f>IF(OR(J14="",L14=""),"",IF(AND(J14&lt;=EOMONTH(AI$4,0),L14&gt;=AI$4),1,""))</f>
        <v/>
      </c>
      <c r="AJ14" s="26">
        <f>IF(OR(J14="",L14=""),"",IF(AND(J14&lt;=EOMONTH(AJ$4,0),L14&gt;=AJ$4),1,""))</f>
        <v/>
      </c>
      <c r="AK14" s="26">
        <f>IF(OR(J14="",L14=""),"",IF(AND(J14&lt;=EOMONTH(AK$4,0),L14&gt;=AK$4),1,""))</f>
        <v/>
      </c>
      <c r="AL14" s="26">
        <f>IF(OR(J14="",L14=""),"",IF(AND(J14&lt;=EOMONTH(AL$4,0),L14&gt;=AL$4),1,""))</f>
        <v/>
      </c>
      <c r="AM14" s="26">
        <f>IF(OR(J14="",L14=""),"",IF(AND(J14&lt;=EOMONTH(AM$4,0),L14&gt;=AM$4),1,""))</f>
        <v/>
      </c>
      <c r="AN14" s="26">
        <f>IF(OR(J14="",L14=""),"",IF(AND(J14&lt;=EOMONTH(AN$4,0),L14&gt;=AN$4),1,""))</f>
        <v/>
      </c>
      <c r="AO14" s="26">
        <f>IF(OR(J14="",L14=""),"",IF(AND(J14&lt;=EOMONTH(AO$4,0),L14&gt;=AO$4),1,""))</f>
        <v/>
      </c>
      <c r="AP14" s="26">
        <f>IF(OR(J14="",L14=""),"",IF(AND(J14&lt;=EOMONTH(AP$4,0),L14&gt;=AP$4),1,""))</f>
        <v/>
      </c>
      <c r="AQ14" s="26">
        <f>IF(OR(J14="",L14=""),"",IF(AND(J14&lt;=EOMONTH(AQ$4,0),L14&gt;=AQ$4),1,""))</f>
        <v/>
      </c>
      <c r="AR14" s="26">
        <f>IF(OR(J14="",L14=""),"",IF(AND(J14&lt;=EOMONTH(AR$4,0),L14&gt;=AR$4),1,""))</f>
        <v/>
      </c>
      <c r="AS14" s="26">
        <f>IF(OR(J14="",L14=""),"",IF(AND(J14&lt;=EOMONTH(AS$4,0),L14&gt;=AS$4),1,""))</f>
        <v/>
      </c>
      <c r="AT14" s="26">
        <f>IF(OR(J14="",L14=""),"",IF(AND(J14&lt;=EOMONTH(AT$4,0),L14&gt;=AT$4),1,""))</f>
        <v/>
      </c>
      <c r="AU14" s="26">
        <f>IF(OR(J14="",L14=""),"",IF(AND(J14&lt;=EOMONTH(AU$4,0),L14&gt;=AU$4),1,""))</f>
        <v/>
      </c>
      <c r="AV14" s="26">
        <f>IF(OR(J14="",L14=""),"",IF(AND(J14&lt;=EOMONTH(AV$4,0),L14&gt;=AV$4),1,""))</f>
        <v/>
      </c>
      <c r="AW14" s="26">
        <f>IF(OR(J14="",L14=""),"",IF(AND(J14&lt;=EOMONTH(AW$4,0),L14&gt;=AW$4),1,""))</f>
        <v/>
      </c>
      <c r="AX14" s="26">
        <f>IF(OR(J14="",L14=""),"",IF(AND(J14&lt;=EOMONTH(AX$4,0),L14&gt;=AX$4),1,""))</f>
        <v/>
      </c>
      <c r="AY14" s="26">
        <f>IF(OR(J14="",L14=""),"",IF(AND(J14&lt;=EOMONTH(AY$4,0),L14&gt;=AY$4),1,""))</f>
        <v/>
      </c>
      <c r="AZ14" s="26">
        <f>IF(OR(J14="",L14=""),"",IF(AND(J14&lt;=EOMONTH(AZ$4,0),L14&gt;=AZ$4),1,""))</f>
        <v/>
      </c>
      <c r="BA14" s="26">
        <f>IF(OR(J14="",L14=""),"",IF(AND(J14&lt;=EOMONTH(BA$4,0),L14&gt;=BA$4),1,""))</f>
        <v/>
      </c>
      <c r="BB14" s="26">
        <f>IF(OR(J14="",L14=""),"",IF(AND(J14&lt;=EOMONTH(BB$4,0),L14&gt;=BB$4),1,""))</f>
        <v/>
      </c>
    </row>
    <row r="15">
      <c r="A15" s="19" t="inlineStr">
        <is>
          <t>EJEMPLO</t>
        </is>
      </c>
      <c r="B15" s="20" t="n">
        <v>10</v>
      </c>
      <c r="C15" s="21" t="inlineStr">
        <is>
          <t>Fase 3</t>
        </is>
      </c>
      <c r="D15" s="22">
        <f>IF(E15="","","CWA-"&amp;MID(E15,5,4))</f>
        <v/>
      </c>
      <c r="E15" s="21" t="inlineStr">
        <is>
          <t>CWP-3.02-TUB-01</t>
        </is>
      </c>
      <c r="F15" s="23" t="inlineStr">
        <is>
          <t>Empalmes a la galería de servicios</t>
        </is>
      </c>
      <c r="G15" s="21" t="inlineStr">
        <is>
          <t>TUB</t>
        </is>
      </c>
      <c r="H15" s="20" t="n">
        <v>12000</v>
      </c>
      <c r="I15" s="21" t="inlineStr">
        <is>
          <t>CWP-2.01-TUB-01</t>
        </is>
      </c>
      <c r="J15" s="24" t="n">
        <v>47301</v>
      </c>
      <c r="K15" s="20" t="n">
        <v>12</v>
      </c>
      <c r="L15" s="25">
        <f>IF(OR(J15="",K15=""),"",J15+7*K15-1)</f>
        <v/>
      </c>
      <c r="M15" s="25">
        <f>IF(J15="","",J15-7*$E$3)</f>
        <v/>
      </c>
      <c r="N15" s="25">
        <f>IF(J15="","",J15-7*$H$3)</f>
        <v/>
      </c>
      <c r="O15" s="25">
        <f>IF(J15="","",J15-1*$K$3)</f>
        <v/>
      </c>
      <c r="P15" s="22">
        <f>IF(OR(E15="",I15="",I15="—"),IF(E15="","","OK"),IFERROR(IF(INDEX($L$6:$L$155,MATCH(I15,$E$6:$E$155,0))&gt;=J15,"Conflicto con predecesor","OK"),"Predecesor no encontrado"))</f>
        <v/>
      </c>
      <c r="Q15" s="21" t="inlineStr">
        <is>
          <t>Agua de servicio</t>
        </is>
      </c>
      <c r="R15" s="23" t="inlineStr">
        <is>
          <t>Empalmes durante parada programada de la Fase 2 (interfaz entre fases).</t>
        </is>
      </c>
      <c r="S15" s="26">
        <f>IF(OR(J15="",L15=""),"",IF(AND(J15&lt;=EOMONTH(S$4,0),L15&gt;=S$4),1,""))</f>
        <v/>
      </c>
      <c r="T15" s="26">
        <f>IF(OR(J15="",L15=""),"",IF(AND(J15&lt;=EOMONTH(T$4,0),L15&gt;=T$4),1,""))</f>
        <v/>
      </c>
      <c r="U15" s="26">
        <f>IF(OR(J15="",L15=""),"",IF(AND(J15&lt;=EOMONTH(U$4,0),L15&gt;=U$4),1,""))</f>
        <v/>
      </c>
      <c r="V15" s="26">
        <f>IF(OR(J15="",L15=""),"",IF(AND(J15&lt;=EOMONTH(V$4,0),L15&gt;=V$4),1,""))</f>
        <v/>
      </c>
      <c r="W15" s="26">
        <f>IF(OR(J15="",L15=""),"",IF(AND(J15&lt;=EOMONTH(W$4,0),L15&gt;=W$4),1,""))</f>
        <v/>
      </c>
      <c r="X15" s="26">
        <f>IF(OR(J15="",L15=""),"",IF(AND(J15&lt;=EOMONTH(X$4,0),L15&gt;=X$4),1,""))</f>
        <v/>
      </c>
      <c r="Y15" s="26">
        <f>IF(OR(J15="",L15=""),"",IF(AND(J15&lt;=EOMONTH(Y$4,0),L15&gt;=Y$4),1,""))</f>
        <v/>
      </c>
      <c r="Z15" s="26">
        <f>IF(OR(J15="",L15=""),"",IF(AND(J15&lt;=EOMONTH(Z$4,0),L15&gt;=Z$4),1,""))</f>
        <v/>
      </c>
      <c r="AA15" s="26">
        <f>IF(OR(J15="",L15=""),"",IF(AND(J15&lt;=EOMONTH(AA$4,0),L15&gt;=AA$4),1,""))</f>
        <v/>
      </c>
      <c r="AB15" s="26">
        <f>IF(OR(J15="",L15=""),"",IF(AND(J15&lt;=EOMONTH(AB$4,0),L15&gt;=AB$4),1,""))</f>
        <v/>
      </c>
      <c r="AC15" s="26">
        <f>IF(OR(J15="",L15=""),"",IF(AND(J15&lt;=EOMONTH(AC$4,0),L15&gt;=AC$4),1,""))</f>
        <v/>
      </c>
      <c r="AD15" s="26">
        <f>IF(OR(J15="",L15=""),"",IF(AND(J15&lt;=EOMONTH(AD$4,0),L15&gt;=AD$4),1,""))</f>
        <v/>
      </c>
      <c r="AE15" s="26">
        <f>IF(OR(J15="",L15=""),"",IF(AND(J15&lt;=EOMONTH(AE$4,0),L15&gt;=AE$4),1,""))</f>
        <v/>
      </c>
      <c r="AF15" s="26">
        <f>IF(OR(J15="",L15=""),"",IF(AND(J15&lt;=EOMONTH(AF$4,0),L15&gt;=AF$4),1,""))</f>
        <v/>
      </c>
      <c r="AG15" s="26">
        <f>IF(OR(J15="",L15=""),"",IF(AND(J15&lt;=EOMONTH(AG$4,0),L15&gt;=AG$4),1,""))</f>
        <v/>
      </c>
      <c r="AH15" s="26">
        <f>IF(OR(J15="",L15=""),"",IF(AND(J15&lt;=EOMONTH(AH$4,0),L15&gt;=AH$4),1,""))</f>
        <v/>
      </c>
      <c r="AI15" s="26">
        <f>IF(OR(J15="",L15=""),"",IF(AND(J15&lt;=EOMONTH(AI$4,0),L15&gt;=AI$4),1,""))</f>
        <v/>
      </c>
      <c r="AJ15" s="26">
        <f>IF(OR(J15="",L15=""),"",IF(AND(J15&lt;=EOMONTH(AJ$4,0),L15&gt;=AJ$4),1,""))</f>
        <v/>
      </c>
      <c r="AK15" s="26">
        <f>IF(OR(J15="",L15=""),"",IF(AND(J15&lt;=EOMONTH(AK$4,0),L15&gt;=AK$4),1,""))</f>
        <v/>
      </c>
      <c r="AL15" s="26">
        <f>IF(OR(J15="",L15=""),"",IF(AND(J15&lt;=EOMONTH(AL$4,0),L15&gt;=AL$4),1,""))</f>
        <v/>
      </c>
      <c r="AM15" s="26">
        <f>IF(OR(J15="",L15=""),"",IF(AND(J15&lt;=EOMONTH(AM$4,0),L15&gt;=AM$4),1,""))</f>
        <v/>
      </c>
      <c r="AN15" s="26">
        <f>IF(OR(J15="",L15=""),"",IF(AND(J15&lt;=EOMONTH(AN$4,0),L15&gt;=AN$4),1,""))</f>
        <v/>
      </c>
      <c r="AO15" s="26">
        <f>IF(OR(J15="",L15=""),"",IF(AND(J15&lt;=EOMONTH(AO$4,0),L15&gt;=AO$4),1,""))</f>
        <v/>
      </c>
      <c r="AP15" s="26">
        <f>IF(OR(J15="",L15=""),"",IF(AND(J15&lt;=EOMONTH(AP$4,0),L15&gt;=AP$4),1,""))</f>
        <v/>
      </c>
      <c r="AQ15" s="26">
        <f>IF(OR(J15="",L15=""),"",IF(AND(J15&lt;=EOMONTH(AQ$4,0),L15&gt;=AQ$4),1,""))</f>
        <v/>
      </c>
      <c r="AR15" s="26">
        <f>IF(OR(J15="",L15=""),"",IF(AND(J15&lt;=EOMONTH(AR$4,0),L15&gt;=AR$4),1,""))</f>
        <v/>
      </c>
      <c r="AS15" s="26">
        <f>IF(OR(J15="",L15=""),"",IF(AND(J15&lt;=EOMONTH(AS$4,0),L15&gt;=AS$4),1,""))</f>
        <v/>
      </c>
      <c r="AT15" s="26">
        <f>IF(OR(J15="",L15=""),"",IF(AND(J15&lt;=EOMONTH(AT$4,0),L15&gt;=AT$4),1,""))</f>
        <v/>
      </c>
      <c r="AU15" s="26">
        <f>IF(OR(J15="",L15=""),"",IF(AND(J15&lt;=EOMONTH(AU$4,0),L15&gt;=AU$4),1,""))</f>
        <v/>
      </c>
      <c r="AV15" s="26">
        <f>IF(OR(J15="",L15=""),"",IF(AND(J15&lt;=EOMONTH(AV$4,0),L15&gt;=AV$4),1,""))</f>
        <v/>
      </c>
      <c r="AW15" s="26">
        <f>IF(OR(J15="",L15=""),"",IF(AND(J15&lt;=EOMONTH(AW$4,0),L15&gt;=AW$4),1,""))</f>
        <v/>
      </c>
      <c r="AX15" s="26">
        <f>IF(OR(J15="",L15=""),"",IF(AND(J15&lt;=EOMONTH(AX$4,0),L15&gt;=AX$4),1,""))</f>
        <v/>
      </c>
      <c r="AY15" s="26">
        <f>IF(OR(J15="",L15=""),"",IF(AND(J15&lt;=EOMONTH(AY$4,0),L15&gt;=AY$4),1,""))</f>
        <v/>
      </c>
      <c r="AZ15" s="26">
        <f>IF(OR(J15="",L15=""),"",IF(AND(J15&lt;=EOMONTH(AZ$4,0),L15&gt;=AZ$4),1,""))</f>
        <v/>
      </c>
      <c r="BA15" s="26">
        <f>IF(OR(J15="",L15=""),"",IF(AND(J15&lt;=EOMONTH(BA$4,0),L15&gt;=BA$4),1,""))</f>
        <v/>
      </c>
      <c r="BB15" s="26">
        <f>IF(OR(J15="",L15=""),"",IF(AND(J15&lt;=EOMONTH(BB$4,0),L15&gt;=BB$4),1,""))</f>
        <v/>
      </c>
    </row>
    <row r="16">
      <c r="A16" s="27" t="n"/>
      <c r="B16" s="28" t="n"/>
      <c r="C16" s="29" t="n"/>
      <c r="D16" s="30">
        <f>IF(E16="","","CWA-"&amp;MID(E16,5,4))</f>
        <v/>
      </c>
      <c r="E16" s="29" t="n"/>
      <c r="F16" s="31" t="n"/>
      <c r="G16" s="29" t="n"/>
      <c r="H16" s="28" t="n"/>
      <c r="I16" s="29" t="n"/>
      <c r="J16" s="32" t="n"/>
      <c r="K16" s="28" t="n"/>
      <c r="L16" s="33">
        <f>IF(OR(J16="",K16=""),"",J16+7*K16-1)</f>
        <v/>
      </c>
      <c r="M16" s="33">
        <f>IF(J16="","",J16-7*$E$3)</f>
        <v/>
      </c>
      <c r="N16" s="33">
        <f>IF(J16="","",J16-7*$H$3)</f>
        <v/>
      </c>
      <c r="O16" s="33">
        <f>IF(J16="","",J16-1*$K$3)</f>
        <v/>
      </c>
      <c r="P16" s="30">
        <f>IF(OR(E16="",I16="",I16="—"),IF(E16="","","OK"),IFERROR(IF(INDEX($L$6:$L$155,MATCH(I16,$E$6:$E$155,0))&gt;=J16,"Conflicto con predecesor","OK"),"Predecesor no encontrado"))</f>
        <v/>
      </c>
      <c r="Q16" s="29" t="n"/>
      <c r="R16" s="31" t="n"/>
      <c r="S16" s="26">
        <f>IF(OR(J16="",L16=""),"",IF(AND(J16&lt;=EOMONTH(S$4,0),L16&gt;=S$4),1,""))</f>
        <v/>
      </c>
      <c r="T16" s="26">
        <f>IF(OR(J16="",L16=""),"",IF(AND(J16&lt;=EOMONTH(T$4,0),L16&gt;=T$4),1,""))</f>
        <v/>
      </c>
      <c r="U16" s="26">
        <f>IF(OR(J16="",L16=""),"",IF(AND(J16&lt;=EOMONTH(U$4,0),L16&gt;=U$4),1,""))</f>
        <v/>
      </c>
      <c r="V16" s="26">
        <f>IF(OR(J16="",L16=""),"",IF(AND(J16&lt;=EOMONTH(V$4,0),L16&gt;=V$4),1,""))</f>
        <v/>
      </c>
      <c r="W16" s="26">
        <f>IF(OR(J16="",L16=""),"",IF(AND(J16&lt;=EOMONTH(W$4,0),L16&gt;=W$4),1,""))</f>
        <v/>
      </c>
      <c r="X16" s="26">
        <f>IF(OR(J16="",L16=""),"",IF(AND(J16&lt;=EOMONTH(X$4,0),L16&gt;=X$4),1,""))</f>
        <v/>
      </c>
      <c r="Y16" s="26">
        <f>IF(OR(J16="",L16=""),"",IF(AND(J16&lt;=EOMONTH(Y$4,0),L16&gt;=Y$4),1,""))</f>
        <v/>
      </c>
      <c r="Z16" s="26">
        <f>IF(OR(J16="",L16=""),"",IF(AND(J16&lt;=EOMONTH(Z$4,0),L16&gt;=Z$4),1,""))</f>
        <v/>
      </c>
      <c r="AA16" s="26">
        <f>IF(OR(J16="",L16=""),"",IF(AND(J16&lt;=EOMONTH(AA$4,0),L16&gt;=AA$4),1,""))</f>
        <v/>
      </c>
      <c r="AB16" s="26">
        <f>IF(OR(J16="",L16=""),"",IF(AND(J16&lt;=EOMONTH(AB$4,0),L16&gt;=AB$4),1,""))</f>
        <v/>
      </c>
      <c r="AC16" s="26">
        <f>IF(OR(J16="",L16=""),"",IF(AND(J16&lt;=EOMONTH(AC$4,0),L16&gt;=AC$4),1,""))</f>
        <v/>
      </c>
      <c r="AD16" s="26">
        <f>IF(OR(J16="",L16=""),"",IF(AND(J16&lt;=EOMONTH(AD$4,0),L16&gt;=AD$4),1,""))</f>
        <v/>
      </c>
      <c r="AE16" s="26">
        <f>IF(OR(J16="",L16=""),"",IF(AND(J16&lt;=EOMONTH(AE$4,0),L16&gt;=AE$4),1,""))</f>
        <v/>
      </c>
      <c r="AF16" s="26">
        <f>IF(OR(J16="",L16=""),"",IF(AND(J16&lt;=EOMONTH(AF$4,0),L16&gt;=AF$4),1,""))</f>
        <v/>
      </c>
      <c r="AG16" s="26">
        <f>IF(OR(J16="",L16=""),"",IF(AND(J16&lt;=EOMONTH(AG$4,0),L16&gt;=AG$4),1,""))</f>
        <v/>
      </c>
      <c r="AH16" s="26">
        <f>IF(OR(J16="",L16=""),"",IF(AND(J16&lt;=EOMONTH(AH$4,0),L16&gt;=AH$4),1,""))</f>
        <v/>
      </c>
      <c r="AI16" s="26">
        <f>IF(OR(J16="",L16=""),"",IF(AND(J16&lt;=EOMONTH(AI$4,0),L16&gt;=AI$4),1,""))</f>
        <v/>
      </c>
      <c r="AJ16" s="26">
        <f>IF(OR(J16="",L16=""),"",IF(AND(J16&lt;=EOMONTH(AJ$4,0),L16&gt;=AJ$4),1,""))</f>
        <v/>
      </c>
      <c r="AK16" s="26">
        <f>IF(OR(J16="",L16=""),"",IF(AND(J16&lt;=EOMONTH(AK$4,0),L16&gt;=AK$4),1,""))</f>
        <v/>
      </c>
      <c r="AL16" s="26">
        <f>IF(OR(J16="",L16=""),"",IF(AND(J16&lt;=EOMONTH(AL$4,0),L16&gt;=AL$4),1,""))</f>
        <v/>
      </c>
      <c r="AM16" s="26">
        <f>IF(OR(J16="",L16=""),"",IF(AND(J16&lt;=EOMONTH(AM$4,0),L16&gt;=AM$4),1,""))</f>
        <v/>
      </c>
      <c r="AN16" s="26">
        <f>IF(OR(J16="",L16=""),"",IF(AND(J16&lt;=EOMONTH(AN$4,0),L16&gt;=AN$4),1,""))</f>
        <v/>
      </c>
      <c r="AO16" s="26">
        <f>IF(OR(J16="",L16=""),"",IF(AND(J16&lt;=EOMONTH(AO$4,0),L16&gt;=AO$4),1,""))</f>
        <v/>
      </c>
      <c r="AP16" s="26">
        <f>IF(OR(J16="",L16=""),"",IF(AND(J16&lt;=EOMONTH(AP$4,0),L16&gt;=AP$4),1,""))</f>
        <v/>
      </c>
      <c r="AQ16" s="26">
        <f>IF(OR(J16="",L16=""),"",IF(AND(J16&lt;=EOMONTH(AQ$4,0),L16&gt;=AQ$4),1,""))</f>
        <v/>
      </c>
      <c r="AR16" s="26">
        <f>IF(OR(J16="",L16=""),"",IF(AND(J16&lt;=EOMONTH(AR$4,0),L16&gt;=AR$4),1,""))</f>
        <v/>
      </c>
      <c r="AS16" s="26">
        <f>IF(OR(J16="",L16=""),"",IF(AND(J16&lt;=EOMONTH(AS$4,0),L16&gt;=AS$4),1,""))</f>
        <v/>
      </c>
      <c r="AT16" s="26">
        <f>IF(OR(J16="",L16=""),"",IF(AND(J16&lt;=EOMONTH(AT$4,0),L16&gt;=AT$4),1,""))</f>
        <v/>
      </c>
      <c r="AU16" s="26">
        <f>IF(OR(J16="",L16=""),"",IF(AND(J16&lt;=EOMONTH(AU$4,0),L16&gt;=AU$4),1,""))</f>
        <v/>
      </c>
      <c r="AV16" s="26">
        <f>IF(OR(J16="",L16=""),"",IF(AND(J16&lt;=EOMONTH(AV$4,0),L16&gt;=AV$4),1,""))</f>
        <v/>
      </c>
      <c r="AW16" s="26">
        <f>IF(OR(J16="",L16=""),"",IF(AND(J16&lt;=EOMONTH(AW$4,0),L16&gt;=AW$4),1,""))</f>
        <v/>
      </c>
      <c r="AX16" s="26">
        <f>IF(OR(J16="",L16=""),"",IF(AND(J16&lt;=EOMONTH(AX$4,0),L16&gt;=AX$4),1,""))</f>
        <v/>
      </c>
      <c r="AY16" s="26">
        <f>IF(OR(J16="",L16=""),"",IF(AND(J16&lt;=EOMONTH(AY$4,0),L16&gt;=AY$4),1,""))</f>
        <v/>
      </c>
      <c r="AZ16" s="26">
        <f>IF(OR(J16="",L16=""),"",IF(AND(J16&lt;=EOMONTH(AZ$4,0),L16&gt;=AZ$4),1,""))</f>
        <v/>
      </c>
      <c r="BA16" s="26">
        <f>IF(OR(J16="",L16=""),"",IF(AND(J16&lt;=EOMONTH(BA$4,0),L16&gt;=BA$4),1,""))</f>
        <v/>
      </c>
      <c r="BB16" s="26">
        <f>IF(OR(J16="",L16=""),"",IF(AND(J16&lt;=EOMONTH(BB$4,0),L16&gt;=BB$4),1,""))</f>
        <v/>
      </c>
    </row>
    <row r="17">
      <c r="A17" s="27" t="n"/>
      <c r="B17" s="28" t="n"/>
      <c r="C17" s="29" t="n"/>
      <c r="D17" s="30">
        <f>IF(E17="","","CWA-"&amp;MID(E17,5,4))</f>
        <v/>
      </c>
      <c r="E17" s="29" t="n"/>
      <c r="F17" s="31" t="n"/>
      <c r="G17" s="29" t="n"/>
      <c r="H17" s="28" t="n"/>
      <c r="I17" s="29" t="n"/>
      <c r="J17" s="32" t="n"/>
      <c r="K17" s="28" t="n"/>
      <c r="L17" s="33">
        <f>IF(OR(J17="",K17=""),"",J17+7*K17-1)</f>
        <v/>
      </c>
      <c r="M17" s="33">
        <f>IF(J17="","",J17-7*$E$3)</f>
        <v/>
      </c>
      <c r="N17" s="33">
        <f>IF(J17="","",J17-7*$H$3)</f>
        <v/>
      </c>
      <c r="O17" s="33">
        <f>IF(J17="","",J17-1*$K$3)</f>
        <v/>
      </c>
      <c r="P17" s="30">
        <f>IF(OR(E17="",I17="",I17="—"),IF(E17="","","OK"),IFERROR(IF(INDEX($L$6:$L$155,MATCH(I17,$E$6:$E$155,0))&gt;=J17,"Conflicto con predecesor","OK"),"Predecesor no encontrado"))</f>
        <v/>
      </c>
      <c r="Q17" s="29" t="n"/>
      <c r="R17" s="31" t="n"/>
      <c r="S17" s="26">
        <f>IF(OR(J17="",L17=""),"",IF(AND(J17&lt;=EOMONTH(S$4,0),L17&gt;=S$4),1,""))</f>
        <v/>
      </c>
      <c r="T17" s="26">
        <f>IF(OR(J17="",L17=""),"",IF(AND(J17&lt;=EOMONTH(T$4,0),L17&gt;=T$4),1,""))</f>
        <v/>
      </c>
      <c r="U17" s="26">
        <f>IF(OR(J17="",L17=""),"",IF(AND(J17&lt;=EOMONTH(U$4,0),L17&gt;=U$4),1,""))</f>
        <v/>
      </c>
      <c r="V17" s="26">
        <f>IF(OR(J17="",L17=""),"",IF(AND(J17&lt;=EOMONTH(V$4,0),L17&gt;=V$4),1,""))</f>
        <v/>
      </c>
      <c r="W17" s="26">
        <f>IF(OR(J17="",L17=""),"",IF(AND(J17&lt;=EOMONTH(W$4,0),L17&gt;=W$4),1,""))</f>
        <v/>
      </c>
      <c r="X17" s="26">
        <f>IF(OR(J17="",L17=""),"",IF(AND(J17&lt;=EOMONTH(X$4,0),L17&gt;=X$4),1,""))</f>
        <v/>
      </c>
      <c r="Y17" s="26">
        <f>IF(OR(J17="",L17=""),"",IF(AND(J17&lt;=EOMONTH(Y$4,0),L17&gt;=Y$4),1,""))</f>
        <v/>
      </c>
      <c r="Z17" s="26">
        <f>IF(OR(J17="",L17=""),"",IF(AND(J17&lt;=EOMONTH(Z$4,0),L17&gt;=Z$4),1,""))</f>
        <v/>
      </c>
      <c r="AA17" s="26">
        <f>IF(OR(J17="",L17=""),"",IF(AND(J17&lt;=EOMONTH(AA$4,0),L17&gt;=AA$4),1,""))</f>
        <v/>
      </c>
      <c r="AB17" s="26">
        <f>IF(OR(J17="",L17=""),"",IF(AND(J17&lt;=EOMONTH(AB$4,0),L17&gt;=AB$4),1,""))</f>
        <v/>
      </c>
      <c r="AC17" s="26">
        <f>IF(OR(J17="",L17=""),"",IF(AND(J17&lt;=EOMONTH(AC$4,0),L17&gt;=AC$4),1,""))</f>
        <v/>
      </c>
      <c r="AD17" s="26">
        <f>IF(OR(J17="",L17=""),"",IF(AND(J17&lt;=EOMONTH(AD$4,0),L17&gt;=AD$4),1,""))</f>
        <v/>
      </c>
      <c r="AE17" s="26">
        <f>IF(OR(J17="",L17=""),"",IF(AND(J17&lt;=EOMONTH(AE$4,0),L17&gt;=AE$4),1,""))</f>
        <v/>
      </c>
      <c r="AF17" s="26">
        <f>IF(OR(J17="",L17=""),"",IF(AND(J17&lt;=EOMONTH(AF$4,0),L17&gt;=AF$4),1,""))</f>
        <v/>
      </c>
      <c r="AG17" s="26">
        <f>IF(OR(J17="",L17=""),"",IF(AND(J17&lt;=EOMONTH(AG$4,0),L17&gt;=AG$4),1,""))</f>
        <v/>
      </c>
      <c r="AH17" s="26">
        <f>IF(OR(J17="",L17=""),"",IF(AND(J17&lt;=EOMONTH(AH$4,0),L17&gt;=AH$4),1,""))</f>
        <v/>
      </c>
      <c r="AI17" s="26">
        <f>IF(OR(J17="",L17=""),"",IF(AND(J17&lt;=EOMONTH(AI$4,0),L17&gt;=AI$4),1,""))</f>
        <v/>
      </c>
      <c r="AJ17" s="26">
        <f>IF(OR(J17="",L17=""),"",IF(AND(J17&lt;=EOMONTH(AJ$4,0),L17&gt;=AJ$4),1,""))</f>
        <v/>
      </c>
      <c r="AK17" s="26">
        <f>IF(OR(J17="",L17=""),"",IF(AND(J17&lt;=EOMONTH(AK$4,0),L17&gt;=AK$4),1,""))</f>
        <v/>
      </c>
      <c r="AL17" s="26">
        <f>IF(OR(J17="",L17=""),"",IF(AND(J17&lt;=EOMONTH(AL$4,0),L17&gt;=AL$4),1,""))</f>
        <v/>
      </c>
      <c r="AM17" s="26">
        <f>IF(OR(J17="",L17=""),"",IF(AND(J17&lt;=EOMONTH(AM$4,0),L17&gt;=AM$4),1,""))</f>
        <v/>
      </c>
      <c r="AN17" s="26">
        <f>IF(OR(J17="",L17=""),"",IF(AND(J17&lt;=EOMONTH(AN$4,0),L17&gt;=AN$4),1,""))</f>
        <v/>
      </c>
      <c r="AO17" s="26">
        <f>IF(OR(J17="",L17=""),"",IF(AND(J17&lt;=EOMONTH(AO$4,0),L17&gt;=AO$4),1,""))</f>
        <v/>
      </c>
      <c r="AP17" s="26">
        <f>IF(OR(J17="",L17=""),"",IF(AND(J17&lt;=EOMONTH(AP$4,0),L17&gt;=AP$4),1,""))</f>
        <v/>
      </c>
      <c r="AQ17" s="26">
        <f>IF(OR(J17="",L17=""),"",IF(AND(J17&lt;=EOMONTH(AQ$4,0),L17&gt;=AQ$4),1,""))</f>
        <v/>
      </c>
      <c r="AR17" s="26">
        <f>IF(OR(J17="",L17=""),"",IF(AND(J17&lt;=EOMONTH(AR$4,0),L17&gt;=AR$4),1,""))</f>
        <v/>
      </c>
      <c r="AS17" s="26">
        <f>IF(OR(J17="",L17=""),"",IF(AND(J17&lt;=EOMONTH(AS$4,0),L17&gt;=AS$4),1,""))</f>
        <v/>
      </c>
      <c r="AT17" s="26">
        <f>IF(OR(J17="",L17=""),"",IF(AND(J17&lt;=EOMONTH(AT$4,0),L17&gt;=AT$4),1,""))</f>
        <v/>
      </c>
      <c r="AU17" s="26">
        <f>IF(OR(J17="",L17=""),"",IF(AND(J17&lt;=EOMONTH(AU$4,0),L17&gt;=AU$4),1,""))</f>
        <v/>
      </c>
      <c r="AV17" s="26">
        <f>IF(OR(J17="",L17=""),"",IF(AND(J17&lt;=EOMONTH(AV$4,0),L17&gt;=AV$4),1,""))</f>
        <v/>
      </c>
      <c r="AW17" s="26">
        <f>IF(OR(J17="",L17=""),"",IF(AND(J17&lt;=EOMONTH(AW$4,0),L17&gt;=AW$4),1,""))</f>
        <v/>
      </c>
      <c r="AX17" s="26">
        <f>IF(OR(J17="",L17=""),"",IF(AND(J17&lt;=EOMONTH(AX$4,0),L17&gt;=AX$4),1,""))</f>
        <v/>
      </c>
      <c r="AY17" s="26">
        <f>IF(OR(J17="",L17=""),"",IF(AND(J17&lt;=EOMONTH(AY$4,0),L17&gt;=AY$4),1,""))</f>
        <v/>
      </c>
      <c r="AZ17" s="26">
        <f>IF(OR(J17="",L17=""),"",IF(AND(J17&lt;=EOMONTH(AZ$4,0),L17&gt;=AZ$4),1,""))</f>
        <v/>
      </c>
      <c r="BA17" s="26">
        <f>IF(OR(J17="",L17=""),"",IF(AND(J17&lt;=EOMONTH(BA$4,0),L17&gt;=BA$4),1,""))</f>
        <v/>
      </c>
      <c r="BB17" s="26">
        <f>IF(OR(J17="",L17=""),"",IF(AND(J17&lt;=EOMONTH(BB$4,0),L17&gt;=BB$4),1,""))</f>
        <v/>
      </c>
    </row>
    <row r="18">
      <c r="A18" s="27" t="n"/>
      <c r="B18" s="28" t="n"/>
      <c r="C18" s="29" t="n"/>
      <c r="D18" s="30">
        <f>IF(E18="","","CWA-"&amp;MID(E18,5,4))</f>
        <v/>
      </c>
      <c r="E18" s="29" t="n"/>
      <c r="F18" s="31" t="n"/>
      <c r="G18" s="29" t="n"/>
      <c r="H18" s="28" t="n"/>
      <c r="I18" s="29" t="n"/>
      <c r="J18" s="32" t="n"/>
      <c r="K18" s="28" t="n"/>
      <c r="L18" s="33">
        <f>IF(OR(J18="",K18=""),"",J18+7*K18-1)</f>
        <v/>
      </c>
      <c r="M18" s="33">
        <f>IF(J18="","",J18-7*$E$3)</f>
        <v/>
      </c>
      <c r="N18" s="33">
        <f>IF(J18="","",J18-7*$H$3)</f>
        <v/>
      </c>
      <c r="O18" s="33">
        <f>IF(J18="","",J18-1*$K$3)</f>
        <v/>
      </c>
      <c r="P18" s="30">
        <f>IF(OR(E18="",I18="",I18="—"),IF(E18="","","OK"),IFERROR(IF(INDEX($L$6:$L$155,MATCH(I18,$E$6:$E$155,0))&gt;=J18,"Conflicto con predecesor","OK"),"Predecesor no encontrado"))</f>
        <v/>
      </c>
      <c r="Q18" s="29" t="n"/>
      <c r="R18" s="31" t="n"/>
      <c r="S18" s="26">
        <f>IF(OR(J18="",L18=""),"",IF(AND(J18&lt;=EOMONTH(S$4,0),L18&gt;=S$4),1,""))</f>
        <v/>
      </c>
      <c r="T18" s="26">
        <f>IF(OR(J18="",L18=""),"",IF(AND(J18&lt;=EOMONTH(T$4,0),L18&gt;=T$4),1,""))</f>
        <v/>
      </c>
      <c r="U18" s="26">
        <f>IF(OR(J18="",L18=""),"",IF(AND(J18&lt;=EOMONTH(U$4,0),L18&gt;=U$4),1,""))</f>
        <v/>
      </c>
      <c r="V18" s="26">
        <f>IF(OR(J18="",L18=""),"",IF(AND(J18&lt;=EOMONTH(V$4,0),L18&gt;=V$4),1,""))</f>
        <v/>
      </c>
      <c r="W18" s="26">
        <f>IF(OR(J18="",L18=""),"",IF(AND(J18&lt;=EOMONTH(W$4,0),L18&gt;=W$4),1,""))</f>
        <v/>
      </c>
      <c r="X18" s="26">
        <f>IF(OR(J18="",L18=""),"",IF(AND(J18&lt;=EOMONTH(X$4,0),L18&gt;=X$4),1,""))</f>
        <v/>
      </c>
      <c r="Y18" s="26">
        <f>IF(OR(J18="",L18=""),"",IF(AND(J18&lt;=EOMONTH(Y$4,0),L18&gt;=Y$4),1,""))</f>
        <v/>
      </c>
      <c r="Z18" s="26">
        <f>IF(OR(J18="",L18=""),"",IF(AND(J18&lt;=EOMONTH(Z$4,0),L18&gt;=Z$4),1,""))</f>
        <v/>
      </c>
      <c r="AA18" s="26">
        <f>IF(OR(J18="",L18=""),"",IF(AND(J18&lt;=EOMONTH(AA$4,0),L18&gt;=AA$4),1,""))</f>
        <v/>
      </c>
      <c r="AB18" s="26">
        <f>IF(OR(J18="",L18=""),"",IF(AND(J18&lt;=EOMONTH(AB$4,0),L18&gt;=AB$4),1,""))</f>
        <v/>
      </c>
      <c r="AC18" s="26">
        <f>IF(OR(J18="",L18=""),"",IF(AND(J18&lt;=EOMONTH(AC$4,0),L18&gt;=AC$4),1,""))</f>
        <v/>
      </c>
      <c r="AD18" s="26">
        <f>IF(OR(J18="",L18=""),"",IF(AND(J18&lt;=EOMONTH(AD$4,0),L18&gt;=AD$4),1,""))</f>
        <v/>
      </c>
      <c r="AE18" s="26">
        <f>IF(OR(J18="",L18=""),"",IF(AND(J18&lt;=EOMONTH(AE$4,0),L18&gt;=AE$4),1,""))</f>
        <v/>
      </c>
      <c r="AF18" s="26">
        <f>IF(OR(J18="",L18=""),"",IF(AND(J18&lt;=EOMONTH(AF$4,0),L18&gt;=AF$4),1,""))</f>
        <v/>
      </c>
      <c r="AG18" s="26">
        <f>IF(OR(J18="",L18=""),"",IF(AND(J18&lt;=EOMONTH(AG$4,0),L18&gt;=AG$4),1,""))</f>
        <v/>
      </c>
      <c r="AH18" s="26">
        <f>IF(OR(J18="",L18=""),"",IF(AND(J18&lt;=EOMONTH(AH$4,0),L18&gt;=AH$4),1,""))</f>
        <v/>
      </c>
      <c r="AI18" s="26">
        <f>IF(OR(J18="",L18=""),"",IF(AND(J18&lt;=EOMONTH(AI$4,0),L18&gt;=AI$4),1,""))</f>
        <v/>
      </c>
      <c r="AJ18" s="26">
        <f>IF(OR(J18="",L18=""),"",IF(AND(J18&lt;=EOMONTH(AJ$4,0),L18&gt;=AJ$4),1,""))</f>
        <v/>
      </c>
      <c r="AK18" s="26">
        <f>IF(OR(J18="",L18=""),"",IF(AND(J18&lt;=EOMONTH(AK$4,0),L18&gt;=AK$4),1,""))</f>
        <v/>
      </c>
      <c r="AL18" s="26">
        <f>IF(OR(J18="",L18=""),"",IF(AND(J18&lt;=EOMONTH(AL$4,0),L18&gt;=AL$4),1,""))</f>
        <v/>
      </c>
      <c r="AM18" s="26">
        <f>IF(OR(J18="",L18=""),"",IF(AND(J18&lt;=EOMONTH(AM$4,0),L18&gt;=AM$4),1,""))</f>
        <v/>
      </c>
      <c r="AN18" s="26">
        <f>IF(OR(J18="",L18=""),"",IF(AND(J18&lt;=EOMONTH(AN$4,0),L18&gt;=AN$4),1,""))</f>
        <v/>
      </c>
      <c r="AO18" s="26">
        <f>IF(OR(J18="",L18=""),"",IF(AND(J18&lt;=EOMONTH(AO$4,0),L18&gt;=AO$4),1,""))</f>
        <v/>
      </c>
      <c r="AP18" s="26">
        <f>IF(OR(J18="",L18=""),"",IF(AND(J18&lt;=EOMONTH(AP$4,0),L18&gt;=AP$4),1,""))</f>
        <v/>
      </c>
      <c r="AQ18" s="26">
        <f>IF(OR(J18="",L18=""),"",IF(AND(J18&lt;=EOMONTH(AQ$4,0),L18&gt;=AQ$4),1,""))</f>
        <v/>
      </c>
      <c r="AR18" s="26">
        <f>IF(OR(J18="",L18=""),"",IF(AND(J18&lt;=EOMONTH(AR$4,0),L18&gt;=AR$4),1,""))</f>
        <v/>
      </c>
      <c r="AS18" s="26">
        <f>IF(OR(J18="",L18=""),"",IF(AND(J18&lt;=EOMONTH(AS$4,0),L18&gt;=AS$4),1,""))</f>
        <v/>
      </c>
      <c r="AT18" s="26">
        <f>IF(OR(J18="",L18=""),"",IF(AND(J18&lt;=EOMONTH(AT$4,0),L18&gt;=AT$4),1,""))</f>
        <v/>
      </c>
      <c r="AU18" s="26">
        <f>IF(OR(J18="",L18=""),"",IF(AND(J18&lt;=EOMONTH(AU$4,0),L18&gt;=AU$4),1,""))</f>
        <v/>
      </c>
      <c r="AV18" s="26">
        <f>IF(OR(J18="",L18=""),"",IF(AND(J18&lt;=EOMONTH(AV$4,0),L18&gt;=AV$4),1,""))</f>
        <v/>
      </c>
      <c r="AW18" s="26">
        <f>IF(OR(J18="",L18=""),"",IF(AND(J18&lt;=EOMONTH(AW$4,0),L18&gt;=AW$4),1,""))</f>
        <v/>
      </c>
      <c r="AX18" s="26">
        <f>IF(OR(J18="",L18=""),"",IF(AND(J18&lt;=EOMONTH(AX$4,0),L18&gt;=AX$4),1,""))</f>
        <v/>
      </c>
      <c r="AY18" s="26">
        <f>IF(OR(J18="",L18=""),"",IF(AND(J18&lt;=EOMONTH(AY$4,0),L18&gt;=AY$4),1,""))</f>
        <v/>
      </c>
      <c r="AZ18" s="26">
        <f>IF(OR(J18="",L18=""),"",IF(AND(J18&lt;=EOMONTH(AZ$4,0),L18&gt;=AZ$4),1,""))</f>
        <v/>
      </c>
      <c r="BA18" s="26">
        <f>IF(OR(J18="",L18=""),"",IF(AND(J18&lt;=EOMONTH(BA$4,0),L18&gt;=BA$4),1,""))</f>
        <v/>
      </c>
      <c r="BB18" s="26">
        <f>IF(OR(J18="",L18=""),"",IF(AND(J18&lt;=EOMONTH(BB$4,0),L18&gt;=BB$4),1,""))</f>
        <v/>
      </c>
    </row>
    <row r="19">
      <c r="A19" s="27" t="n"/>
      <c r="B19" s="28" t="n"/>
      <c r="C19" s="29" t="n"/>
      <c r="D19" s="30">
        <f>IF(E19="","","CWA-"&amp;MID(E19,5,4))</f>
        <v/>
      </c>
      <c r="E19" s="29" t="n"/>
      <c r="F19" s="31" t="n"/>
      <c r="G19" s="29" t="n"/>
      <c r="H19" s="28" t="n"/>
      <c r="I19" s="29" t="n"/>
      <c r="J19" s="32" t="n"/>
      <c r="K19" s="28" t="n"/>
      <c r="L19" s="33">
        <f>IF(OR(J19="",K19=""),"",J19+7*K19-1)</f>
        <v/>
      </c>
      <c r="M19" s="33">
        <f>IF(J19="","",J19-7*$E$3)</f>
        <v/>
      </c>
      <c r="N19" s="33">
        <f>IF(J19="","",J19-7*$H$3)</f>
        <v/>
      </c>
      <c r="O19" s="33">
        <f>IF(J19="","",J19-1*$K$3)</f>
        <v/>
      </c>
      <c r="P19" s="30">
        <f>IF(OR(E19="",I19="",I19="—"),IF(E19="","","OK"),IFERROR(IF(INDEX($L$6:$L$155,MATCH(I19,$E$6:$E$155,0))&gt;=J19,"Conflicto con predecesor","OK"),"Predecesor no encontrado"))</f>
        <v/>
      </c>
      <c r="Q19" s="29" t="n"/>
      <c r="R19" s="31" t="n"/>
      <c r="S19" s="26">
        <f>IF(OR(J19="",L19=""),"",IF(AND(J19&lt;=EOMONTH(S$4,0),L19&gt;=S$4),1,""))</f>
        <v/>
      </c>
      <c r="T19" s="26">
        <f>IF(OR(J19="",L19=""),"",IF(AND(J19&lt;=EOMONTH(T$4,0),L19&gt;=T$4),1,""))</f>
        <v/>
      </c>
      <c r="U19" s="26">
        <f>IF(OR(J19="",L19=""),"",IF(AND(J19&lt;=EOMONTH(U$4,0),L19&gt;=U$4),1,""))</f>
        <v/>
      </c>
      <c r="V19" s="26">
        <f>IF(OR(J19="",L19=""),"",IF(AND(J19&lt;=EOMONTH(V$4,0),L19&gt;=V$4),1,""))</f>
        <v/>
      </c>
      <c r="W19" s="26">
        <f>IF(OR(J19="",L19=""),"",IF(AND(J19&lt;=EOMONTH(W$4,0),L19&gt;=W$4),1,""))</f>
        <v/>
      </c>
      <c r="X19" s="26">
        <f>IF(OR(J19="",L19=""),"",IF(AND(J19&lt;=EOMONTH(X$4,0),L19&gt;=X$4),1,""))</f>
        <v/>
      </c>
      <c r="Y19" s="26">
        <f>IF(OR(J19="",L19=""),"",IF(AND(J19&lt;=EOMONTH(Y$4,0),L19&gt;=Y$4),1,""))</f>
        <v/>
      </c>
      <c r="Z19" s="26">
        <f>IF(OR(J19="",L19=""),"",IF(AND(J19&lt;=EOMONTH(Z$4,0),L19&gt;=Z$4),1,""))</f>
        <v/>
      </c>
      <c r="AA19" s="26">
        <f>IF(OR(J19="",L19=""),"",IF(AND(J19&lt;=EOMONTH(AA$4,0),L19&gt;=AA$4),1,""))</f>
        <v/>
      </c>
      <c r="AB19" s="26">
        <f>IF(OR(J19="",L19=""),"",IF(AND(J19&lt;=EOMONTH(AB$4,0),L19&gt;=AB$4),1,""))</f>
        <v/>
      </c>
      <c r="AC19" s="26">
        <f>IF(OR(J19="",L19=""),"",IF(AND(J19&lt;=EOMONTH(AC$4,0),L19&gt;=AC$4),1,""))</f>
        <v/>
      </c>
      <c r="AD19" s="26">
        <f>IF(OR(J19="",L19=""),"",IF(AND(J19&lt;=EOMONTH(AD$4,0),L19&gt;=AD$4),1,""))</f>
        <v/>
      </c>
      <c r="AE19" s="26">
        <f>IF(OR(J19="",L19=""),"",IF(AND(J19&lt;=EOMONTH(AE$4,0),L19&gt;=AE$4),1,""))</f>
        <v/>
      </c>
      <c r="AF19" s="26">
        <f>IF(OR(J19="",L19=""),"",IF(AND(J19&lt;=EOMONTH(AF$4,0),L19&gt;=AF$4),1,""))</f>
        <v/>
      </c>
      <c r="AG19" s="26">
        <f>IF(OR(J19="",L19=""),"",IF(AND(J19&lt;=EOMONTH(AG$4,0),L19&gt;=AG$4),1,""))</f>
        <v/>
      </c>
      <c r="AH19" s="26">
        <f>IF(OR(J19="",L19=""),"",IF(AND(J19&lt;=EOMONTH(AH$4,0),L19&gt;=AH$4),1,""))</f>
        <v/>
      </c>
      <c r="AI19" s="26">
        <f>IF(OR(J19="",L19=""),"",IF(AND(J19&lt;=EOMONTH(AI$4,0),L19&gt;=AI$4),1,""))</f>
        <v/>
      </c>
      <c r="AJ19" s="26">
        <f>IF(OR(J19="",L19=""),"",IF(AND(J19&lt;=EOMONTH(AJ$4,0),L19&gt;=AJ$4),1,""))</f>
        <v/>
      </c>
      <c r="AK19" s="26">
        <f>IF(OR(J19="",L19=""),"",IF(AND(J19&lt;=EOMONTH(AK$4,0),L19&gt;=AK$4),1,""))</f>
        <v/>
      </c>
      <c r="AL19" s="26">
        <f>IF(OR(J19="",L19=""),"",IF(AND(J19&lt;=EOMONTH(AL$4,0),L19&gt;=AL$4),1,""))</f>
        <v/>
      </c>
      <c r="AM19" s="26">
        <f>IF(OR(J19="",L19=""),"",IF(AND(J19&lt;=EOMONTH(AM$4,0),L19&gt;=AM$4),1,""))</f>
        <v/>
      </c>
      <c r="AN19" s="26">
        <f>IF(OR(J19="",L19=""),"",IF(AND(J19&lt;=EOMONTH(AN$4,0),L19&gt;=AN$4),1,""))</f>
        <v/>
      </c>
      <c r="AO19" s="26">
        <f>IF(OR(J19="",L19=""),"",IF(AND(J19&lt;=EOMONTH(AO$4,0),L19&gt;=AO$4),1,""))</f>
        <v/>
      </c>
      <c r="AP19" s="26">
        <f>IF(OR(J19="",L19=""),"",IF(AND(J19&lt;=EOMONTH(AP$4,0),L19&gt;=AP$4),1,""))</f>
        <v/>
      </c>
      <c r="AQ19" s="26">
        <f>IF(OR(J19="",L19=""),"",IF(AND(J19&lt;=EOMONTH(AQ$4,0),L19&gt;=AQ$4),1,""))</f>
        <v/>
      </c>
      <c r="AR19" s="26">
        <f>IF(OR(J19="",L19=""),"",IF(AND(J19&lt;=EOMONTH(AR$4,0),L19&gt;=AR$4),1,""))</f>
        <v/>
      </c>
      <c r="AS19" s="26">
        <f>IF(OR(J19="",L19=""),"",IF(AND(J19&lt;=EOMONTH(AS$4,0),L19&gt;=AS$4),1,""))</f>
        <v/>
      </c>
      <c r="AT19" s="26">
        <f>IF(OR(J19="",L19=""),"",IF(AND(J19&lt;=EOMONTH(AT$4,0),L19&gt;=AT$4),1,""))</f>
        <v/>
      </c>
      <c r="AU19" s="26">
        <f>IF(OR(J19="",L19=""),"",IF(AND(J19&lt;=EOMONTH(AU$4,0),L19&gt;=AU$4),1,""))</f>
        <v/>
      </c>
      <c r="AV19" s="26">
        <f>IF(OR(J19="",L19=""),"",IF(AND(J19&lt;=EOMONTH(AV$4,0),L19&gt;=AV$4),1,""))</f>
        <v/>
      </c>
      <c r="AW19" s="26">
        <f>IF(OR(J19="",L19=""),"",IF(AND(J19&lt;=EOMONTH(AW$4,0),L19&gt;=AW$4),1,""))</f>
        <v/>
      </c>
      <c r="AX19" s="26">
        <f>IF(OR(J19="",L19=""),"",IF(AND(J19&lt;=EOMONTH(AX$4,0),L19&gt;=AX$4),1,""))</f>
        <v/>
      </c>
      <c r="AY19" s="26">
        <f>IF(OR(J19="",L19=""),"",IF(AND(J19&lt;=EOMONTH(AY$4,0),L19&gt;=AY$4),1,""))</f>
        <v/>
      </c>
      <c r="AZ19" s="26">
        <f>IF(OR(J19="",L19=""),"",IF(AND(J19&lt;=EOMONTH(AZ$4,0),L19&gt;=AZ$4),1,""))</f>
        <v/>
      </c>
      <c r="BA19" s="26">
        <f>IF(OR(J19="",L19=""),"",IF(AND(J19&lt;=EOMONTH(BA$4,0),L19&gt;=BA$4),1,""))</f>
        <v/>
      </c>
      <c r="BB19" s="26">
        <f>IF(OR(J19="",L19=""),"",IF(AND(J19&lt;=EOMONTH(BB$4,0),L19&gt;=BB$4),1,""))</f>
        <v/>
      </c>
    </row>
    <row r="20">
      <c r="A20" s="27" t="n"/>
      <c r="B20" s="28" t="n"/>
      <c r="C20" s="29" t="n"/>
      <c r="D20" s="30">
        <f>IF(E20="","","CWA-"&amp;MID(E20,5,4))</f>
        <v/>
      </c>
      <c r="E20" s="29" t="n"/>
      <c r="F20" s="31" t="n"/>
      <c r="G20" s="29" t="n"/>
      <c r="H20" s="28" t="n"/>
      <c r="I20" s="29" t="n"/>
      <c r="J20" s="32" t="n"/>
      <c r="K20" s="28" t="n"/>
      <c r="L20" s="33">
        <f>IF(OR(J20="",K20=""),"",J20+7*K20-1)</f>
        <v/>
      </c>
      <c r="M20" s="33">
        <f>IF(J20="","",J20-7*$E$3)</f>
        <v/>
      </c>
      <c r="N20" s="33">
        <f>IF(J20="","",J20-7*$H$3)</f>
        <v/>
      </c>
      <c r="O20" s="33">
        <f>IF(J20="","",J20-1*$K$3)</f>
        <v/>
      </c>
      <c r="P20" s="30">
        <f>IF(OR(E20="",I20="",I20="—"),IF(E20="","","OK"),IFERROR(IF(INDEX($L$6:$L$155,MATCH(I20,$E$6:$E$155,0))&gt;=J20,"Conflicto con predecesor","OK"),"Predecesor no encontrado"))</f>
        <v/>
      </c>
      <c r="Q20" s="29" t="n"/>
      <c r="R20" s="31" t="n"/>
      <c r="S20" s="26">
        <f>IF(OR(J20="",L20=""),"",IF(AND(J20&lt;=EOMONTH(S$4,0),L20&gt;=S$4),1,""))</f>
        <v/>
      </c>
      <c r="T20" s="26">
        <f>IF(OR(J20="",L20=""),"",IF(AND(J20&lt;=EOMONTH(T$4,0),L20&gt;=T$4),1,""))</f>
        <v/>
      </c>
      <c r="U20" s="26">
        <f>IF(OR(J20="",L20=""),"",IF(AND(J20&lt;=EOMONTH(U$4,0),L20&gt;=U$4),1,""))</f>
        <v/>
      </c>
      <c r="V20" s="26">
        <f>IF(OR(J20="",L20=""),"",IF(AND(J20&lt;=EOMONTH(V$4,0),L20&gt;=V$4),1,""))</f>
        <v/>
      </c>
      <c r="W20" s="26">
        <f>IF(OR(J20="",L20=""),"",IF(AND(J20&lt;=EOMONTH(W$4,0),L20&gt;=W$4),1,""))</f>
        <v/>
      </c>
      <c r="X20" s="26">
        <f>IF(OR(J20="",L20=""),"",IF(AND(J20&lt;=EOMONTH(X$4,0),L20&gt;=X$4),1,""))</f>
        <v/>
      </c>
      <c r="Y20" s="26">
        <f>IF(OR(J20="",L20=""),"",IF(AND(J20&lt;=EOMONTH(Y$4,0),L20&gt;=Y$4),1,""))</f>
        <v/>
      </c>
      <c r="Z20" s="26">
        <f>IF(OR(J20="",L20=""),"",IF(AND(J20&lt;=EOMONTH(Z$4,0),L20&gt;=Z$4),1,""))</f>
        <v/>
      </c>
      <c r="AA20" s="26">
        <f>IF(OR(J20="",L20=""),"",IF(AND(J20&lt;=EOMONTH(AA$4,0),L20&gt;=AA$4),1,""))</f>
        <v/>
      </c>
      <c r="AB20" s="26">
        <f>IF(OR(J20="",L20=""),"",IF(AND(J20&lt;=EOMONTH(AB$4,0),L20&gt;=AB$4),1,""))</f>
        <v/>
      </c>
      <c r="AC20" s="26">
        <f>IF(OR(J20="",L20=""),"",IF(AND(J20&lt;=EOMONTH(AC$4,0),L20&gt;=AC$4),1,""))</f>
        <v/>
      </c>
      <c r="AD20" s="26">
        <f>IF(OR(J20="",L20=""),"",IF(AND(J20&lt;=EOMONTH(AD$4,0),L20&gt;=AD$4),1,""))</f>
        <v/>
      </c>
      <c r="AE20" s="26">
        <f>IF(OR(J20="",L20=""),"",IF(AND(J20&lt;=EOMONTH(AE$4,0),L20&gt;=AE$4),1,""))</f>
        <v/>
      </c>
      <c r="AF20" s="26">
        <f>IF(OR(J20="",L20=""),"",IF(AND(J20&lt;=EOMONTH(AF$4,0),L20&gt;=AF$4),1,""))</f>
        <v/>
      </c>
      <c r="AG20" s="26">
        <f>IF(OR(J20="",L20=""),"",IF(AND(J20&lt;=EOMONTH(AG$4,0),L20&gt;=AG$4),1,""))</f>
        <v/>
      </c>
      <c r="AH20" s="26">
        <f>IF(OR(J20="",L20=""),"",IF(AND(J20&lt;=EOMONTH(AH$4,0),L20&gt;=AH$4),1,""))</f>
        <v/>
      </c>
      <c r="AI20" s="26">
        <f>IF(OR(J20="",L20=""),"",IF(AND(J20&lt;=EOMONTH(AI$4,0),L20&gt;=AI$4),1,""))</f>
        <v/>
      </c>
      <c r="AJ20" s="26">
        <f>IF(OR(J20="",L20=""),"",IF(AND(J20&lt;=EOMONTH(AJ$4,0),L20&gt;=AJ$4),1,""))</f>
        <v/>
      </c>
      <c r="AK20" s="26">
        <f>IF(OR(J20="",L20=""),"",IF(AND(J20&lt;=EOMONTH(AK$4,0),L20&gt;=AK$4),1,""))</f>
        <v/>
      </c>
      <c r="AL20" s="26">
        <f>IF(OR(J20="",L20=""),"",IF(AND(J20&lt;=EOMONTH(AL$4,0),L20&gt;=AL$4),1,""))</f>
        <v/>
      </c>
      <c r="AM20" s="26">
        <f>IF(OR(J20="",L20=""),"",IF(AND(J20&lt;=EOMONTH(AM$4,0),L20&gt;=AM$4),1,""))</f>
        <v/>
      </c>
      <c r="AN20" s="26">
        <f>IF(OR(J20="",L20=""),"",IF(AND(J20&lt;=EOMONTH(AN$4,0),L20&gt;=AN$4),1,""))</f>
        <v/>
      </c>
      <c r="AO20" s="26">
        <f>IF(OR(J20="",L20=""),"",IF(AND(J20&lt;=EOMONTH(AO$4,0),L20&gt;=AO$4),1,""))</f>
        <v/>
      </c>
      <c r="AP20" s="26">
        <f>IF(OR(J20="",L20=""),"",IF(AND(J20&lt;=EOMONTH(AP$4,0),L20&gt;=AP$4),1,""))</f>
        <v/>
      </c>
      <c r="AQ20" s="26">
        <f>IF(OR(J20="",L20=""),"",IF(AND(J20&lt;=EOMONTH(AQ$4,0),L20&gt;=AQ$4),1,""))</f>
        <v/>
      </c>
      <c r="AR20" s="26">
        <f>IF(OR(J20="",L20=""),"",IF(AND(J20&lt;=EOMONTH(AR$4,0),L20&gt;=AR$4),1,""))</f>
        <v/>
      </c>
      <c r="AS20" s="26">
        <f>IF(OR(J20="",L20=""),"",IF(AND(J20&lt;=EOMONTH(AS$4,0),L20&gt;=AS$4),1,""))</f>
        <v/>
      </c>
      <c r="AT20" s="26">
        <f>IF(OR(J20="",L20=""),"",IF(AND(J20&lt;=EOMONTH(AT$4,0),L20&gt;=AT$4),1,""))</f>
        <v/>
      </c>
      <c r="AU20" s="26">
        <f>IF(OR(J20="",L20=""),"",IF(AND(J20&lt;=EOMONTH(AU$4,0),L20&gt;=AU$4),1,""))</f>
        <v/>
      </c>
      <c r="AV20" s="26">
        <f>IF(OR(J20="",L20=""),"",IF(AND(J20&lt;=EOMONTH(AV$4,0),L20&gt;=AV$4),1,""))</f>
        <v/>
      </c>
      <c r="AW20" s="26">
        <f>IF(OR(J20="",L20=""),"",IF(AND(J20&lt;=EOMONTH(AW$4,0),L20&gt;=AW$4),1,""))</f>
        <v/>
      </c>
      <c r="AX20" s="26">
        <f>IF(OR(J20="",L20=""),"",IF(AND(J20&lt;=EOMONTH(AX$4,0),L20&gt;=AX$4),1,""))</f>
        <v/>
      </c>
      <c r="AY20" s="26">
        <f>IF(OR(J20="",L20=""),"",IF(AND(J20&lt;=EOMONTH(AY$4,0),L20&gt;=AY$4),1,""))</f>
        <v/>
      </c>
      <c r="AZ20" s="26">
        <f>IF(OR(J20="",L20=""),"",IF(AND(J20&lt;=EOMONTH(AZ$4,0),L20&gt;=AZ$4),1,""))</f>
        <v/>
      </c>
      <c r="BA20" s="26">
        <f>IF(OR(J20="",L20=""),"",IF(AND(J20&lt;=EOMONTH(BA$4,0),L20&gt;=BA$4),1,""))</f>
        <v/>
      </c>
      <c r="BB20" s="26">
        <f>IF(OR(J20="",L20=""),"",IF(AND(J20&lt;=EOMONTH(BB$4,0),L20&gt;=BB$4),1,""))</f>
        <v/>
      </c>
    </row>
    <row r="21">
      <c r="A21" s="27" t="n"/>
      <c r="B21" s="28" t="n"/>
      <c r="C21" s="29" t="n"/>
      <c r="D21" s="30">
        <f>IF(E21="","","CWA-"&amp;MID(E21,5,4))</f>
        <v/>
      </c>
      <c r="E21" s="29" t="n"/>
      <c r="F21" s="31" t="n"/>
      <c r="G21" s="29" t="n"/>
      <c r="H21" s="28" t="n"/>
      <c r="I21" s="29" t="n"/>
      <c r="J21" s="32" t="n"/>
      <c r="K21" s="28" t="n"/>
      <c r="L21" s="33">
        <f>IF(OR(J21="",K21=""),"",J21+7*K21-1)</f>
        <v/>
      </c>
      <c r="M21" s="33">
        <f>IF(J21="","",J21-7*$E$3)</f>
        <v/>
      </c>
      <c r="N21" s="33">
        <f>IF(J21="","",J21-7*$H$3)</f>
        <v/>
      </c>
      <c r="O21" s="33">
        <f>IF(J21="","",J21-1*$K$3)</f>
        <v/>
      </c>
      <c r="P21" s="30">
        <f>IF(OR(E21="",I21="",I21="—"),IF(E21="","","OK"),IFERROR(IF(INDEX($L$6:$L$155,MATCH(I21,$E$6:$E$155,0))&gt;=J21,"Conflicto con predecesor","OK"),"Predecesor no encontrado"))</f>
        <v/>
      </c>
      <c r="Q21" s="29" t="n"/>
      <c r="R21" s="31" t="n"/>
      <c r="S21" s="26">
        <f>IF(OR(J21="",L21=""),"",IF(AND(J21&lt;=EOMONTH(S$4,0),L21&gt;=S$4),1,""))</f>
        <v/>
      </c>
      <c r="T21" s="26">
        <f>IF(OR(J21="",L21=""),"",IF(AND(J21&lt;=EOMONTH(T$4,0),L21&gt;=T$4),1,""))</f>
        <v/>
      </c>
      <c r="U21" s="26">
        <f>IF(OR(J21="",L21=""),"",IF(AND(J21&lt;=EOMONTH(U$4,0),L21&gt;=U$4),1,""))</f>
        <v/>
      </c>
      <c r="V21" s="26">
        <f>IF(OR(J21="",L21=""),"",IF(AND(J21&lt;=EOMONTH(V$4,0),L21&gt;=V$4),1,""))</f>
        <v/>
      </c>
      <c r="W21" s="26">
        <f>IF(OR(J21="",L21=""),"",IF(AND(J21&lt;=EOMONTH(W$4,0),L21&gt;=W$4),1,""))</f>
        <v/>
      </c>
      <c r="X21" s="26">
        <f>IF(OR(J21="",L21=""),"",IF(AND(J21&lt;=EOMONTH(X$4,0),L21&gt;=X$4),1,""))</f>
        <v/>
      </c>
      <c r="Y21" s="26">
        <f>IF(OR(J21="",L21=""),"",IF(AND(J21&lt;=EOMONTH(Y$4,0),L21&gt;=Y$4),1,""))</f>
        <v/>
      </c>
      <c r="Z21" s="26">
        <f>IF(OR(J21="",L21=""),"",IF(AND(J21&lt;=EOMONTH(Z$4,0),L21&gt;=Z$4),1,""))</f>
        <v/>
      </c>
      <c r="AA21" s="26">
        <f>IF(OR(J21="",L21=""),"",IF(AND(J21&lt;=EOMONTH(AA$4,0),L21&gt;=AA$4),1,""))</f>
        <v/>
      </c>
      <c r="AB21" s="26">
        <f>IF(OR(J21="",L21=""),"",IF(AND(J21&lt;=EOMONTH(AB$4,0),L21&gt;=AB$4),1,""))</f>
        <v/>
      </c>
      <c r="AC21" s="26">
        <f>IF(OR(J21="",L21=""),"",IF(AND(J21&lt;=EOMONTH(AC$4,0),L21&gt;=AC$4),1,""))</f>
        <v/>
      </c>
      <c r="AD21" s="26">
        <f>IF(OR(J21="",L21=""),"",IF(AND(J21&lt;=EOMONTH(AD$4,0),L21&gt;=AD$4),1,""))</f>
        <v/>
      </c>
      <c r="AE21" s="26">
        <f>IF(OR(J21="",L21=""),"",IF(AND(J21&lt;=EOMONTH(AE$4,0),L21&gt;=AE$4),1,""))</f>
        <v/>
      </c>
      <c r="AF21" s="26">
        <f>IF(OR(J21="",L21=""),"",IF(AND(J21&lt;=EOMONTH(AF$4,0),L21&gt;=AF$4),1,""))</f>
        <v/>
      </c>
      <c r="AG21" s="26">
        <f>IF(OR(J21="",L21=""),"",IF(AND(J21&lt;=EOMONTH(AG$4,0),L21&gt;=AG$4),1,""))</f>
        <v/>
      </c>
      <c r="AH21" s="26">
        <f>IF(OR(J21="",L21=""),"",IF(AND(J21&lt;=EOMONTH(AH$4,0),L21&gt;=AH$4),1,""))</f>
        <v/>
      </c>
      <c r="AI21" s="26">
        <f>IF(OR(J21="",L21=""),"",IF(AND(J21&lt;=EOMONTH(AI$4,0),L21&gt;=AI$4),1,""))</f>
        <v/>
      </c>
      <c r="AJ21" s="26">
        <f>IF(OR(J21="",L21=""),"",IF(AND(J21&lt;=EOMONTH(AJ$4,0),L21&gt;=AJ$4),1,""))</f>
        <v/>
      </c>
      <c r="AK21" s="26">
        <f>IF(OR(J21="",L21=""),"",IF(AND(J21&lt;=EOMONTH(AK$4,0),L21&gt;=AK$4),1,""))</f>
        <v/>
      </c>
      <c r="AL21" s="26">
        <f>IF(OR(J21="",L21=""),"",IF(AND(J21&lt;=EOMONTH(AL$4,0),L21&gt;=AL$4),1,""))</f>
        <v/>
      </c>
      <c r="AM21" s="26">
        <f>IF(OR(J21="",L21=""),"",IF(AND(J21&lt;=EOMONTH(AM$4,0),L21&gt;=AM$4),1,""))</f>
        <v/>
      </c>
      <c r="AN21" s="26">
        <f>IF(OR(J21="",L21=""),"",IF(AND(J21&lt;=EOMONTH(AN$4,0),L21&gt;=AN$4),1,""))</f>
        <v/>
      </c>
      <c r="AO21" s="26">
        <f>IF(OR(J21="",L21=""),"",IF(AND(J21&lt;=EOMONTH(AO$4,0),L21&gt;=AO$4),1,""))</f>
        <v/>
      </c>
      <c r="AP21" s="26">
        <f>IF(OR(J21="",L21=""),"",IF(AND(J21&lt;=EOMONTH(AP$4,0),L21&gt;=AP$4),1,""))</f>
        <v/>
      </c>
      <c r="AQ21" s="26">
        <f>IF(OR(J21="",L21=""),"",IF(AND(J21&lt;=EOMONTH(AQ$4,0),L21&gt;=AQ$4),1,""))</f>
        <v/>
      </c>
      <c r="AR21" s="26">
        <f>IF(OR(J21="",L21=""),"",IF(AND(J21&lt;=EOMONTH(AR$4,0),L21&gt;=AR$4),1,""))</f>
        <v/>
      </c>
      <c r="AS21" s="26">
        <f>IF(OR(J21="",L21=""),"",IF(AND(J21&lt;=EOMONTH(AS$4,0),L21&gt;=AS$4),1,""))</f>
        <v/>
      </c>
      <c r="AT21" s="26">
        <f>IF(OR(J21="",L21=""),"",IF(AND(J21&lt;=EOMONTH(AT$4,0),L21&gt;=AT$4),1,""))</f>
        <v/>
      </c>
      <c r="AU21" s="26">
        <f>IF(OR(J21="",L21=""),"",IF(AND(J21&lt;=EOMONTH(AU$4,0),L21&gt;=AU$4),1,""))</f>
        <v/>
      </c>
      <c r="AV21" s="26">
        <f>IF(OR(J21="",L21=""),"",IF(AND(J21&lt;=EOMONTH(AV$4,0),L21&gt;=AV$4),1,""))</f>
        <v/>
      </c>
      <c r="AW21" s="26">
        <f>IF(OR(J21="",L21=""),"",IF(AND(J21&lt;=EOMONTH(AW$4,0),L21&gt;=AW$4),1,""))</f>
        <v/>
      </c>
      <c r="AX21" s="26">
        <f>IF(OR(J21="",L21=""),"",IF(AND(J21&lt;=EOMONTH(AX$4,0),L21&gt;=AX$4),1,""))</f>
        <v/>
      </c>
      <c r="AY21" s="26">
        <f>IF(OR(J21="",L21=""),"",IF(AND(J21&lt;=EOMONTH(AY$4,0),L21&gt;=AY$4),1,""))</f>
        <v/>
      </c>
      <c r="AZ21" s="26">
        <f>IF(OR(J21="",L21=""),"",IF(AND(J21&lt;=EOMONTH(AZ$4,0),L21&gt;=AZ$4),1,""))</f>
        <v/>
      </c>
      <c r="BA21" s="26">
        <f>IF(OR(J21="",L21=""),"",IF(AND(J21&lt;=EOMONTH(BA$4,0),L21&gt;=BA$4),1,""))</f>
        <v/>
      </c>
      <c r="BB21" s="26">
        <f>IF(OR(J21="",L21=""),"",IF(AND(J21&lt;=EOMONTH(BB$4,0),L21&gt;=BB$4),1,""))</f>
        <v/>
      </c>
    </row>
    <row r="22">
      <c r="A22" s="27" t="n"/>
      <c r="B22" s="28" t="n"/>
      <c r="C22" s="29" t="n"/>
      <c r="D22" s="30">
        <f>IF(E22="","","CWA-"&amp;MID(E22,5,4))</f>
        <v/>
      </c>
      <c r="E22" s="29" t="n"/>
      <c r="F22" s="31" t="n"/>
      <c r="G22" s="29" t="n"/>
      <c r="H22" s="28" t="n"/>
      <c r="I22" s="29" t="n"/>
      <c r="J22" s="32" t="n"/>
      <c r="K22" s="28" t="n"/>
      <c r="L22" s="33">
        <f>IF(OR(J22="",K22=""),"",J22+7*K22-1)</f>
        <v/>
      </c>
      <c r="M22" s="33">
        <f>IF(J22="","",J22-7*$E$3)</f>
        <v/>
      </c>
      <c r="N22" s="33">
        <f>IF(J22="","",J22-7*$H$3)</f>
        <v/>
      </c>
      <c r="O22" s="33">
        <f>IF(J22="","",J22-1*$K$3)</f>
        <v/>
      </c>
      <c r="P22" s="30">
        <f>IF(OR(E22="",I22="",I22="—"),IF(E22="","","OK"),IFERROR(IF(INDEX($L$6:$L$155,MATCH(I22,$E$6:$E$155,0))&gt;=J22,"Conflicto con predecesor","OK"),"Predecesor no encontrado"))</f>
        <v/>
      </c>
      <c r="Q22" s="29" t="n"/>
      <c r="R22" s="31" t="n"/>
      <c r="S22" s="26">
        <f>IF(OR(J22="",L22=""),"",IF(AND(J22&lt;=EOMONTH(S$4,0),L22&gt;=S$4),1,""))</f>
        <v/>
      </c>
      <c r="T22" s="26">
        <f>IF(OR(J22="",L22=""),"",IF(AND(J22&lt;=EOMONTH(T$4,0),L22&gt;=T$4),1,""))</f>
        <v/>
      </c>
      <c r="U22" s="26">
        <f>IF(OR(J22="",L22=""),"",IF(AND(J22&lt;=EOMONTH(U$4,0),L22&gt;=U$4),1,""))</f>
        <v/>
      </c>
      <c r="V22" s="26">
        <f>IF(OR(J22="",L22=""),"",IF(AND(J22&lt;=EOMONTH(V$4,0),L22&gt;=V$4),1,""))</f>
        <v/>
      </c>
      <c r="W22" s="26">
        <f>IF(OR(J22="",L22=""),"",IF(AND(J22&lt;=EOMONTH(W$4,0),L22&gt;=W$4),1,""))</f>
        <v/>
      </c>
      <c r="X22" s="26">
        <f>IF(OR(J22="",L22=""),"",IF(AND(J22&lt;=EOMONTH(X$4,0),L22&gt;=X$4),1,""))</f>
        <v/>
      </c>
      <c r="Y22" s="26">
        <f>IF(OR(J22="",L22=""),"",IF(AND(J22&lt;=EOMONTH(Y$4,0),L22&gt;=Y$4),1,""))</f>
        <v/>
      </c>
      <c r="Z22" s="26">
        <f>IF(OR(J22="",L22=""),"",IF(AND(J22&lt;=EOMONTH(Z$4,0),L22&gt;=Z$4),1,""))</f>
        <v/>
      </c>
      <c r="AA22" s="26">
        <f>IF(OR(J22="",L22=""),"",IF(AND(J22&lt;=EOMONTH(AA$4,0),L22&gt;=AA$4),1,""))</f>
        <v/>
      </c>
      <c r="AB22" s="26">
        <f>IF(OR(J22="",L22=""),"",IF(AND(J22&lt;=EOMONTH(AB$4,0),L22&gt;=AB$4),1,""))</f>
        <v/>
      </c>
      <c r="AC22" s="26">
        <f>IF(OR(J22="",L22=""),"",IF(AND(J22&lt;=EOMONTH(AC$4,0),L22&gt;=AC$4),1,""))</f>
        <v/>
      </c>
      <c r="AD22" s="26">
        <f>IF(OR(J22="",L22=""),"",IF(AND(J22&lt;=EOMONTH(AD$4,0),L22&gt;=AD$4),1,""))</f>
        <v/>
      </c>
      <c r="AE22" s="26">
        <f>IF(OR(J22="",L22=""),"",IF(AND(J22&lt;=EOMONTH(AE$4,0),L22&gt;=AE$4),1,""))</f>
        <v/>
      </c>
      <c r="AF22" s="26">
        <f>IF(OR(J22="",L22=""),"",IF(AND(J22&lt;=EOMONTH(AF$4,0),L22&gt;=AF$4),1,""))</f>
        <v/>
      </c>
      <c r="AG22" s="26">
        <f>IF(OR(J22="",L22=""),"",IF(AND(J22&lt;=EOMONTH(AG$4,0),L22&gt;=AG$4),1,""))</f>
        <v/>
      </c>
      <c r="AH22" s="26">
        <f>IF(OR(J22="",L22=""),"",IF(AND(J22&lt;=EOMONTH(AH$4,0),L22&gt;=AH$4),1,""))</f>
        <v/>
      </c>
      <c r="AI22" s="26">
        <f>IF(OR(J22="",L22=""),"",IF(AND(J22&lt;=EOMONTH(AI$4,0),L22&gt;=AI$4),1,""))</f>
        <v/>
      </c>
      <c r="AJ22" s="26">
        <f>IF(OR(J22="",L22=""),"",IF(AND(J22&lt;=EOMONTH(AJ$4,0),L22&gt;=AJ$4),1,""))</f>
        <v/>
      </c>
      <c r="AK22" s="26">
        <f>IF(OR(J22="",L22=""),"",IF(AND(J22&lt;=EOMONTH(AK$4,0),L22&gt;=AK$4),1,""))</f>
        <v/>
      </c>
      <c r="AL22" s="26">
        <f>IF(OR(J22="",L22=""),"",IF(AND(J22&lt;=EOMONTH(AL$4,0),L22&gt;=AL$4),1,""))</f>
        <v/>
      </c>
      <c r="AM22" s="26">
        <f>IF(OR(J22="",L22=""),"",IF(AND(J22&lt;=EOMONTH(AM$4,0),L22&gt;=AM$4),1,""))</f>
        <v/>
      </c>
      <c r="AN22" s="26">
        <f>IF(OR(J22="",L22=""),"",IF(AND(J22&lt;=EOMONTH(AN$4,0),L22&gt;=AN$4),1,""))</f>
        <v/>
      </c>
      <c r="AO22" s="26">
        <f>IF(OR(J22="",L22=""),"",IF(AND(J22&lt;=EOMONTH(AO$4,0),L22&gt;=AO$4),1,""))</f>
        <v/>
      </c>
      <c r="AP22" s="26">
        <f>IF(OR(J22="",L22=""),"",IF(AND(J22&lt;=EOMONTH(AP$4,0),L22&gt;=AP$4),1,""))</f>
        <v/>
      </c>
      <c r="AQ22" s="26">
        <f>IF(OR(J22="",L22=""),"",IF(AND(J22&lt;=EOMONTH(AQ$4,0),L22&gt;=AQ$4),1,""))</f>
        <v/>
      </c>
      <c r="AR22" s="26">
        <f>IF(OR(J22="",L22=""),"",IF(AND(J22&lt;=EOMONTH(AR$4,0),L22&gt;=AR$4),1,""))</f>
        <v/>
      </c>
      <c r="AS22" s="26">
        <f>IF(OR(J22="",L22=""),"",IF(AND(J22&lt;=EOMONTH(AS$4,0),L22&gt;=AS$4),1,""))</f>
        <v/>
      </c>
      <c r="AT22" s="26">
        <f>IF(OR(J22="",L22=""),"",IF(AND(J22&lt;=EOMONTH(AT$4,0),L22&gt;=AT$4),1,""))</f>
        <v/>
      </c>
      <c r="AU22" s="26">
        <f>IF(OR(J22="",L22=""),"",IF(AND(J22&lt;=EOMONTH(AU$4,0),L22&gt;=AU$4),1,""))</f>
        <v/>
      </c>
      <c r="AV22" s="26">
        <f>IF(OR(J22="",L22=""),"",IF(AND(J22&lt;=EOMONTH(AV$4,0),L22&gt;=AV$4),1,""))</f>
        <v/>
      </c>
      <c r="AW22" s="26">
        <f>IF(OR(J22="",L22=""),"",IF(AND(J22&lt;=EOMONTH(AW$4,0),L22&gt;=AW$4),1,""))</f>
        <v/>
      </c>
      <c r="AX22" s="26">
        <f>IF(OR(J22="",L22=""),"",IF(AND(J22&lt;=EOMONTH(AX$4,0),L22&gt;=AX$4),1,""))</f>
        <v/>
      </c>
      <c r="AY22" s="26">
        <f>IF(OR(J22="",L22=""),"",IF(AND(J22&lt;=EOMONTH(AY$4,0),L22&gt;=AY$4),1,""))</f>
        <v/>
      </c>
      <c r="AZ22" s="26">
        <f>IF(OR(J22="",L22=""),"",IF(AND(J22&lt;=EOMONTH(AZ$4,0),L22&gt;=AZ$4),1,""))</f>
        <v/>
      </c>
      <c r="BA22" s="26">
        <f>IF(OR(J22="",L22=""),"",IF(AND(J22&lt;=EOMONTH(BA$4,0),L22&gt;=BA$4),1,""))</f>
        <v/>
      </c>
      <c r="BB22" s="26">
        <f>IF(OR(J22="",L22=""),"",IF(AND(J22&lt;=EOMONTH(BB$4,0),L22&gt;=BB$4),1,""))</f>
        <v/>
      </c>
    </row>
    <row r="23">
      <c r="A23" s="27" t="n"/>
      <c r="B23" s="28" t="n"/>
      <c r="C23" s="29" t="n"/>
      <c r="D23" s="30">
        <f>IF(E23="","","CWA-"&amp;MID(E23,5,4))</f>
        <v/>
      </c>
      <c r="E23" s="29" t="n"/>
      <c r="F23" s="31" t="n"/>
      <c r="G23" s="29" t="n"/>
      <c r="H23" s="28" t="n"/>
      <c r="I23" s="29" t="n"/>
      <c r="J23" s="32" t="n"/>
      <c r="K23" s="28" t="n"/>
      <c r="L23" s="33">
        <f>IF(OR(J23="",K23=""),"",J23+7*K23-1)</f>
        <v/>
      </c>
      <c r="M23" s="33">
        <f>IF(J23="","",J23-7*$E$3)</f>
        <v/>
      </c>
      <c r="N23" s="33">
        <f>IF(J23="","",J23-7*$H$3)</f>
        <v/>
      </c>
      <c r="O23" s="33">
        <f>IF(J23="","",J23-1*$K$3)</f>
        <v/>
      </c>
      <c r="P23" s="30">
        <f>IF(OR(E23="",I23="",I23="—"),IF(E23="","","OK"),IFERROR(IF(INDEX($L$6:$L$155,MATCH(I23,$E$6:$E$155,0))&gt;=J23,"Conflicto con predecesor","OK"),"Predecesor no encontrado"))</f>
        <v/>
      </c>
      <c r="Q23" s="29" t="n"/>
      <c r="R23" s="31" t="n"/>
      <c r="S23" s="26">
        <f>IF(OR(J23="",L23=""),"",IF(AND(J23&lt;=EOMONTH(S$4,0),L23&gt;=S$4),1,""))</f>
        <v/>
      </c>
      <c r="T23" s="26">
        <f>IF(OR(J23="",L23=""),"",IF(AND(J23&lt;=EOMONTH(T$4,0),L23&gt;=T$4),1,""))</f>
        <v/>
      </c>
      <c r="U23" s="26">
        <f>IF(OR(J23="",L23=""),"",IF(AND(J23&lt;=EOMONTH(U$4,0),L23&gt;=U$4),1,""))</f>
        <v/>
      </c>
      <c r="V23" s="26">
        <f>IF(OR(J23="",L23=""),"",IF(AND(J23&lt;=EOMONTH(V$4,0),L23&gt;=V$4),1,""))</f>
        <v/>
      </c>
      <c r="W23" s="26">
        <f>IF(OR(J23="",L23=""),"",IF(AND(J23&lt;=EOMONTH(W$4,0),L23&gt;=W$4),1,""))</f>
        <v/>
      </c>
      <c r="X23" s="26">
        <f>IF(OR(J23="",L23=""),"",IF(AND(J23&lt;=EOMONTH(X$4,0),L23&gt;=X$4),1,""))</f>
        <v/>
      </c>
      <c r="Y23" s="26">
        <f>IF(OR(J23="",L23=""),"",IF(AND(J23&lt;=EOMONTH(Y$4,0),L23&gt;=Y$4),1,""))</f>
        <v/>
      </c>
      <c r="Z23" s="26">
        <f>IF(OR(J23="",L23=""),"",IF(AND(J23&lt;=EOMONTH(Z$4,0),L23&gt;=Z$4),1,""))</f>
        <v/>
      </c>
      <c r="AA23" s="26">
        <f>IF(OR(J23="",L23=""),"",IF(AND(J23&lt;=EOMONTH(AA$4,0),L23&gt;=AA$4),1,""))</f>
        <v/>
      </c>
      <c r="AB23" s="26">
        <f>IF(OR(J23="",L23=""),"",IF(AND(J23&lt;=EOMONTH(AB$4,0),L23&gt;=AB$4),1,""))</f>
        <v/>
      </c>
      <c r="AC23" s="26">
        <f>IF(OR(J23="",L23=""),"",IF(AND(J23&lt;=EOMONTH(AC$4,0),L23&gt;=AC$4),1,""))</f>
        <v/>
      </c>
      <c r="AD23" s="26">
        <f>IF(OR(J23="",L23=""),"",IF(AND(J23&lt;=EOMONTH(AD$4,0),L23&gt;=AD$4),1,""))</f>
        <v/>
      </c>
      <c r="AE23" s="26">
        <f>IF(OR(J23="",L23=""),"",IF(AND(J23&lt;=EOMONTH(AE$4,0),L23&gt;=AE$4),1,""))</f>
        <v/>
      </c>
      <c r="AF23" s="26">
        <f>IF(OR(J23="",L23=""),"",IF(AND(J23&lt;=EOMONTH(AF$4,0),L23&gt;=AF$4),1,""))</f>
        <v/>
      </c>
      <c r="AG23" s="26">
        <f>IF(OR(J23="",L23=""),"",IF(AND(J23&lt;=EOMONTH(AG$4,0),L23&gt;=AG$4),1,""))</f>
        <v/>
      </c>
      <c r="AH23" s="26">
        <f>IF(OR(J23="",L23=""),"",IF(AND(J23&lt;=EOMONTH(AH$4,0),L23&gt;=AH$4),1,""))</f>
        <v/>
      </c>
      <c r="AI23" s="26">
        <f>IF(OR(J23="",L23=""),"",IF(AND(J23&lt;=EOMONTH(AI$4,0),L23&gt;=AI$4),1,""))</f>
        <v/>
      </c>
      <c r="AJ23" s="26">
        <f>IF(OR(J23="",L23=""),"",IF(AND(J23&lt;=EOMONTH(AJ$4,0),L23&gt;=AJ$4),1,""))</f>
        <v/>
      </c>
      <c r="AK23" s="26">
        <f>IF(OR(J23="",L23=""),"",IF(AND(J23&lt;=EOMONTH(AK$4,0),L23&gt;=AK$4),1,""))</f>
        <v/>
      </c>
      <c r="AL23" s="26">
        <f>IF(OR(J23="",L23=""),"",IF(AND(J23&lt;=EOMONTH(AL$4,0),L23&gt;=AL$4),1,""))</f>
        <v/>
      </c>
      <c r="AM23" s="26">
        <f>IF(OR(J23="",L23=""),"",IF(AND(J23&lt;=EOMONTH(AM$4,0),L23&gt;=AM$4),1,""))</f>
        <v/>
      </c>
      <c r="AN23" s="26">
        <f>IF(OR(J23="",L23=""),"",IF(AND(J23&lt;=EOMONTH(AN$4,0),L23&gt;=AN$4),1,""))</f>
        <v/>
      </c>
      <c r="AO23" s="26">
        <f>IF(OR(J23="",L23=""),"",IF(AND(J23&lt;=EOMONTH(AO$4,0),L23&gt;=AO$4),1,""))</f>
        <v/>
      </c>
      <c r="AP23" s="26">
        <f>IF(OR(J23="",L23=""),"",IF(AND(J23&lt;=EOMONTH(AP$4,0),L23&gt;=AP$4),1,""))</f>
        <v/>
      </c>
      <c r="AQ23" s="26">
        <f>IF(OR(J23="",L23=""),"",IF(AND(J23&lt;=EOMONTH(AQ$4,0),L23&gt;=AQ$4),1,""))</f>
        <v/>
      </c>
      <c r="AR23" s="26">
        <f>IF(OR(J23="",L23=""),"",IF(AND(J23&lt;=EOMONTH(AR$4,0),L23&gt;=AR$4),1,""))</f>
        <v/>
      </c>
      <c r="AS23" s="26">
        <f>IF(OR(J23="",L23=""),"",IF(AND(J23&lt;=EOMONTH(AS$4,0),L23&gt;=AS$4),1,""))</f>
        <v/>
      </c>
      <c r="AT23" s="26">
        <f>IF(OR(J23="",L23=""),"",IF(AND(J23&lt;=EOMONTH(AT$4,0),L23&gt;=AT$4),1,""))</f>
        <v/>
      </c>
      <c r="AU23" s="26">
        <f>IF(OR(J23="",L23=""),"",IF(AND(J23&lt;=EOMONTH(AU$4,0),L23&gt;=AU$4),1,""))</f>
        <v/>
      </c>
      <c r="AV23" s="26">
        <f>IF(OR(J23="",L23=""),"",IF(AND(J23&lt;=EOMONTH(AV$4,0),L23&gt;=AV$4),1,""))</f>
        <v/>
      </c>
      <c r="AW23" s="26">
        <f>IF(OR(J23="",L23=""),"",IF(AND(J23&lt;=EOMONTH(AW$4,0),L23&gt;=AW$4),1,""))</f>
        <v/>
      </c>
      <c r="AX23" s="26">
        <f>IF(OR(J23="",L23=""),"",IF(AND(J23&lt;=EOMONTH(AX$4,0),L23&gt;=AX$4),1,""))</f>
        <v/>
      </c>
      <c r="AY23" s="26">
        <f>IF(OR(J23="",L23=""),"",IF(AND(J23&lt;=EOMONTH(AY$4,0),L23&gt;=AY$4),1,""))</f>
        <v/>
      </c>
      <c r="AZ23" s="26">
        <f>IF(OR(J23="",L23=""),"",IF(AND(J23&lt;=EOMONTH(AZ$4,0),L23&gt;=AZ$4),1,""))</f>
        <v/>
      </c>
      <c r="BA23" s="26">
        <f>IF(OR(J23="",L23=""),"",IF(AND(J23&lt;=EOMONTH(BA$4,0),L23&gt;=BA$4),1,""))</f>
        <v/>
      </c>
      <c r="BB23" s="26">
        <f>IF(OR(J23="",L23=""),"",IF(AND(J23&lt;=EOMONTH(BB$4,0),L23&gt;=BB$4),1,""))</f>
        <v/>
      </c>
    </row>
    <row r="24">
      <c r="A24" s="27" t="n"/>
      <c r="B24" s="28" t="n"/>
      <c r="C24" s="29" t="n"/>
      <c r="D24" s="30">
        <f>IF(E24="","","CWA-"&amp;MID(E24,5,4))</f>
        <v/>
      </c>
      <c r="E24" s="29" t="n"/>
      <c r="F24" s="31" t="n"/>
      <c r="G24" s="29" t="n"/>
      <c r="H24" s="28" t="n"/>
      <c r="I24" s="29" t="n"/>
      <c r="J24" s="32" t="n"/>
      <c r="K24" s="28" t="n"/>
      <c r="L24" s="33">
        <f>IF(OR(J24="",K24=""),"",J24+7*K24-1)</f>
        <v/>
      </c>
      <c r="M24" s="33">
        <f>IF(J24="","",J24-7*$E$3)</f>
        <v/>
      </c>
      <c r="N24" s="33">
        <f>IF(J24="","",J24-7*$H$3)</f>
        <v/>
      </c>
      <c r="O24" s="33">
        <f>IF(J24="","",J24-1*$K$3)</f>
        <v/>
      </c>
      <c r="P24" s="30">
        <f>IF(OR(E24="",I24="",I24="—"),IF(E24="","","OK"),IFERROR(IF(INDEX($L$6:$L$155,MATCH(I24,$E$6:$E$155,0))&gt;=J24,"Conflicto con predecesor","OK"),"Predecesor no encontrado"))</f>
        <v/>
      </c>
      <c r="Q24" s="29" t="n"/>
      <c r="R24" s="31" t="n"/>
      <c r="S24" s="26">
        <f>IF(OR(J24="",L24=""),"",IF(AND(J24&lt;=EOMONTH(S$4,0),L24&gt;=S$4),1,""))</f>
        <v/>
      </c>
      <c r="T24" s="26">
        <f>IF(OR(J24="",L24=""),"",IF(AND(J24&lt;=EOMONTH(T$4,0),L24&gt;=T$4),1,""))</f>
        <v/>
      </c>
      <c r="U24" s="26">
        <f>IF(OR(J24="",L24=""),"",IF(AND(J24&lt;=EOMONTH(U$4,0),L24&gt;=U$4),1,""))</f>
        <v/>
      </c>
      <c r="V24" s="26">
        <f>IF(OR(J24="",L24=""),"",IF(AND(J24&lt;=EOMONTH(V$4,0),L24&gt;=V$4),1,""))</f>
        <v/>
      </c>
      <c r="W24" s="26">
        <f>IF(OR(J24="",L24=""),"",IF(AND(J24&lt;=EOMONTH(W$4,0),L24&gt;=W$4),1,""))</f>
        <v/>
      </c>
      <c r="X24" s="26">
        <f>IF(OR(J24="",L24=""),"",IF(AND(J24&lt;=EOMONTH(X$4,0),L24&gt;=X$4),1,""))</f>
        <v/>
      </c>
      <c r="Y24" s="26">
        <f>IF(OR(J24="",L24=""),"",IF(AND(J24&lt;=EOMONTH(Y$4,0),L24&gt;=Y$4),1,""))</f>
        <v/>
      </c>
      <c r="Z24" s="26">
        <f>IF(OR(J24="",L24=""),"",IF(AND(J24&lt;=EOMONTH(Z$4,0),L24&gt;=Z$4),1,""))</f>
        <v/>
      </c>
      <c r="AA24" s="26">
        <f>IF(OR(J24="",L24=""),"",IF(AND(J24&lt;=EOMONTH(AA$4,0),L24&gt;=AA$4),1,""))</f>
        <v/>
      </c>
      <c r="AB24" s="26">
        <f>IF(OR(J24="",L24=""),"",IF(AND(J24&lt;=EOMONTH(AB$4,0),L24&gt;=AB$4),1,""))</f>
        <v/>
      </c>
      <c r="AC24" s="26">
        <f>IF(OR(J24="",L24=""),"",IF(AND(J24&lt;=EOMONTH(AC$4,0),L24&gt;=AC$4),1,""))</f>
        <v/>
      </c>
      <c r="AD24" s="26">
        <f>IF(OR(J24="",L24=""),"",IF(AND(J24&lt;=EOMONTH(AD$4,0),L24&gt;=AD$4),1,""))</f>
        <v/>
      </c>
      <c r="AE24" s="26">
        <f>IF(OR(J24="",L24=""),"",IF(AND(J24&lt;=EOMONTH(AE$4,0),L24&gt;=AE$4),1,""))</f>
        <v/>
      </c>
      <c r="AF24" s="26">
        <f>IF(OR(J24="",L24=""),"",IF(AND(J24&lt;=EOMONTH(AF$4,0),L24&gt;=AF$4),1,""))</f>
        <v/>
      </c>
      <c r="AG24" s="26">
        <f>IF(OR(J24="",L24=""),"",IF(AND(J24&lt;=EOMONTH(AG$4,0),L24&gt;=AG$4),1,""))</f>
        <v/>
      </c>
      <c r="AH24" s="26">
        <f>IF(OR(J24="",L24=""),"",IF(AND(J24&lt;=EOMONTH(AH$4,0),L24&gt;=AH$4),1,""))</f>
        <v/>
      </c>
      <c r="AI24" s="26">
        <f>IF(OR(J24="",L24=""),"",IF(AND(J24&lt;=EOMONTH(AI$4,0),L24&gt;=AI$4),1,""))</f>
        <v/>
      </c>
      <c r="AJ24" s="26">
        <f>IF(OR(J24="",L24=""),"",IF(AND(J24&lt;=EOMONTH(AJ$4,0),L24&gt;=AJ$4),1,""))</f>
        <v/>
      </c>
      <c r="AK24" s="26">
        <f>IF(OR(J24="",L24=""),"",IF(AND(J24&lt;=EOMONTH(AK$4,0),L24&gt;=AK$4),1,""))</f>
        <v/>
      </c>
      <c r="AL24" s="26">
        <f>IF(OR(J24="",L24=""),"",IF(AND(J24&lt;=EOMONTH(AL$4,0),L24&gt;=AL$4),1,""))</f>
        <v/>
      </c>
      <c r="AM24" s="26">
        <f>IF(OR(J24="",L24=""),"",IF(AND(J24&lt;=EOMONTH(AM$4,0),L24&gt;=AM$4),1,""))</f>
        <v/>
      </c>
      <c r="AN24" s="26">
        <f>IF(OR(J24="",L24=""),"",IF(AND(J24&lt;=EOMONTH(AN$4,0),L24&gt;=AN$4),1,""))</f>
        <v/>
      </c>
      <c r="AO24" s="26">
        <f>IF(OR(J24="",L24=""),"",IF(AND(J24&lt;=EOMONTH(AO$4,0),L24&gt;=AO$4),1,""))</f>
        <v/>
      </c>
      <c r="AP24" s="26">
        <f>IF(OR(J24="",L24=""),"",IF(AND(J24&lt;=EOMONTH(AP$4,0),L24&gt;=AP$4),1,""))</f>
        <v/>
      </c>
      <c r="AQ24" s="26">
        <f>IF(OR(J24="",L24=""),"",IF(AND(J24&lt;=EOMONTH(AQ$4,0),L24&gt;=AQ$4),1,""))</f>
        <v/>
      </c>
      <c r="AR24" s="26">
        <f>IF(OR(J24="",L24=""),"",IF(AND(J24&lt;=EOMONTH(AR$4,0),L24&gt;=AR$4),1,""))</f>
        <v/>
      </c>
      <c r="AS24" s="26">
        <f>IF(OR(J24="",L24=""),"",IF(AND(J24&lt;=EOMONTH(AS$4,0),L24&gt;=AS$4),1,""))</f>
        <v/>
      </c>
      <c r="AT24" s="26">
        <f>IF(OR(J24="",L24=""),"",IF(AND(J24&lt;=EOMONTH(AT$4,0),L24&gt;=AT$4),1,""))</f>
        <v/>
      </c>
      <c r="AU24" s="26">
        <f>IF(OR(J24="",L24=""),"",IF(AND(J24&lt;=EOMONTH(AU$4,0),L24&gt;=AU$4),1,""))</f>
        <v/>
      </c>
      <c r="AV24" s="26">
        <f>IF(OR(J24="",L24=""),"",IF(AND(J24&lt;=EOMONTH(AV$4,0),L24&gt;=AV$4),1,""))</f>
        <v/>
      </c>
      <c r="AW24" s="26">
        <f>IF(OR(J24="",L24=""),"",IF(AND(J24&lt;=EOMONTH(AW$4,0),L24&gt;=AW$4),1,""))</f>
        <v/>
      </c>
      <c r="AX24" s="26">
        <f>IF(OR(J24="",L24=""),"",IF(AND(J24&lt;=EOMONTH(AX$4,0),L24&gt;=AX$4),1,""))</f>
        <v/>
      </c>
      <c r="AY24" s="26">
        <f>IF(OR(J24="",L24=""),"",IF(AND(J24&lt;=EOMONTH(AY$4,0),L24&gt;=AY$4),1,""))</f>
        <v/>
      </c>
      <c r="AZ24" s="26">
        <f>IF(OR(J24="",L24=""),"",IF(AND(J24&lt;=EOMONTH(AZ$4,0),L24&gt;=AZ$4),1,""))</f>
        <v/>
      </c>
      <c r="BA24" s="26">
        <f>IF(OR(J24="",L24=""),"",IF(AND(J24&lt;=EOMONTH(BA$4,0),L24&gt;=BA$4),1,""))</f>
        <v/>
      </c>
      <c r="BB24" s="26">
        <f>IF(OR(J24="",L24=""),"",IF(AND(J24&lt;=EOMONTH(BB$4,0),L24&gt;=BB$4),1,""))</f>
        <v/>
      </c>
    </row>
    <row r="25">
      <c r="A25" s="27" t="n"/>
      <c r="B25" s="28" t="n"/>
      <c r="C25" s="29" t="n"/>
      <c r="D25" s="30">
        <f>IF(E25="","","CWA-"&amp;MID(E25,5,4))</f>
        <v/>
      </c>
      <c r="E25" s="29" t="n"/>
      <c r="F25" s="31" t="n"/>
      <c r="G25" s="29" t="n"/>
      <c r="H25" s="28" t="n"/>
      <c r="I25" s="29" t="n"/>
      <c r="J25" s="32" t="n"/>
      <c r="K25" s="28" t="n"/>
      <c r="L25" s="33">
        <f>IF(OR(J25="",K25=""),"",J25+7*K25-1)</f>
        <v/>
      </c>
      <c r="M25" s="33">
        <f>IF(J25="","",J25-7*$E$3)</f>
        <v/>
      </c>
      <c r="N25" s="33">
        <f>IF(J25="","",J25-7*$H$3)</f>
        <v/>
      </c>
      <c r="O25" s="33">
        <f>IF(J25="","",J25-1*$K$3)</f>
        <v/>
      </c>
      <c r="P25" s="30">
        <f>IF(OR(E25="",I25="",I25="—"),IF(E25="","","OK"),IFERROR(IF(INDEX($L$6:$L$155,MATCH(I25,$E$6:$E$155,0))&gt;=J25,"Conflicto con predecesor","OK"),"Predecesor no encontrado"))</f>
        <v/>
      </c>
      <c r="Q25" s="29" t="n"/>
      <c r="R25" s="31" t="n"/>
      <c r="S25" s="26">
        <f>IF(OR(J25="",L25=""),"",IF(AND(J25&lt;=EOMONTH(S$4,0),L25&gt;=S$4),1,""))</f>
        <v/>
      </c>
      <c r="T25" s="26">
        <f>IF(OR(J25="",L25=""),"",IF(AND(J25&lt;=EOMONTH(T$4,0),L25&gt;=T$4),1,""))</f>
        <v/>
      </c>
      <c r="U25" s="26">
        <f>IF(OR(J25="",L25=""),"",IF(AND(J25&lt;=EOMONTH(U$4,0),L25&gt;=U$4),1,""))</f>
        <v/>
      </c>
      <c r="V25" s="26">
        <f>IF(OR(J25="",L25=""),"",IF(AND(J25&lt;=EOMONTH(V$4,0),L25&gt;=V$4),1,""))</f>
        <v/>
      </c>
      <c r="W25" s="26">
        <f>IF(OR(J25="",L25=""),"",IF(AND(J25&lt;=EOMONTH(W$4,0),L25&gt;=W$4),1,""))</f>
        <v/>
      </c>
      <c r="X25" s="26">
        <f>IF(OR(J25="",L25=""),"",IF(AND(J25&lt;=EOMONTH(X$4,0),L25&gt;=X$4),1,""))</f>
        <v/>
      </c>
      <c r="Y25" s="26">
        <f>IF(OR(J25="",L25=""),"",IF(AND(J25&lt;=EOMONTH(Y$4,0),L25&gt;=Y$4),1,""))</f>
        <v/>
      </c>
      <c r="Z25" s="26">
        <f>IF(OR(J25="",L25=""),"",IF(AND(J25&lt;=EOMONTH(Z$4,0),L25&gt;=Z$4),1,""))</f>
        <v/>
      </c>
      <c r="AA25" s="26">
        <f>IF(OR(J25="",L25=""),"",IF(AND(J25&lt;=EOMONTH(AA$4,0),L25&gt;=AA$4),1,""))</f>
        <v/>
      </c>
      <c r="AB25" s="26">
        <f>IF(OR(J25="",L25=""),"",IF(AND(J25&lt;=EOMONTH(AB$4,0),L25&gt;=AB$4),1,""))</f>
        <v/>
      </c>
      <c r="AC25" s="26">
        <f>IF(OR(J25="",L25=""),"",IF(AND(J25&lt;=EOMONTH(AC$4,0),L25&gt;=AC$4),1,""))</f>
        <v/>
      </c>
      <c r="AD25" s="26">
        <f>IF(OR(J25="",L25=""),"",IF(AND(J25&lt;=EOMONTH(AD$4,0),L25&gt;=AD$4),1,""))</f>
        <v/>
      </c>
      <c r="AE25" s="26">
        <f>IF(OR(J25="",L25=""),"",IF(AND(J25&lt;=EOMONTH(AE$4,0),L25&gt;=AE$4),1,""))</f>
        <v/>
      </c>
      <c r="AF25" s="26">
        <f>IF(OR(J25="",L25=""),"",IF(AND(J25&lt;=EOMONTH(AF$4,0),L25&gt;=AF$4),1,""))</f>
        <v/>
      </c>
      <c r="AG25" s="26">
        <f>IF(OR(J25="",L25=""),"",IF(AND(J25&lt;=EOMONTH(AG$4,0),L25&gt;=AG$4),1,""))</f>
        <v/>
      </c>
      <c r="AH25" s="26">
        <f>IF(OR(J25="",L25=""),"",IF(AND(J25&lt;=EOMONTH(AH$4,0),L25&gt;=AH$4),1,""))</f>
        <v/>
      </c>
      <c r="AI25" s="26">
        <f>IF(OR(J25="",L25=""),"",IF(AND(J25&lt;=EOMONTH(AI$4,0),L25&gt;=AI$4),1,""))</f>
        <v/>
      </c>
      <c r="AJ25" s="26">
        <f>IF(OR(J25="",L25=""),"",IF(AND(J25&lt;=EOMONTH(AJ$4,0),L25&gt;=AJ$4),1,""))</f>
        <v/>
      </c>
      <c r="AK25" s="26">
        <f>IF(OR(J25="",L25=""),"",IF(AND(J25&lt;=EOMONTH(AK$4,0),L25&gt;=AK$4),1,""))</f>
        <v/>
      </c>
      <c r="AL25" s="26">
        <f>IF(OR(J25="",L25=""),"",IF(AND(J25&lt;=EOMONTH(AL$4,0),L25&gt;=AL$4),1,""))</f>
        <v/>
      </c>
      <c r="AM25" s="26">
        <f>IF(OR(J25="",L25=""),"",IF(AND(J25&lt;=EOMONTH(AM$4,0),L25&gt;=AM$4),1,""))</f>
        <v/>
      </c>
      <c r="AN25" s="26">
        <f>IF(OR(J25="",L25=""),"",IF(AND(J25&lt;=EOMONTH(AN$4,0),L25&gt;=AN$4),1,""))</f>
        <v/>
      </c>
      <c r="AO25" s="26">
        <f>IF(OR(J25="",L25=""),"",IF(AND(J25&lt;=EOMONTH(AO$4,0),L25&gt;=AO$4),1,""))</f>
        <v/>
      </c>
      <c r="AP25" s="26">
        <f>IF(OR(J25="",L25=""),"",IF(AND(J25&lt;=EOMONTH(AP$4,0),L25&gt;=AP$4),1,""))</f>
        <v/>
      </c>
      <c r="AQ25" s="26">
        <f>IF(OR(J25="",L25=""),"",IF(AND(J25&lt;=EOMONTH(AQ$4,0),L25&gt;=AQ$4),1,""))</f>
        <v/>
      </c>
      <c r="AR25" s="26">
        <f>IF(OR(J25="",L25=""),"",IF(AND(J25&lt;=EOMONTH(AR$4,0),L25&gt;=AR$4),1,""))</f>
        <v/>
      </c>
      <c r="AS25" s="26">
        <f>IF(OR(J25="",L25=""),"",IF(AND(J25&lt;=EOMONTH(AS$4,0),L25&gt;=AS$4),1,""))</f>
        <v/>
      </c>
      <c r="AT25" s="26">
        <f>IF(OR(J25="",L25=""),"",IF(AND(J25&lt;=EOMONTH(AT$4,0),L25&gt;=AT$4),1,""))</f>
        <v/>
      </c>
      <c r="AU25" s="26">
        <f>IF(OR(J25="",L25=""),"",IF(AND(J25&lt;=EOMONTH(AU$4,0),L25&gt;=AU$4),1,""))</f>
        <v/>
      </c>
      <c r="AV25" s="26">
        <f>IF(OR(J25="",L25=""),"",IF(AND(J25&lt;=EOMONTH(AV$4,0),L25&gt;=AV$4),1,""))</f>
        <v/>
      </c>
      <c r="AW25" s="26">
        <f>IF(OR(J25="",L25=""),"",IF(AND(J25&lt;=EOMONTH(AW$4,0),L25&gt;=AW$4),1,""))</f>
        <v/>
      </c>
      <c r="AX25" s="26">
        <f>IF(OR(J25="",L25=""),"",IF(AND(J25&lt;=EOMONTH(AX$4,0),L25&gt;=AX$4),1,""))</f>
        <v/>
      </c>
      <c r="AY25" s="26">
        <f>IF(OR(J25="",L25=""),"",IF(AND(J25&lt;=EOMONTH(AY$4,0),L25&gt;=AY$4),1,""))</f>
        <v/>
      </c>
      <c r="AZ25" s="26">
        <f>IF(OR(J25="",L25=""),"",IF(AND(J25&lt;=EOMONTH(AZ$4,0),L25&gt;=AZ$4),1,""))</f>
        <v/>
      </c>
      <c r="BA25" s="26">
        <f>IF(OR(J25="",L25=""),"",IF(AND(J25&lt;=EOMONTH(BA$4,0),L25&gt;=BA$4),1,""))</f>
        <v/>
      </c>
      <c r="BB25" s="26">
        <f>IF(OR(J25="",L25=""),"",IF(AND(J25&lt;=EOMONTH(BB$4,0),L25&gt;=BB$4),1,""))</f>
        <v/>
      </c>
    </row>
    <row r="26">
      <c r="A26" s="27" t="n"/>
      <c r="B26" s="28" t="n"/>
      <c r="C26" s="29" t="n"/>
      <c r="D26" s="30">
        <f>IF(E26="","","CWA-"&amp;MID(E26,5,4))</f>
        <v/>
      </c>
      <c r="E26" s="29" t="n"/>
      <c r="F26" s="31" t="n"/>
      <c r="G26" s="29" t="n"/>
      <c r="H26" s="28" t="n"/>
      <c r="I26" s="29" t="n"/>
      <c r="J26" s="32" t="n"/>
      <c r="K26" s="28" t="n"/>
      <c r="L26" s="33">
        <f>IF(OR(J26="",K26=""),"",J26+7*K26-1)</f>
        <v/>
      </c>
      <c r="M26" s="33">
        <f>IF(J26="","",J26-7*$E$3)</f>
        <v/>
      </c>
      <c r="N26" s="33">
        <f>IF(J26="","",J26-7*$H$3)</f>
        <v/>
      </c>
      <c r="O26" s="33">
        <f>IF(J26="","",J26-1*$K$3)</f>
        <v/>
      </c>
      <c r="P26" s="30">
        <f>IF(OR(E26="",I26="",I26="—"),IF(E26="","","OK"),IFERROR(IF(INDEX($L$6:$L$155,MATCH(I26,$E$6:$E$155,0))&gt;=J26,"Conflicto con predecesor","OK"),"Predecesor no encontrado"))</f>
        <v/>
      </c>
      <c r="Q26" s="29" t="n"/>
      <c r="R26" s="31" t="n"/>
      <c r="S26" s="26">
        <f>IF(OR(J26="",L26=""),"",IF(AND(J26&lt;=EOMONTH(S$4,0),L26&gt;=S$4),1,""))</f>
        <v/>
      </c>
      <c r="T26" s="26">
        <f>IF(OR(J26="",L26=""),"",IF(AND(J26&lt;=EOMONTH(T$4,0),L26&gt;=T$4),1,""))</f>
        <v/>
      </c>
      <c r="U26" s="26">
        <f>IF(OR(J26="",L26=""),"",IF(AND(J26&lt;=EOMONTH(U$4,0),L26&gt;=U$4),1,""))</f>
        <v/>
      </c>
      <c r="V26" s="26">
        <f>IF(OR(J26="",L26=""),"",IF(AND(J26&lt;=EOMONTH(V$4,0),L26&gt;=V$4),1,""))</f>
        <v/>
      </c>
      <c r="W26" s="26">
        <f>IF(OR(J26="",L26=""),"",IF(AND(J26&lt;=EOMONTH(W$4,0),L26&gt;=W$4),1,""))</f>
        <v/>
      </c>
      <c r="X26" s="26">
        <f>IF(OR(J26="",L26=""),"",IF(AND(J26&lt;=EOMONTH(X$4,0),L26&gt;=X$4),1,""))</f>
        <v/>
      </c>
      <c r="Y26" s="26">
        <f>IF(OR(J26="",L26=""),"",IF(AND(J26&lt;=EOMONTH(Y$4,0),L26&gt;=Y$4),1,""))</f>
        <v/>
      </c>
      <c r="Z26" s="26">
        <f>IF(OR(J26="",L26=""),"",IF(AND(J26&lt;=EOMONTH(Z$4,0),L26&gt;=Z$4),1,""))</f>
        <v/>
      </c>
      <c r="AA26" s="26">
        <f>IF(OR(J26="",L26=""),"",IF(AND(J26&lt;=EOMONTH(AA$4,0),L26&gt;=AA$4),1,""))</f>
        <v/>
      </c>
      <c r="AB26" s="26">
        <f>IF(OR(J26="",L26=""),"",IF(AND(J26&lt;=EOMONTH(AB$4,0),L26&gt;=AB$4),1,""))</f>
        <v/>
      </c>
      <c r="AC26" s="26">
        <f>IF(OR(J26="",L26=""),"",IF(AND(J26&lt;=EOMONTH(AC$4,0),L26&gt;=AC$4),1,""))</f>
        <v/>
      </c>
      <c r="AD26" s="26">
        <f>IF(OR(J26="",L26=""),"",IF(AND(J26&lt;=EOMONTH(AD$4,0),L26&gt;=AD$4),1,""))</f>
        <v/>
      </c>
      <c r="AE26" s="26">
        <f>IF(OR(J26="",L26=""),"",IF(AND(J26&lt;=EOMONTH(AE$4,0),L26&gt;=AE$4),1,""))</f>
        <v/>
      </c>
      <c r="AF26" s="26">
        <f>IF(OR(J26="",L26=""),"",IF(AND(J26&lt;=EOMONTH(AF$4,0),L26&gt;=AF$4),1,""))</f>
        <v/>
      </c>
      <c r="AG26" s="26">
        <f>IF(OR(J26="",L26=""),"",IF(AND(J26&lt;=EOMONTH(AG$4,0),L26&gt;=AG$4),1,""))</f>
        <v/>
      </c>
      <c r="AH26" s="26">
        <f>IF(OR(J26="",L26=""),"",IF(AND(J26&lt;=EOMONTH(AH$4,0),L26&gt;=AH$4),1,""))</f>
        <v/>
      </c>
      <c r="AI26" s="26">
        <f>IF(OR(J26="",L26=""),"",IF(AND(J26&lt;=EOMONTH(AI$4,0),L26&gt;=AI$4),1,""))</f>
        <v/>
      </c>
      <c r="AJ26" s="26">
        <f>IF(OR(J26="",L26=""),"",IF(AND(J26&lt;=EOMONTH(AJ$4,0),L26&gt;=AJ$4),1,""))</f>
        <v/>
      </c>
      <c r="AK26" s="26">
        <f>IF(OR(J26="",L26=""),"",IF(AND(J26&lt;=EOMONTH(AK$4,0),L26&gt;=AK$4),1,""))</f>
        <v/>
      </c>
      <c r="AL26" s="26">
        <f>IF(OR(J26="",L26=""),"",IF(AND(J26&lt;=EOMONTH(AL$4,0),L26&gt;=AL$4),1,""))</f>
        <v/>
      </c>
      <c r="AM26" s="26">
        <f>IF(OR(J26="",L26=""),"",IF(AND(J26&lt;=EOMONTH(AM$4,0),L26&gt;=AM$4),1,""))</f>
        <v/>
      </c>
      <c r="AN26" s="26">
        <f>IF(OR(J26="",L26=""),"",IF(AND(J26&lt;=EOMONTH(AN$4,0),L26&gt;=AN$4),1,""))</f>
        <v/>
      </c>
      <c r="AO26" s="26">
        <f>IF(OR(J26="",L26=""),"",IF(AND(J26&lt;=EOMONTH(AO$4,0),L26&gt;=AO$4),1,""))</f>
        <v/>
      </c>
      <c r="AP26" s="26">
        <f>IF(OR(J26="",L26=""),"",IF(AND(J26&lt;=EOMONTH(AP$4,0),L26&gt;=AP$4),1,""))</f>
        <v/>
      </c>
      <c r="AQ26" s="26">
        <f>IF(OR(J26="",L26=""),"",IF(AND(J26&lt;=EOMONTH(AQ$4,0),L26&gt;=AQ$4),1,""))</f>
        <v/>
      </c>
      <c r="AR26" s="26">
        <f>IF(OR(J26="",L26=""),"",IF(AND(J26&lt;=EOMONTH(AR$4,0),L26&gt;=AR$4),1,""))</f>
        <v/>
      </c>
      <c r="AS26" s="26">
        <f>IF(OR(J26="",L26=""),"",IF(AND(J26&lt;=EOMONTH(AS$4,0),L26&gt;=AS$4),1,""))</f>
        <v/>
      </c>
      <c r="AT26" s="26">
        <f>IF(OR(J26="",L26=""),"",IF(AND(J26&lt;=EOMONTH(AT$4,0),L26&gt;=AT$4),1,""))</f>
        <v/>
      </c>
      <c r="AU26" s="26">
        <f>IF(OR(J26="",L26=""),"",IF(AND(J26&lt;=EOMONTH(AU$4,0),L26&gt;=AU$4),1,""))</f>
        <v/>
      </c>
      <c r="AV26" s="26">
        <f>IF(OR(J26="",L26=""),"",IF(AND(J26&lt;=EOMONTH(AV$4,0),L26&gt;=AV$4),1,""))</f>
        <v/>
      </c>
      <c r="AW26" s="26">
        <f>IF(OR(J26="",L26=""),"",IF(AND(J26&lt;=EOMONTH(AW$4,0),L26&gt;=AW$4),1,""))</f>
        <v/>
      </c>
      <c r="AX26" s="26">
        <f>IF(OR(J26="",L26=""),"",IF(AND(J26&lt;=EOMONTH(AX$4,0),L26&gt;=AX$4),1,""))</f>
        <v/>
      </c>
      <c r="AY26" s="26">
        <f>IF(OR(J26="",L26=""),"",IF(AND(J26&lt;=EOMONTH(AY$4,0),L26&gt;=AY$4),1,""))</f>
        <v/>
      </c>
      <c r="AZ26" s="26">
        <f>IF(OR(J26="",L26=""),"",IF(AND(J26&lt;=EOMONTH(AZ$4,0),L26&gt;=AZ$4),1,""))</f>
        <v/>
      </c>
      <c r="BA26" s="26">
        <f>IF(OR(J26="",L26=""),"",IF(AND(J26&lt;=EOMONTH(BA$4,0),L26&gt;=BA$4),1,""))</f>
        <v/>
      </c>
      <c r="BB26" s="26">
        <f>IF(OR(J26="",L26=""),"",IF(AND(J26&lt;=EOMONTH(BB$4,0),L26&gt;=BB$4),1,""))</f>
        <v/>
      </c>
    </row>
    <row r="27">
      <c r="A27" s="27" t="n"/>
      <c r="B27" s="28" t="n"/>
      <c r="C27" s="29" t="n"/>
      <c r="D27" s="30">
        <f>IF(E27="","","CWA-"&amp;MID(E27,5,4))</f>
        <v/>
      </c>
      <c r="E27" s="29" t="n"/>
      <c r="F27" s="31" t="n"/>
      <c r="G27" s="29" t="n"/>
      <c r="H27" s="28" t="n"/>
      <c r="I27" s="29" t="n"/>
      <c r="J27" s="32" t="n"/>
      <c r="K27" s="28" t="n"/>
      <c r="L27" s="33">
        <f>IF(OR(J27="",K27=""),"",J27+7*K27-1)</f>
        <v/>
      </c>
      <c r="M27" s="33">
        <f>IF(J27="","",J27-7*$E$3)</f>
        <v/>
      </c>
      <c r="N27" s="33">
        <f>IF(J27="","",J27-7*$H$3)</f>
        <v/>
      </c>
      <c r="O27" s="33">
        <f>IF(J27="","",J27-1*$K$3)</f>
        <v/>
      </c>
      <c r="P27" s="30">
        <f>IF(OR(E27="",I27="",I27="—"),IF(E27="","","OK"),IFERROR(IF(INDEX($L$6:$L$155,MATCH(I27,$E$6:$E$155,0))&gt;=J27,"Conflicto con predecesor","OK"),"Predecesor no encontrado"))</f>
        <v/>
      </c>
      <c r="Q27" s="29" t="n"/>
      <c r="R27" s="31" t="n"/>
      <c r="S27" s="26">
        <f>IF(OR(J27="",L27=""),"",IF(AND(J27&lt;=EOMONTH(S$4,0),L27&gt;=S$4),1,""))</f>
        <v/>
      </c>
      <c r="T27" s="26">
        <f>IF(OR(J27="",L27=""),"",IF(AND(J27&lt;=EOMONTH(T$4,0),L27&gt;=T$4),1,""))</f>
        <v/>
      </c>
      <c r="U27" s="26">
        <f>IF(OR(J27="",L27=""),"",IF(AND(J27&lt;=EOMONTH(U$4,0),L27&gt;=U$4),1,""))</f>
        <v/>
      </c>
      <c r="V27" s="26">
        <f>IF(OR(J27="",L27=""),"",IF(AND(J27&lt;=EOMONTH(V$4,0),L27&gt;=V$4),1,""))</f>
        <v/>
      </c>
      <c r="W27" s="26">
        <f>IF(OR(J27="",L27=""),"",IF(AND(J27&lt;=EOMONTH(W$4,0),L27&gt;=W$4),1,""))</f>
        <v/>
      </c>
      <c r="X27" s="26">
        <f>IF(OR(J27="",L27=""),"",IF(AND(J27&lt;=EOMONTH(X$4,0),L27&gt;=X$4),1,""))</f>
        <v/>
      </c>
      <c r="Y27" s="26">
        <f>IF(OR(J27="",L27=""),"",IF(AND(J27&lt;=EOMONTH(Y$4,0),L27&gt;=Y$4),1,""))</f>
        <v/>
      </c>
      <c r="Z27" s="26">
        <f>IF(OR(J27="",L27=""),"",IF(AND(J27&lt;=EOMONTH(Z$4,0),L27&gt;=Z$4),1,""))</f>
        <v/>
      </c>
      <c r="AA27" s="26">
        <f>IF(OR(J27="",L27=""),"",IF(AND(J27&lt;=EOMONTH(AA$4,0),L27&gt;=AA$4),1,""))</f>
        <v/>
      </c>
      <c r="AB27" s="26">
        <f>IF(OR(J27="",L27=""),"",IF(AND(J27&lt;=EOMONTH(AB$4,0),L27&gt;=AB$4),1,""))</f>
        <v/>
      </c>
      <c r="AC27" s="26">
        <f>IF(OR(J27="",L27=""),"",IF(AND(J27&lt;=EOMONTH(AC$4,0),L27&gt;=AC$4),1,""))</f>
        <v/>
      </c>
      <c r="AD27" s="26">
        <f>IF(OR(J27="",L27=""),"",IF(AND(J27&lt;=EOMONTH(AD$4,0),L27&gt;=AD$4),1,""))</f>
        <v/>
      </c>
      <c r="AE27" s="26">
        <f>IF(OR(J27="",L27=""),"",IF(AND(J27&lt;=EOMONTH(AE$4,0),L27&gt;=AE$4),1,""))</f>
        <v/>
      </c>
      <c r="AF27" s="26">
        <f>IF(OR(J27="",L27=""),"",IF(AND(J27&lt;=EOMONTH(AF$4,0),L27&gt;=AF$4),1,""))</f>
        <v/>
      </c>
      <c r="AG27" s="26">
        <f>IF(OR(J27="",L27=""),"",IF(AND(J27&lt;=EOMONTH(AG$4,0),L27&gt;=AG$4),1,""))</f>
        <v/>
      </c>
      <c r="AH27" s="26">
        <f>IF(OR(J27="",L27=""),"",IF(AND(J27&lt;=EOMONTH(AH$4,0),L27&gt;=AH$4),1,""))</f>
        <v/>
      </c>
      <c r="AI27" s="26">
        <f>IF(OR(J27="",L27=""),"",IF(AND(J27&lt;=EOMONTH(AI$4,0),L27&gt;=AI$4),1,""))</f>
        <v/>
      </c>
      <c r="AJ27" s="26">
        <f>IF(OR(J27="",L27=""),"",IF(AND(J27&lt;=EOMONTH(AJ$4,0),L27&gt;=AJ$4),1,""))</f>
        <v/>
      </c>
      <c r="AK27" s="26">
        <f>IF(OR(J27="",L27=""),"",IF(AND(J27&lt;=EOMONTH(AK$4,0),L27&gt;=AK$4),1,""))</f>
        <v/>
      </c>
      <c r="AL27" s="26">
        <f>IF(OR(J27="",L27=""),"",IF(AND(J27&lt;=EOMONTH(AL$4,0),L27&gt;=AL$4),1,""))</f>
        <v/>
      </c>
      <c r="AM27" s="26">
        <f>IF(OR(J27="",L27=""),"",IF(AND(J27&lt;=EOMONTH(AM$4,0),L27&gt;=AM$4),1,""))</f>
        <v/>
      </c>
      <c r="AN27" s="26">
        <f>IF(OR(J27="",L27=""),"",IF(AND(J27&lt;=EOMONTH(AN$4,0),L27&gt;=AN$4),1,""))</f>
        <v/>
      </c>
      <c r="AO27" s="26">
        <f>IF(OR(J27="",L27=""),"",IF(AND(J27&lt;=EOMONTH(AO$4,0),L27&gt;=AO$4),1,""))</f>
        <v/>
      </c>
      <c r="AP27" s="26">
        <f>IF(OR(J27="",L27=""),"",IF(AND(J27&lt;=EOMONTH(AP$4,0),L27&gt;=AP$4),1,""))</f>
        <v/>
      </c>
      <c r="AQ27" s="26">
        <f>IF(OR(J27="",L27=""),"",IF(AND(J27&lt;=EOMONTH(AQ$4,0),L27&gt;=AQ$4),1,""))</f>
        <v/>
      </c>
      <c r="AR27" s="26">
        <f>IF(OR(J27="",L27=""),"",IF(AND(J27&lt;=EOMONTH(AR$4,0),L27&gt;=AR$4),1,""))</f>
        <v/>
      </c>
      <c r="AS27" s="26">
        <f>IF(OR(J27="",L27=""),"",IF(AND(J27&lt;=EOMONTH(AS$4,0),L27&gt;=AS$4),1,""))</f>
        <v/>
      </c>
      <c r="AT27" s="26">
        <f>IF(OR(J27="",L27=""),"",IF(AND(J27&lt;=EOMONTH(AT$4,0),L27&gt;=AT$4),1,""))</f>
        <v/>
      </c>
      <c r="AU27" s="26">
        <f>IF(OR(J27="",L27=""),"",IF(AND(J27&lt;=EOMONTH(AU$4,0),L27&gt;=AU$4),1,""))</f>
        <v/>
      </c>
      <c r="AV27" s="26">
        <f>IF(OR(J27="",L27=""),"",IF(AND(J27&lt;=EOMONTH(AV$4,0),L27&gt;=AV$4),1,""))</f>
        <v/>
      </c>
      <c r="AW27" s="26">
        <f>IF(OR(J27="",L27=""),"",IF(AND(J27&lt;=EOMONTH(AW$4,0),L27&gt;=AW$4),1,""))</f>
        <v/>
      </c>
      <c r="AX27" s="26">
        <f>IF(OR(J27="",L27=""),"",IF(AND(J27&lt;=EOMONTH(AX$4,0),L27&gt;=AX$4),1,""))</f>
        <v/>
      </c>
      <c r="AY27" s="26">
        <f>IF(OR(J27="",L27=""),"",IF(AND(J27&lt;=EOMONTH(AY$4,0),L27&gt;=AY$4),1,""))</f>
        <v/>
      </c>
      <c r="AZ27" s="26">
        <f>IF(OR(J27="",L27=""),"",IF(AND(J27&lt;=EOMONTH(AZ$4,0),L27&gt;=AZ$4),1,""))</f>
        <v/>
      </c>
      <c r="BA27" s="26">
        <f>IF(OR(J27="",L27=""),"",IF(AND(J27&lt;=EOMONTH(BA$4,0),L27&gt;=BA$4),1,""))</f>
        <v/>
      </c>
      <c r="BB27" s="26">
        <f>IF(OR(J27="",L27=""),"",IF(AND(J27&lt;=EOMONTH(BB$4,0),L27&gt;=BB$4),1,""))</f>
        <v/>
      </c>
    </row>
    <row r="28">
      <c r="A28" s="27" t="n"/>
      <c r="B28" s="28" t="n"/>
      <c r="C28" s="29" t="n"/>
      <c r="D28" s="30">
        <f>IF(E28="","","CWA-"&amp;MID(E28,5,4))</f>
        <v/>
      </c>
      <c r="E28" s="29" t="n"/>
      <c r="F28" s="31" t="n"/>
      <c r="G28" s="29" t="n"/>
      <c r="H28" s="28" t="n"/>
      <c r="I28" s="29" t="n"/>
      <c r="J28" s="32" t="n"/>
      <c r="K28" s="28" t="n"/>
      <c r="L28" s="33">
        <f>IF(OR(J28="",K28=""),"",J28+7*K28-1)</f>
        <v/>
      </c>
      <c r="M28" s="33">
        <f>IF(J28="","",J28-7*$E$3)</f>
        <v/>
      </c>
      <c r="N28" s="33">
        <f>IF(J28="","",J28-7*$H$3)</f>
        <v/>
      </c>
      <c r="O28" s="33">
        <f>IF(J28="","",J28-1*$K$3)</f>
        <v/>
      </c>
      <c r="P28" s="30">
        <f>IF(OR(E28="",I28="",I28="—"),IF(E28="","","OK"),IFERROR(IF(INDEX($L$6:$L$155,MATCH(I28,$E$6:$E$155,0))&gt;=J28,"Conflicto con predecesor","OK"),"Predecesor no encontrado"))</f>
        <v/>
      </c>
      <c r="Q28" s="29" t="n"/>
      <c r="R28" s="31" t="n"/>
      <c r="S28" s="26">
        <f>IF(OR(J28="",L28=""),"",IF(AND(J28&lt;=EOMONTH(S$4,0),L28&gt;=S$4),1,""))</f>
        <v/>
      </c>
      <c r="T28" s="26">
        <f>IF(OR(J28="",L28=""),"",IF(AND(J28&lt;=EOMONTH(T$4,0),L28&gt;=T$4),1,""))</f>
        <v/>
      </c>
      <c r="U28" s="26">
        <f>IF(OR(J28="",L28=""),"",IF(AND(J28&lt;=EOMONTH(U$4,0),L28&gt;=U$4),1,""))</f>
        <v/>
      </c>
      <c r="V28" s="26">
        <f>IF(OR(J28="",L28=""),"",IF(AND(J28&lt;=EOMONTH(V$4,0),L28&gt;=V$4),1,""))</f>
        <v/>
      </c>
      <c r="W28" s="26">
        <f>IF(OR(J28="",L28=""),"",IF(AND(J28&lt;=EOMONTH(W$4,0),L28&gt;=W$4),1,""))</f>
        <v/>
      </c>
      <c r="X28" s="26">
        <f>IF(OR(J28="",L28=""),"",IF(AND(J28&lt;=EOMONTH(X$4,0),L28&gt;=X$4),1,""))</f>
        <v/>
      </c>
      <c r="Y28" s="26">
        <f>IF(OR(J28="",L28=""),"",IF(AND(J28&lt;=EOMONTH(Y$4,0),L28&gt;=Y$4),1,""))</f>
        <v/>
      </c>
      <c r="Z28" s="26">
        <f>IF(OR(J28="",L28=""),"",IF(AND(J28&lt;=EOMONTH(Z$4,0),L28&gt;=Z$4),1,""))</f>
        <v/>
      </c>
      <c r="AA28" s="26">
        <f>IF(OR(J28="",L28=""),"",IF(AND(J28&lt;=EOMONTH(AA$4,0),L28&gt;=AA$4),1,""))</f>
        <v/>
      </c>
      <c r="AB28" s="26">
        <f>IF(OR(J28="",L28=""),"",IF(AND(J28&lt;=EOMONTH(AB$4,0),L28&gt;=AB$4),1,""))</f>
        <v/>
      </c>
      <c r="AC28" s="26">
        <f>IF(OR(J28="",L28=""),"",IF(AND(J28&lt;=EOMONTH(AC$4,0),L28&gt;=AC$4),1,""))</f>
        <v/>
      </c>
      <c r="AD28" s="26">
        <f>IF(OR(J28="",L28=""),"",IF(AND(J28&lt;=EOMONTH(AD$4,0),L28&gt;=AD$4),1,""))</f>
        <v/>
      </c>
      <c r="AE28" s="26">
        <f>IF(OR(J28="",L28=""),"",IF(AND(J28&lt;=EOMONTH(AE$4,0),L28&gt;=AE$4),1,""))</f>
        <v/>
      </c>
      <c r="AF28" s="26">
        <f>IF(OR(J28="",L28=""),"",IF(AND(J28&lt;=EOMONTH(AF$4,0),L28&gt;=AF$4),1,""))</f>
        <v/>
      </c>
      <c r="AG28" s="26">
        <f>IF(OR(J28="",L28=""),"",IF(AND(J28&lt;=EOMONTH(AG$4,0),L28&gt;=AG$4),1,""))</f>
        <v/>
      </c>
      <c r="AH28" s="26">
        <f>IF(OR(J28="",L28=""),"",IF(AND(J28&lt;=EOMONTH(AH$4,0),L28&gt;=AH$4),1,""))</f>
        <v/>
      </c>
      <c r="AI28" s="26">
        <f>IF(OR(J28="",L28=""),"",IF(AND(J28&lt;=EOMONTH(AI$4,0),L28&gt;=AI$4),1,""))</f>
        <v/>
      </c>
      <c r="AJ28" s="26">
        <f>IF(OR(J28="",L28=""),"",IF(AND(J28&lt;=EOMONTH(AJ$4,0),L28&gt;=AJ$4),1,""))</f>
        <v/>
      </c>
      <c r="AK28" s="26">
        <f>IF(OR(J28="",L28=""),"",IF(AND(J28&lt;=EOMONTH(AK$4,0),L28&gt;=AK$4),1,""))</f>
        <v/>
      </c>
      <c r="AL28" s="26">
        <f>IF(OR(J28="",L28=""),"",IF(AND(J28&lt;=EOMONTH(AL$4,0),L28&gt;=AL$4),1,""))</f>
        <v/>
      </c>
      <c r="AM28" s="26">
        <f>IF(OR(J28="",L28=""),"",IF(AND(J28&lt;=EOMONTH(AM$4,0),L28&gt;=AM$4),1,""))</f>
        <v/>
      </c>
      <c r="AN28" s="26">
        <f>IF(OR(J28="",L28=""),"",IF(AND(J28&lt;=EOMONTH(AN$4,0),L28&gt;=AN$4),1,""))</f>
        <v/>
      </c>
      <c r="AO28" s="26">
        <f>IF(OR(J28="",L28=""),"",IF(AND(J28&lt;=EOMONTH(AO$4,0),L28&gt;=AO$4),1,""))</f>
        <v/>
      </c>
      <c r="AP28" s="26">
        <f>IF(OR(J28="",L28=""),"",IF(AND(J28&lt;=EOMONTH(AP$4,0),L28&gt;=AP$4),1,""))</f>
        <v/>
      </c>
      <c r="AQ28" s="26">
        <f>IF(OR(J28="",L28=""),"",IF(AND(J28&lt;=EOMONTH(AQ$4,0),L28&gt;=AQ$4),1,""))</f>
        <v/>
      </c>
      <c r="AR28" s="26">
        <f>IF(OR(J28="",L28=""),"",IF(AND(J28&lt;=EOMONTH(AR$4,0),L28&gt;=AR$4),1,""))</f>
        <v/>
      </c>
      <c r="AS28" s="26">
        <f>IF(OR(J28="",L28=""),"",IF(AND(J28&lt;=EOMONTH(AS$4,0),L28&gt;=AS$4),1,""))</f>
        <v/>
      </c>
      <c r="AT28" s="26">
        <f>IF(OR(J28="",L28=""),"",IF(AND(J28&lt;=EOMONTH(AT$4,0),L28&gt;=AT$4),1,""))</f>
        <v/>
      </c>
      <c r="AU28" s="26">
        <f>IF(OR(J28="",L28=""),"",IF(AND(J28&lt;=EOMONTH(AU$4,0),L28&gt;=AU$4),1,""))</f>
        <v/>
      </c>
      <c r="AV28" s="26">
        <f>IF(OR(J28="",L28=""),"",IF(AND(J28&lt;=EOMONTH(AV$4,0),L28&gt;=AV$4),1,""))</f>
        <v/>
      </c>
      <c r="AW28" s="26">
        <f>IF(OR(J28="",L28=""),"",IF(AND(J28&lt;=EOMONTH(AW$4,0),L28&gt;=AW$4),1,""))</f>
        <v/>
      </c>
      <c r="AX28" s="26">
        <f>IF(OR(J28="",L28=""),"",IF(AND(J28&lt;=EOMONTH(AX$4,0),L28&gt;=AX$4),1,""))</f>
        <v/>
      </c>
      <c r="AY28" s="26">
        <f>IF(OR(J28="",L28=""),"",IF(AND(J28&lt;=EOMONTH(AY$4,0),L28&gt;=AY$4),1,""))</f>
        <v/>
      </c>
      <c r="AZ28" s="26">
        <f>IF(OR(J28="",L28=""),"",IF(AND(J28&lt;=EOMONTH(AZ$4,0),L28&gt;=AZ$4),1,""))</f>
        <v/>
      </c>
      <c r="BA28" s="26">
        <f>IF(OR(J28="",L28=""),"",IF(AND(J28&lt;=EOMONTH(BA$4,0),L28&gt;=BA$4),1,""))</f>
        <v/>
      </c>
      <c r="BB28" s="26">
        <f>IF(OR(J28="",L28=""),"",IF(AND(J28&lt;=EOMONTH(BB$4,0),L28&gt;=BB$4),1,""))</f>
        <v/>
      </c>
    </row>
    <row r="29">
      <c r="A29" s="27" t="n"/>
      <c r="B29" s="28" t="n"/>
      <c r="C29" s="29" t="n"/>
      <c r="D29" s="30">
        <f>IF(E29="","","CWA-"&amp;MID(E29,5,4))</f>
        <v/>
      </c>
      <c r="E29" s="29" t="n"/>
      <c r="F29" s="31" t="n"/>
      <c r="G29" s="29" t="n"/>
      <c r="H29" s="28" t="n"/>
      <c r="I29" s="29" t="n"/>
      <c r="J29" s="32" t="n"/>
      <c r="K29" s="28" t="n"/>
      <c r="L29" s="33">
        <f>IF(OR(J29="",K29=""),"",J29+7*K29-1)</f>
        <v/>
      </c>
      <c r="M29" s="33">
        <f>IF(J29="","",J29-7*$E$3)</f>
        <v/>
      </c>
      <c r="N29" s="33">
        <f>IF(J29="","",J29-7*$H$3)</f>
        <v/>
      </c>
      <c r="O29" s="33">
        <f>IF(J29="","",J29-1*$K$3)</f>
        <v/>
      </c>
      <c r="P29" s="30">
        <f>IF(OR(E29="",I29="",I29="—"),IF(E29="","","OK"),IFERROR(IF(INDEX($L$6:$L$155,MATCH(I29,$E$6:$E$155,0))&gt;=J29,"Conflicto con predecesor","OK"),"Predecesor no encontrado"))</f>
        <v/>
      </c>
      <c r="Q29" s="29" t="n"/>
      <c r="R29" s="31" t="n"/>
      <c r="S29" s="26">
        <f>IF(OR(J29="",L29=""),"",IF(AND(J29&lt;=EOMONTH(S$4,0),L29&gt;=S$4),1,""))</f>
        <v/>
      </c>
      <c r="T29" s="26">
        <f>IF(OR(J29="",L29=""),"",IF(AND(J29&lt;=EOMONTH(T$4,0),L29&gt;=T$4),1,""))</f>
        <v/>
      </c>
      <c r="U29" s="26">
        <f>IF(OR(J29="",L29=""),"",IF(AND(J29&lt;=EOMONTH(U$4,0),L29&gt;=U$4),1,""))</f>
        <v/>
      </c>
      <c r="V29" s="26">
        <f>IF(OR(J29="",L29=""),"",IF(AND(J29&lt;=EOMONTH(V$4,0),L29&gt;=V$4),1,""))</f>
        <v/>
      </c>
      <c r="W29" s="26">
        <f>IF(OR(J29="",L29=""),"",IF(AND(J29&lt;=EOMONTH(W$4,0),L29&gt;=W$4),1,""))</f>
        <v/>
      </c>
      <c r="X29" s="26">
        <f>IF(OR(J29="",L29=""),"",IF(AND(J29&lt;=EOMONTH(X$4,0),L29&gt;=X$4),1,""))</f>
        <v/>
      </c>
      <c r="Y29" s="26">
        <f>IF(OR(J29="",L29=""),"",IF(AND(J29&lt;=EOMONTH(Y$4,0),L29&gt;=Y$4),1,""))</f>
        <v/>
      </c>
      <c r="Z29" s="26">
        <f>IF(OR(J29="",L29=""),"",IF(AND(J29&lt;=EOMONTH(Z$4,0),L29&gt;=Z$4),1,""))</f>
        <v/>
      </c>
      <c r="AA29" s="26">
        <f>IF(OR(J29="",L29=""),"",IF(AND(J29&lt;=EOMONTH(AA$4,0),L29&gt;=AA$4),1,""))</f>
        <v/>
      </c>
      <c r="AB29" s="26">
        <f>IF(OR(J29="",L29=""),"",IF(AND(J29&lt;=EOMONTH(AB$4,0),L29&gt;=AB$4),1,""))</f>
        <v/>
      </c>
      <c r="AC29" s="26">
        <f>IF(OR(J29="",L29=""),"",IF(AND(J29&lt;=EOMONTH(AC$4,0),L29&gt;=AC$4),1,""))</f>
        <v/>
      </c>
      <c r="AD29" s="26">
        <f>IF(OR(J29="",L29=""),"",IF(AND(J29&lt;=EOMONTH(AD$4,0),L29&gt;=AD$4),1,""))</f>
        <v/>
      </c>
      <c r="AE29" s="26">
        <f>IF(OR(J29="",L29=""),"",IF(AND(J29&lt;=EOMONTH(AE$4,0),L29&gt;=AE$4),1,""))</f>
        <v/>
      </c>
      <c r="AF29" s="26">
        <f>IF(OR(J29="",L29=""),"",IF(AND(J29&lt;=EOMONTH(AF$4,0),L29&gt;=AF$4),1,""))</f>
        <v/>
      </c>
      <c r="AG29" s="26">
        <f>IF(OR(J29="",L29=""),"",IF(AND(J29&lt;=EOMONTH(AG$4,0),L29&gt;=AG$4),1,""))</f>
        <v/>
      </c>
      <c r="AH29" s="26">
        <f>IF(OR(J29="",L29=""),"",IF(AND(J29&lt;=EOMONTH(AH$4,0),L29&gt;=AH$4),1,""))</f>
        <v/>
      </c>
      <c r="AI29" s="26">
        <f>IF(OR(J29="",L29=""),"",IF(AND(J29&lt;=EOMONTH(AI$4,0),L29&gt;=AI$4),1,""))</f>
        <v/>
      </c>
      <c r="AJ29" s="26">
        <f>IF(OR(J29="",L29=""),"",IF(AND(J29&lt;=EOMONTH(AJ$4,0),L29&gt;=AJ$4),1,""))</f>
        <v/>
      </c>
      <c r="AK29" s="26">
        <f>IF(OR(J29="",L29=""),"",IF(AND(J29&lt;=EOMONTH(AK$4,0),L29&gt;=AK$4),1,""))</f>
        <v/>
      </c>
      <c r="AL29" s="26">
        <f>IF(OR(J29="",L29=""),"",IF(AND(J29&lt;=EOMONTH(AL$4,0),L29&gt;=AL$4),1,""))</f>
        <v/>
      </c>
      <c r="AM29" s="26">
        <f>IF(OR(J29="",L29=""),"",IF(AND(J29&lt;=EOMONTH(AM$4,0),L29&gt;=AM$4),1,""))</f>
        <v/>
      </c>
      <c r="AN29" s="26">
        <f>IF(OR(J29="",L29=""),"",IF(AND(J29&lt;=EOMONTH(AN$4,0),L29&gt;=AN$4),1,""))</f>
        <v/>
      </c>
      <c r="AO29" s="26">
        <f>IF(OR(J29="",L29=""),"",IF(AND(J29&lt;=EOMONTH(AO$4,0),L29&gt;=AO$4),1,""))</f>
        <v/>
      </c>
      <c r="AP29" s="26">
        <f>IF(OR(J29="",L29=""),"",IF(AND(J29&lt;=EOMONTH(AP$4,0),L29&gt;=AP$4),1,""))</f>
        <v/>
      </c>
      <c r="AQ29" s="26">
        <f>IF(OR(J29="",L29=""),"",IF(AND(J29&lt;=EOMONTH(AQ$4,0),L29&gt;=AQ$4),1,""))</f>
        <v/>
      </c>
      <c r="AR29" s="26">
        <f>IF(OR(J29="",L29=""),"",IF(AND(J29&lt;=EOMONTH(AR$4,0),L29&gt;=AR$4),1,""))</f>
        <v/>
      </c>
      <c r="AS29" s="26">
        <f>IF(OR(J29="",L29=""),"",IF(AND(J29&lt;=EOMONTH(AS$4,0),L29&gt;=AS$4),1,""))</f>
        <v/>
      </c>
      <c r="AT29" s="26">
        <f>IF(OR(J29="",L29=""),"",IF(AND(J29&lt;=EOMONTH(AT$4,0),L29&gt;=AT$4),1,""))</f>
        <v/>
      </c>
      <c r="AU29" s="26">
        <f>IF(OR(J29="",L29=""),"",IF(AND(J29&lt;=EOMONTH(AU$4,0),L29&gt;=AU$4),1,""))</f>
        <v/>
      </c>
      <c r="AV29" s="26">
        <f>IF(OR(J29="",L29=""),"",IF(AND(J29&lt;=EOMONTH(AV$4,0),L29&gt;=AV$4),1,""))</f>
        <v/>
      </c>
      <c r="AW29" s="26">
        <f>IF(OR(J29="",L29=""),"",IF(AND(J29&lt;=EOMONTH(AW$4,0),L29&gt;=AW$4),1,""))</f>
        <v/>
      </c>
      <c r="AX29" s="26">
        <f>IF(OR(J29="",L29=""),"",IF(AND(J29&lt;=EOMONTH(AX$4,0),L29&gt;=AX$4),1,""))</f>
        <v/>
      </c>
      <c r="AY29" s="26">
        <f>IF(OR(J29="",L29=""),"",IF(AND(J29&lt;=EOMONTH(AY$4,0),L29&gt;=AY$4),1,""))</f>
        <v/>
      </c>
      <c r="AZ29" s="26">
        <f>IF(OR(J29="",L29=""),"",IF(AND(J29&lt;=EOMONTH(AZ$4,0),L29&gt;=AZ$4),1,""))</f>
        <v/>
      </c>
      <c r="BA29" s="26">
        <f>IF(OR(J29="",L29=""),"",IF(AND(J29&lt;=EOMONTH(BA$4,0),L29&gt;=BA$4),1,""))</f>
        <v/>
      </c>
      <c r="BB29" s="26">
        <f>IF(OR(J29="",L29=""),"",IF(AND(J29&lt;=EOMONTH(BB$4,0),L29&gt;=BB$4),1,""))</f>
        <v/>
      </c>
    </row>
    <row r="30">
      <c r="A30" s="27" t="n"/>
      <c r="B30" s="28" t="n"/>
      <c r="C30" s="29" t="n"/>
      <c r="D30" s="30">
        <f>IF(E30="","","CWA-"&amp;MID(E30,5,4))</f>
        <v/>
      </c>
      <c r="E30" s="29" t="n"/>
      <c r="F30" s="31" t="n"/>
      <c r="G30" s="29" t="n"/>
      <c r="H30" s="28" t="n"/>
      <c r="I30" s="29" t="n"/>
      <c r="J30" s="32" t="n"/>
      <c r="K30" s="28" t="n"/>
      <c r="L30" s="33">
        <f>IF(OR(J30="",K30=""),"",J30+7*K30-1)</f>
        <v/>
      </c>
      <c r="M30" s="33">
        <f>IF(J30="","",J30-7*$E$3)</f>
        <v/>
      </c>
      <c r="N30" s="33">
        <f>IF(J30="","",J30-7*$H$3)</f>
        <v/>
      </c>
      <c r="O30" s="33">
        <f>IF(J30="","",J30-1*$K$3)</f>
        <v/>
      </c>
      <c r="P30" s="30">
        <f>IF(OR(E30="",I30="",I30="—"),IF(E30="","","OK"),IFERROR(IF(INDEX($L$6:$L$155,MATCH(I30,$E$6:$E$155,0))&gt;=J30,"Conflicto con predecesor","OK"),"Predecesor no encontrado"))</f>
        <v/>
      </c>
      <c r="Q30" s="29" t="n"/>
      <c r="R30" s="31" t="n"/>
      <c r="S30" s="26">
        <f>IF(OR(J30="",L30=""),"",IF(AND(J30&lt;=EOMONTH(S$4,0),L30&gt;=S$4),1,""))</f>
        <v/>
      </c>
      <c r="T30" s="26">
        <f>IF(OR(J30="",L30=""),"",IF(AND(J30&lt;=EOMONTH(T$4,0),L30&gt;=T$4),1,""))</f>
        <v/>
      </c>
      <c r="U30" s="26">
        <f>IF(OR(J30="",L30=""),"",IF(AND(J30&lt;=EOMONTH(U$4,0),L30&gt;=U$4),1,""))</f>
        <v/>
      </c>
      <c r="V30" s="26">
        <f>IF(OR(J30="",L30=""),"",IF(AND(J30&lt;=EOMONTH(V$4,0),L30&gt;=V$4),1,""))</f>
        <v/>
      </c>
      <c r="W30" s="26">
        <f>IF(OR(J30="",L30=""),"",IF(AND(J30&lt;=EOMONTH(W$4,0),L30&gt;=W$4),1,""))</f>
        <v/>
      </c>
      <c r="X30" s="26">
        <f>IF(OR(J30="",L30=""),"",IF(AND(J30&lt;=EOMONTH(X$4,0),L30&gt;=X$4),1,""))</f>
        <v/>
      </c>
      <c r="Y30" s="26">
        <f>IF(OR(J30="",L30=""),"",IF(AND(J30&lt;=EOMONTH(Y$4,0),L30&gt;=Y$4),1,""))</f>
        <v/>
      </c>
      <c r="Z30" s="26">
        <f>IF(OR(J30="",L30=""),"",IF(AND(J30&lt;=EOMONTH(Z$4,0),L30&gt;=Z$4),1,""))</f>
        <v/>
      </c>
      <c r="AA30" s="26">
        <f>IF(OR(J30="",L30=""),"",IF(AND(J30&lt;=EOMONTH(AA$4,0),L30&gt;=AA$4),1,""))</f>
        <v/>
      </c>
      <c r="AB30" s="26">
        <f>IF(OR(J30="",L30=""),"",IF(AND(J30&lt;=EOMONTH(AB$4,0),L30&gt;=AB$4),1,""))</f>
        <v/>
      </c>
      <c r="AC30" s="26">
        <f>IF(OR(J30="",L30=""),"",IF(AND(J30&lt;=EOMONTH(AC$4,0),L30&gt;=AC$4),1,""))</f>
        <v/>
      </c>
      <c r="AD30" s="26">
        <f>IF(OR(J30="",L30=""),"",IF(AND(J30&lt;=EOMONTH(AD$4,0),L30&gt;=AD$4),1,""))</f>
        <v/>
      </c>
      <c r="AE30" s="26">
        <f>IF(OR(J30="",L30=""),"",IF(AND(J30&lt;=EOMONTH(AE$4,0),L30&gt;=AE$4),1,""))</f>
        <v/>
      </c>
      <c r="AF30" s="26">
        <f>IF(OR(J30="",L30=""),"",IF(AND(J30&lt;=EOMONTH(AF$4,0),L30&gt;=AF$4),1,""))</f>
        <v/>
      </c>
      <c r="AG30" s="26">
        <f>IF(OR(J30="",L30=""),"",IF(AND(J30&lt;=EOMONTH(AG$4,0),L30&gt;=AG$4),1,""))</f>
        <v/>
      </c>
      <c r="AH30" s="26">
        <f>IF(OR(J30="",L30=""),"",IF(AND(J30&lt;=EOMONTH(AH$4,0),L30&gt;=AH$4),1,""))</f>
        <v/>
      </c>
      <c r="AI30" s="26">
        <f>IF(OR(J30="",L30=""),"",IF(AND(J30&lt;=EOMONTH(AI$4,0),L30&gt;=AI$4),1,""))</f>
        <v/>
      </c>
      <c r="AJ30" s="26">
        <f>IF(OR(J30="",L30=""),"",IF(AND(J30&lt;=EOMONTH(AJ$4,0),L30&gt;=AJ$4),1,""))</f>
        <v/>
      </c>
      <c r="AK30" s="26">
        <f>IF(OR(J30="",L30=""),"",IF(AND(J30&lt;=EOMONTH(AK$4,0),L30&gt;=AK$4),1,""))</f>
        <v/>
      </c>
      <c r="AL30" s="26">
        <f>IF(OR(J30="",L30=""),"",IF(AND(J30&lt;=EOMONTH(AL$4,0),L30&gt;=AL$4),1,""))</f>
        <v/>
      </c>
      <c r="AM30" s="26">
        <f>IF(OR(J30="",L30=""),"",IF(AND(J30&lt;=EOMONTH(AM$4,0),L30&gt;=AM$4),1,""))</f>
        <v/>
      </c>
      <c r="AN30" s="26">
        <f>IF(OR(J30="",L30=""),"",IF(AND(J30&lt;=EOMONTH(AN$4,0),L30&gt;=AN$4),1,""))</f>
        <v/>
      </c>
      <c r="AO30" s="26">
        <f>IF(OR(J30="",L30=""),"",IF(AND(J30&lt;=EOMONTH(AO$4,0),L30&gt;=AO$4),1,""))</f>
        <v/>
      </c>
      <c r="AP30" s="26">
        <f>IF(OR(J30="",L30=""),"",IF(AND(J30&lt;=EOMONTH(AP$4,0),L30&gt;=AP$4),1,""))</f>
        <v/>
      </c>
      <c r="AQ30" s="26">
        <f>IF(OR(J30="",L30=""),"",IF(AND(J30&lt;=EOMONTH(AQ$4,0),L30&gt;=AQ$4),1,""))</f>
        <v/>
      </c>
      <c r="AR30" s="26">
        <f>IF(OR(J30="",L30=""),"",IF(AND(J30&lt;=EOMONTH(AR$4,0),L30&gt;=AR$4),1,""))</f>
        <v/>
      </c>
      <c r="AS30" s="26">
        <f>IF(OR(J30="",L30=""),"",IF(AND(J30&lt;=EOMONTH(AS$4,0),L30&gt;=AS$4),1,""))</f>
        <v/>
      </c>
      <c r="AT30" s="26">
        <f>IF(OR(J30="",L30=""),"",IF(AND(J30&lt;=EOMONTH(AT$4,0),L30&gt;=AT$4),1,""))</f>
        <v/>
      </c>
      <c r="AU30" s="26">
        <f>IF(OR(J30="",L30=""),"",IF(AND(J30&lt;=EOMONTH(AU$4,0),L30&gt;=AU$4),1,""))</f>
        <v/>
      </c>
      <c r="AV30" s="26">
        <f>IF(OR(J30="",L30=""),"",IF(AND(J30&lt;=EOMONTH(AV$4,0),L30&gt;=AV$4),1,""))</f>
        <v/>
      </c>
      <c r="AW30" s="26">
        <f>IF(OR(J30="",L30=""),"",IF(AND(J30&lt;=EOMONTH(AW$4,0),L30&gt;=AW$4),1,""))</f>
        <v/>
      </c>
      <c r="AX30" s="26">
        <f>IF(OR(J30="",L30=""),"",IF(AND(J30&lt;=EOMONTH(AX$4,0),L30&gt;=AX$4),1,""))</f>
        <v/>
      </c>
      <c r="AY30" s="26">
        <f>IF(OR(J30="",L30=""),"",IF(AND(J30&lt;=EOMONTH(AY$4,0),L30&gt;=AY$4),1,""))</f>
        <v/>
      </c>
      <c r="AZ30" s="26">
        <f>IF(OR(J30="",L30=""),"",IF(AND(J30&lt;=EOMONTH(AZ$4,0),L30&gt;=AZ$4),1,""))</f>
        <v/>
      </c>
      <c r="BA30" s="26">
        <f>IF(OR(J30="",L30=""),"",IF(AND(J30&lt;=EOMONTH(BA$4,0),L30&gt;=BA$4),1,""))</f>
        <v/>
      </c>
      <c r="BB30" s="26">
        <f>IF(OR(J30="",L30=""),"",IF(AND(J30&lt;=EOMONTH(BB$4,0),L30&gt;=BB$4),1,""))</f>
        <v/>
      </c>
    </row>
    <row r="31">
      <c r="A31" s="27" t="n"/>
      <c r="B31" s="28" t="n"/>
      <c r="C31" s="29" t="n"/>
      <c r="D31" s="30">
        <f>IF(E31="","","CWA-"&amp;MID(E31,5,4))</f>
        <v/>
      </c>
      <c r="E31" s="29" t="n"/>
      <c r="F31" s="31" t="n"/>
      <c r="G31" s="29" t="n"/>
      <c r="H31" s="28" t="n"/>
      <c r="I31" s="29" t="n"/>
      <c r="J31" s="32" t="n"/>
      <c r="K31" s="28" t="n"/>
      <c r="L31" s="33">
        <f>IF(OR(J31="",K31=""),"",J31+7*K31-1)</f>
        <v/>
      </c>
      <c r="M31" s="33">
        <f>IF(J31="","",J31-7*$E$3)</f>
        <v/>
      </c>
      <c r="N31" s="33">
        <f>IF(J31="","",J31-7*$H$3)</f>
        <v/>
      </c>
      <c r="O31" s="33">
        <f>IF(J31="","",J31-1*$K$3)</f>
        <v/>
      </c>
      <c r="P31" s="30">
        <f>IF(OR(E31="",I31="",I31="—"),IF(E31="","","OK"),IFERROR(IF(INDEX($L$6:$L$155,MATCH(I31,$E$6:$E$155,0))&gt;=J31,"Conflicto con predecesor","OK"),"Predecesor no encontrado"))</f>
        <v/>
      </c>
      <c r="Q31" s="29" t="n"/>
      <c r="R31" s="31" t="n"/>
      <c r="S31" s="26">
        <f>IF(OR(J31="",L31=""),"",IF(AND(J31&lt;=EOMONTH(S$4,0),L31&gt;=S$4),1,""))</f>
        <v/>
      </c>
      <c r="T31" s="26">
        <f>IF(OR(J31="",L31=""),"",IF(AND(J31&lt;=EOMONTH(T$4,0),L31&gt;=T$4),1,""))</f>
        <v/>
      </c>
      <c r="U31" s="26">
        <f>IF(OR(J31="",L31=""),"",IF(AND(J31&lt;=EOMONTH(U$4,0),L31&gt;=U$4),1,""))</f>
        <v/>
      </c>
      <c r="V31" s="26">
        <f>IF(OR(J31="",L31=""),"",IF(AND(J31&lt;=EOMONTH(V$4,0),L31&gt;=V$4),1,""))</f>
        <v/>
      </c>
      <c r="W31" s="26">
        <f>IF(OR(J31="",L31=""),"",IF(AND(J31&lt;=EOMONTH(W$4,0),L31&gt;=W$4),1,""))</f>
        <v/>
      </c>
      <c r="X31" s="26">
        <f>IF(OR(J31="",L31=""),"",IF(AND(J31&lt;=EOMONTH(X$4,0),L31&gt;=X$4),1,""))</f>
        <v/>
      </c>
      <c r="Y31" s="26">
        <f>IF(OR(J31="",L31=""),"",IF(AND(J31&lt;=EOMONTH(Y$4,0),L31&gt;=Y$4),1,""))</f>
        <v/>
      </c>
      <c r="Z31" s="26">
        <f>IF(OR(J31="",L31=""),"",IF(AND(J31&lt;=EOMONTH(Z$4,0),L31&gt;=Z$4),1,""))</f>
        <v/>
      </c>
      <c r="AA31" s="26">
        <f>IF(OR(J31="",L31=""),"",IF(AND(J31&lt;=EOMONTH(AA$4,0),L31&gt;=AA$4),1,""))</f>
        <v/>
      </c>
      <c r="AB31" s="26">
        <f>IF(OR(J31="",L31=""),"",IF(AND(J31&lt;=EOMONTH(AB$4,0),L31&gt;=AB$4),1,""))</f>
        <v/>
      </c>
      <c r="AC31" s="26">
        <f>IF(OR(J31="",L31=""),"",IF(AND(J31&lt;=EOMONTH(AC$4,0),L31&gt;=AC$4),1,""))</f>
        <v/>
      </c>
      <c r="AD31" s="26">
        <f>IF(OR(J31="",L31=""),"",IF(AND(J31&lt;=EOMONTH(AD$4,0),L31&gt;=AD$4),1,""))</f>
        <v/>
      </c>
      <c r="AE31" s="26">
        <f>IF(OR(J31="",L31=""),"",IF(AND(J31&lt;=EOMONTH(AE$4,0),L31&gt;=AE$4),1,""))</f>
        <v/>
      </c>
      <c r="AF31" s="26">
        <f>IF(OR(J31="",L31=""),"",IF(AND(J31&lt;=EOMONTH(AF$4,0),L31&gt;=AF$4),1,""))</f>
        <v/>
      </c>
      <c r="AG31" s="26">
        <f>IF(OR(J31="",L31=""),"",IF(AND(J31&lt;=EOMONTH(AG$4,0),L31&gt;=AG$4),1,""))</f>
        <v/>
      </c>
      <c r="AH31" s="26">
        <f>IF(OR(J31="",L31=""),"",IF(AND(J31&lt;=EOMONTH(AH$4,0),L31&gt;=AH$4),1,""))</f>
        <v/>
      </c>
      <c r="AI31" s="26">
        <f>IF(OR(J31="",L31=""),"",IF(AND(J31&lt;=EOMONTH(AI$4,0),L31&gt;=AI$4),1,""))</f>
        <v/>
      </c>
      <c r="AJ31" s="26">
        <f>IF(OR(J31="",L31=""),"",IF(AND(J31&lt;=EOMONTH(AJ$4,0),L31&gt;=AJ$4),1,""))</f>
        <v/>
      </c>
      <c r="AK31" s="26">
        <f>IF(OR(J31="",L31=""),"",IF(AND(J31&lt;=EOMONTH(AK$4,0),L31&gt;=AK$4),1,""))</f>
        <v/>
      </c>
      <c r="AL31" s="26">
        <f>IF(OR(J31="",L31=""),"",IF(AND(J31&lt;=EOMONTH(AL$4,0),L31&gt;=AL$4),1,""))</f>
        <v/>
      </c>
      <c r="AM31" s="26">
        <f>IF(OR(J31="",L31=""),"",IF(AND(J31&lt;=EOMONTH(AM$4,0),L31&gt;=AM$4),1,""))</f>
        <v/>
      </c>
      <c r="AN31" s="26">
        <f>IF(OR(J31="",L31=""),"",IF(AND(J31&lt;=EOMONTH(AN$4,0),L31&gt;=AN$4),1,""))</f>
        <v/>
      </c>
      <c r="AO31" s="26">
        <f>IF(OR(J31="",L31=""),"",IF(AND(J31&lt;=EOMONTH(AO$4,0),L31&gt;=AO$4),1,""))</f>
        <v/>
      </c>
      <c r="AP31" s="26">
        <f>IF(OR(J31="",L31=""),"",IF(AND(J31&lt;=EOMONTH(AP$4,0),L31&gt;=AP$4),1,""))</f>
        <v/>
      </c>
      <c r="AQ31" s="26">
        <f>IF(OR(J31="",L31=""),"",IF(AND(J31&lt;=EOMONTH(AQ$4,0),L31&gt;=AQ$4),1,""))</f>
        <v/>
      </c>
      <c r="AR31" s="26">
        <f>IF(OR(J31="",L31=""),"",IF(AND(J31&lt;=EOMONTH(AR$4,0),L31&gt;=AR$4),1,""))</f>
        <v/>
      </c>
      <c r="AS31" s="26">
        <f>IF(OR(J31="",L31=""),"",IF(AND(J31&lt;=EOMONTH(AS$4,0),L31&gt;=AS$4),1,""))</f>
        <v/>
      </c>
      <c r="AT31" s="26">
        <f>IF(OR(J31="",L31=""),"",IF(AND(J31&lt;=EOMONTH(AT$4,0),L31&gt;=AT$4),1,""))</f>
        <v/>
      </c>
      <c r="AU31" s="26">
        <f>IF(OR(J31="",L31=""),"",IF(AND(J31&lt;=EOMONTH(AU$4,0),L31&gt;=AU$4),1,""))</f>
        <v/>
      </c>
      <c r="AV31" s="26">
        <f>IF(OR(J31="",L31=""),"",IF(AND(J31&lt;=EOMONTH(AV$4,0),L31&gt;=AV$4),1,""))</f>
        <v/>
      </c>
      <c r="AW31" s="26">
        <f>IF(OR(J31="",L31=""),"",IF(AND(J31&lt;=EOMONTH(AW$4,0),L31&gt;=AW$4),1,""))</f>
        <v/>
      </c>
      <c r="AX31" s="26">
        <f>IF(OR(J31="",L31=""),"",IF(AND(J31&lt;=EOMONTH(AX$4,0),L31&gt;=AX$4),1,""))</f>
        <v/>
      </c>
      <c r="AY31" s="26">
        <f>IF(OR(J31="",L31=""),"",IF(AND(J31&lt;=EOMONTH(AY$4,0),L31&gt;=AY$4),1,""))</f>
        <v/>
      </c>
      <c r="AZ31" s="26">
        <f>IF(OR(J31="",L31=""),"",IF(AND(J31&lt;=EOMONTH(AZ$4,0),L31&gt;=AZ$4),1,""))</f>
        <v/>
      </c>
      <c r="BA31" s="26">
        <f>IF(OR(J31="",L31=""),"",IF(AND(J31&lt;=EOMONTH(BA$4,0),L31&gt;=BA$4),1,""))</f>
        <v/>
      </c>
      <c r="BB31" s="26">
        <f>IF(OR(J31="",L31=""),"",IF(AND(J31&lt;=EOMONTH(BB$4,0),L31&gt;=BB$4),1,""))</f>
        <v/>
      </c>
    </row>
    <row r="32">
      <c r="A32" s="27" t="n"/>
      <c r="B32" s="28" t="n"/>
      <c r="C32" s="29" t="n"/>
      <c r="D32" s="30">
        <f>IF(E32="","","CWA-"&amp;MID(E32,5,4))</f>
        <v/>
      </c>
      <c r="E32" s="29" t="n"/>
      <c r="F32" s="31" t="n"/>
      <c r="G32" s="29" t="n"/>
      <c r="H32" s="28" t="n"/>
      <c r="I32" s="29" t="n"/>
      <c r="J32" s="32" t="n"/>
      <c r="K32" s="28" t="n"/>
      <c r="L32" s="33">
        <f>IF(OR(J32="",K32=""),"",J32+7*K32-1)</f>
        <v/>
      </c>
      <c r="M32" s="33">
        <f>IF(J32="","",J32-7*$E$3)</f>
        <v/>
      </c>
      <c r="N32" s="33">
        <f>IF(J32="","",J32-7*$H$3)</f>
        <v/>
      </c>
      <c r="O32" s="33">
        <f>IF(J32="","",J32-1*$K$3)</f>
        <v/>
      </c>
      <c r="P32" s="30">
        <f>IF(OR(E32="",I32="",I32="—"),IF(E32="","","OK"),IFERROR(IF(INDEX($L$6:$L$155,MATCH(I32,$E$6:$E$155,0))&gt;=J32,"Conflicto con predecesor","OK"),"Predecesor no encontrado"))</f>
        <v/>
      </c>
      <c r="Q32" s="29" t="n"/>
      <c r="R32" s="31" t="n"/>
      <c r="S32" s="26">
        <f>IF(OR(J32="",L32=""),"",IF(AND(J32&lt;=EOMONTH(S$4,0),L32&gt;=S$4),1,""))</f>
        <v/>
      </c>
      <c r="T32" s="26">
        <f>IF(OR(J32="",L32=""),"",IF(AND(J32&lt;=EOMONTH(T$4,0),L32&gt;=T$4),1,""))</f>
        <v/>
      </c>
      <c r="U32" s="26">
        <f>IF(OR(J32="",L32=""),"",IF(AND(J32&lt;=EOMONTH(U$4,0),L32&gt;=U$4),1,""))</f>
        <v/>
      </c>
      <c r="V32" s="26">
        <f>IF(OR(J32="",L32=""),"",IF(AND(J32&lt;=EOMONTH(V$4,0),L32&gt;=V$4),1,""))</f>
        <v/>
      </c>
      <c r="W32" s="26">
        <f>IF(OR(J32="",L32=""),"",IF(AND(J32&lt;=EOMONTH(W$4,0),L32&gt;=W$4),1,""))</f>
        <v/>
      </c>
      <c r="X32" s="26">
        <f>IF(OR(J32="",L32=""),"",IF(AND(J32&lt;=EOMONTH(X$4,0),L32&gt;=X$4),1,""))</f>
        <v/>
      </c>
      <c r="Y32" s="26">
        <f>IF(OR(J32="",L32=""),"",IF(AND(J32&lt;=EOMONTH(Y$4,0),L32&gt;=Y$4),1,""))</f>
        <v/>
      </c>
      <c r="Z32" s="26">
        <f>IF(OR(J32="",L32=""),"",IF(AND(J32&lt;=EOMONTH(Z$4,0),L32&gt;=Z$4),1,""))</f>
        <v/>
      </c>
      <c r="AA32" s="26">
        <f>IF(OR(J32="",L32=""),"",IF(AND(J32&lt;=EOMONTH(AA$4,0),L32&gt;=AA$4),1,""))</f>
        <v/>
      </c>
      <c r="AB32" s="26">
        <f>IF(OR(J32="",L32=""),"",IF(AND(J32&lt;=EOMONTH(AB$4,0),L32&gt;=AB$4),1,""))</f>
        <v/>
      </c>
      <c r="AC32" s="26">
        <f>IF(OR(J32="",L32=""),"",IF(AND(J32&lt;=EOMONTH(AC$4,0),L32&gt;=AC$4),1,""))</f>
        <v/>
      </c>
      <c r="AD32" s="26">
        <f>IF(OR(J32="",L32=""),"",IF(AND(J32&lt;=EOMONTH(AD$4,0),L32&gt;=AD$4),1,""))</f>
        <v/>
      </c>
      <c r="AE32" s="26">
        <f>IF(OR(J32="",L32=""),"",IF(AND(J32&lt;=EOMONTH(AE$4,0),L32&gt;=AE$4),1,""))</f>
        <v/>
      </c>
      <c r="AF32" s="26">
        <f>IF(OR(J32="",L32=""),"",IF(AND(J32&lt;=EOMONTH(AF$4,0),L32&gt;=AF$4),1,""))</f>
        <v/>
      </c>
      <c r="AG32" s="26">
        <f>IF(OR(J32="",L32=""),"",IF(AND(J32&lt;=EOMONTH(AG$4,0),L32&gt;=AG$4),1,""))</f>
        <v/>
      </c>
      <c r="AH32" s="26">
        <f>IF(OR(J32="",L32=""),"",IF(AND(J32&lt;=EOMONTH(AH$4,0),L32&gt;=AH$4),1,""))</f>
        <v/>
      </c>
      <c r="AI32" s="26">
        <f>IF(OR(J32="",L32=""),"",IF(AND(J32&lt;=EOMONTH(AI$4,0),L32&gt;=AI$4),1,""))</f>
        <v/>
      </c>
      <c r="AJ32" s="26">
        <f>IF(OR(J32="",L32=""),"",IF(AND(J32&lt;=EOMONTH(AJ$4,0),L32&gt;=AJ$4),1,""))</f>
        <v/>
      </c>
      <c r="AK32" s="26">
        <f>IF(OR(J32="",L32=""),"",IF(AND(J32&lt;=EOMONTH(AK$4,0),L32&gt;=AK$4),1,""))</f>
        <v/>
      </c>
      <c r="AL32" s="26">
        <f>IF(OR(J32="",L32=""),"",IF(AND(J32&lt;=EOMONTH(AL$4,0),L32&gt;=AL$4),1,""))</f>
        <v/>
      </c>
      <c r="AM32" s="26">
        <f>IF(OR(J32="",L32=""),"",IF(AND(J32&lt;=EOMONTH(AM$4,0),L32&gt;=AM$4),1,""))</f>
        <v/>
      </c>
      <c r="AN32" s="26">
        <f>IF(OR(J32="",L32=""),"",IF(AND(J32&lt;=EOMONTH(AN$4,0),L32&gt;=AN$4),1,""))</f>
        <v/>
      </c>
      <c r="AO32" s="26">
        <f>IF(OR(J32="",L32=""),"",IF(AND(J32&lt;=EOMONTH(AO$4,0),L32&gt;=AO$4),1,""))</f>
        <v/>
      </c>
      <c r="AP32" s="26">
        <f>IF(OR(J32="",L32=""),"",IF(AND(J32&lt;=EOMONTH(AP$4,0),L32&gt;=AP$4),1,""))</f>
        <v/>
      </c>
      <c r="AQ32" s="26">
        <f>IF(OR(J32="",L32=""),"",IF(AND(J32&lt;=EOMONTH(AQ$4,0),L32&gt;=AQ$4),1,""))</f>
        <v/>
      </c>
      <c r="AR32" s="26">
        <f>IF(OR(J32="",L32=""),"",IF(AND(J32&lt;=EOMONTH(AR$4,0),L32&gt;=AR$4),1,""))</f>
        <v/>
      </c>
      <c r="AS32" s="26">
        <f>IF(OR(J32="",L32=""),"",IF(AND(J32&lt;=EOMONTH(AS$4,0),L32&gt;=AS$4),1,""))</f>
        <v/>
      </c>
      <c r="AT32" s="26">
        <f>IF(OR(J32="",L32=""),"",IF(AND(J32&lt;=EOMONTH(AT$4,0),L32&gt;=AT$4),1,""))</f>
        <v/>
      </c>
      <c r="AU32" s="26">
        <f>IF(OR(J32="",L32=""),"",IF(AND(J32&lt;=EOMONTH(AU$4,0),L32&gt;=AU$4),1,""))</f>
        <v/>
      </c>
      <c r="AV32" s="26">
        <f>IF(OR(J32="",L32=""),"",IF(AND(J32&lt;=EOMONTH(AV$4,0),L32&gt;=AV$4),1,""))</f>
        <v/>
      </c>
      <c r="AW32" s="26">
        <f>IF(OR(J32="",L32=""),"",IF(AND(J32&lt;=EOMONTH(AW$4,0),L32&gt;=AW$4),1,""))</f>
        <v/>
      </c>
      <c r="AX32" s="26">
        <f>IF(OR(J32="",L32=""),"",IF(AND(J32&lt;=EOMONTH(AX$4,0),L32&gt;=AX$4),1,""))</f>
        <v/>
      </c>
      <c r="AY32" s="26">
        <f>IF(OR(J32="",L32=""),"",IF(AND(J32&lt;=EOMONTH(AY$4,0),L32&gt;=AY$4),1,""))</f>
        <v/>
      </c>
      <c r="AZ32" s="26">
        <f>IF(OR(J32="",L32=""),"",IF(AND(J32&lt;=EOMONTH(AZ$4,0),L32&gt;=AZ$4),1,""))</f>
        <v/>
      </c>
      <c r="BA32" s="26">
        <f>IF(OR(J32="",L32=""),"",IF(AND(J32&lt;=EOMONTH(BA$4,0),L32&gt;=BA$4),1,""))</f>
        <v/>
      </c>
      <c r="BB32" s="26">
        <f>IF(OR(J32="",L32=""),"",IF(AND(J32&lt;=EOMONTH(BB$4,0),L32&gt;=BB$4),1,""))</f>
        <v/>
      </c>
    </row>
    <row r="33">
      <c r="A33" s="27" t="n"/>
      <c r="B33" s="28" t="n"/>
      <c r="C33" s="29" t="n"/>
      <c r="D33" s="30">
        <f>IF(E33="","","CWA-"&amp;MID(E33,5,4))</f>
        <v/>
      </c>
      <c r="E33" s="29" t="n"/>
      <c r="F33" s="31" t="n"/>
      <c r="G33" s="29" t="n"/>
      <c r="H33" s="28" t="n"/>
      <c r="I33" s="29" t="n"/>
      <c r="J33" s="32" t="n"/>
      <c r="K33" s="28" t="n"/>
      <c r="L33" s="33">
        <f>IF(OR(J33="",K33=""),"",J33+7*K33-1)</f>
        <v/>
      </c>
      <c r="M33" s="33">
        <f>IF(J33="","",J33-7*$E$3)</f>
        <v/>
      </c>
      <c r="N33" s="33">
        <f>IF(J33="","",J33-7*$H$3)</f>
        <v/>
      </c>
      <c r="O33" s="33">
        <f>IF(J33="","",J33-1*$K$3)</f>
        <v/>
      </c>
      <c r="P33" s="30">
        <f>IF(OR(E33="",I33="",I33="—"),IF(E33="","","OK"),IFERROR(IF(INDEX($L$6:$L$155,MATCH(I33,$E$6:$E$155,0))&gt;=J33,"Conflicto con predecesor","OK"),"Predecesor no encontrado"))</f>
        <v/>
      </c>
      <c r="Q33" s="29" t="n"/>
      <c r="R33" s="31" t="n"/>
      <c r="S33" s="26">
        <f>IF(OR(J33="",L33=""),"",IF(AND(J33&lt;=EOMONTH(S$4,0),L33&gt;=S$4),1,""))</f>
        <v/>
      </c>
      <c r="T33" s="26">
        <f>IF(OR(J33="",L33=""),"",IF(AND(J33&lt;=EOMONTH(T$4,0),L33&gt;=T$4),1,""))</f>
        <v/>
      </c>
      <c r="U33" s="26">
        <f>IF(OR(J33="",L33=""),"",IF(AND(J33&lt;=EOMONTH(U$4,0),L33&gt;=U$4),1,""))</f>
        <v/>
      </c>
      <c r="V33" s="26">
        <f>IF(OR(J33="",L33=""),"",IF(AND(J33&lt;=EOMONTH(V$4,0),L33&gt;=V$4),1,""))</f>
        <v/>
      </c>
      <c r="W33" s="26">
        <f>IF(OR(J33="",L33=""),"",IF(AND(J33&lt;=EOMONTH(W$4,0),L33&gt;=W$4),1,""))</f>
        <v/>
      </c>
      <c r="X33" s="26">
        <f>IF(OR(J33="",L33=""),"",IF(AND(J33&lt;=EOMONTH(X$4,0),L33&gt;=X$4),1,""))</f>
        <v/>
      </c>
      <c r="Y33" s="26">
        <f>IF(OR(J33="",L33=""),"",IF(AND(J33&lt;=EOMONTH(Y$4,0),L33&gt;=Y$4),1,""))</f>
        <v/>
      </c>
      <c r="Z33" s="26">
        <f>IF(OR(J33="",L33=""),"",IF(AND(J33&lt;=EOMONTH(Z$4,0),L33&gt;=Z$4),1,""))</f>
        <v/>
      </c>
      <c r="AA33" s="26">
        <f>IF(OR(J33="",L33=""),"",IF(AND(J33&lt;=EOMONTH(AA$4,0),L33&gt;=AA$4),1,""))</f>
        <v/>
      </c>
      <c r="AB33" s="26">
        <f>IF(OR(J33="",L33=""),"",IF(AND(J33&lt;=EOMONTH(AB$4,0),L33&gt;=AB$4),1,""))</f>
        <v/>
      </c>
      <c r="AC33" s="26">
        <f>IF(OR(J33="",L33=""),"",IF(AND(J33&lt;=EOMONTH(AC$4,0),L33&gt;=AC$4),1,""))</f>
        <v/>
      </c>
      <c r="AD33" s="26">
        <f>IF(OR(J33="",L33=""),"",IF(AND(J33&lt;=EOMONTH(AD$4,0),L33&gt;=AD$4),1,""))</f>
        <v/>
      </c>
      <c r="AE33" s="26">
        <f>IF(OR(J33="",L33=""),"",IF(AND(J33&lt;=EOMONTH(AE$4,0),L33&gt;=AE$4),1,""))</f>
        <v/>
      </c>
      <c r="AF33" s="26">
        <f>IF(OR(J33="",L33=""),"",IF(AND(J33&lt;=EOMONTH(AF$4,0),L33&gt;=AF$4),1,""))</f>
        <v/>
      </c>
      <c r="AG33" s="26">
        <f>IF(OR(J33="",L33=""),"",IF(AND(J33&lt;=EOMONTH(AG$4,0),L33&gt;=AG$4),1,""))</f>
        <v/>
      </c>
      <c r="AH33" s="26">
        <f>IF(OR(J33="",L33=""),"",IF(AND(J33&lt;=EOMONTH(AH$4,0),L33&gt;=AH$4),1,""))</f>
        <v/>
      </c>
      <c r="AI33" s="26">
        <f>IF(OR(J33="",L33=""),"",IF(AND(J33&lt;=EOMONTH(AI$4,0),L33&gt;=AI$4),1,""))</f>
        <v/>
      </c>
      <c r="AJ33" s="26">
        <f>IF(OR(J33="",L33=""),"",IF(AND(J33&lt;=EOMONTH(AJ$4,0),L33&gt;=AJ$4),1,""))</f>
        <v/>
      </c>
      <c r="AK33" s="26">
        <f>IF(OR(J33="",L33=""),"",IF(AND(J33&lt;=EOMONTH(AK$4,0),L33&gt;=AK$4),1,""))</f>
        <v/>
      </c>
      <c r="AL33" s="26">
        <f>IF(OR(J33="",L33=""),"",IF(AND(J33&lt;=EOMONTH(AL$4,0),L33&gt;=AL$4),1,""))</f>
        <v/>
      </c>
      <c r="AM33" s="26">
        <f>IF(OR(J33="",L33=""),"",IF(AND(J33&lt;=EOMONTH(AM$4,0),L33&gt;=AM$4),1,""))</f>
        <v/>
      </c>
      <c r="AN33" s="26">
        <f>IF(OR(J33="",L33=""),"",IF(AND(J33&lt;=EOMONTH(AN$4,0),L33&gt;=AN$4),1,""))</f>
        <v/>
      </c>
      <c r="AO33" s="26">
        <f>IF(OR(J33="",L33=""),"",IF(AND(J33&lt;=EOMONTH(AO$4,0),L33&gt;=AO$4),1,""))</f>
        <v/>
      </c>
      <c r="AP33" s="26">
        <f>IF(OR(J33="",L33=""),"",IF(AND(J33&lt;=EOMONTH(AP$4,0),L33&gt;=AP$4),1,""))</f>
        <v/>
      </c>
      <c r="AQ33" s="26">
        <f>IF(OR(J33="",L33=""),"",IF(AND(J33&lt;=EOMONTH(AQ$4,0),L33&gt;=AQ$4),1,""))</f>
        <v/>
      </c>
      <c r="AR33" s="26">
        <f>IF(OR(J33="",L33=""),"",IF(AND(J33&lt;=EOMONTH(AR$4,0),L33&gt;=AR$4),1,""))</f>
        <v/>
      </c>
      <c r="AS33" s="26">
        <f>IF(OR(J33="",L33=""),"",IF(AND(J33&lt;=EOMONTH(AS$4,0),L33&gt;=AS$4),1,""))</f>
        <v/>
      </c>
      <c r="AT33" s="26">
        <f>IF(OR(J33="",L33=""),"",IF(AND(J33&lt;=EOMONTH(AT$4,0),L33&gt;=AT$4),1,""))</f>
        <v/>
      </c>
      <c r="AU33" s="26">
        <f>IF(OR(J33="",L33=""),"",IF(AND(J33&lt;=EOMONTH(AU$4,0),L33&gt;=AU$4),1,""))</f>
        <v/>
      </c>
      <c r="AV33" s="26">
        <f>IF(OR(J33="",L33=""),"",IF(AND(J33&lt;=EOMONTH(AV$4,0),L33&gt;=AV$4),1,""))</f>
        <v/>
      </c>
      <c r="AW33" s="26">
        <f>IF(OR(J33="",L33=""),"",IF(AND(J33&lt;=EOMONTH(AW$4,0),L33&gt;=AW$4),1,""))</f>
        <v/>
      </c>
      <c r="AX33" s="26">
        <f>IF(OR(J33="",L33=""),"",IF(AND(J33&lt;=EOMONTH(AX$4,0),L33&gt;=AX$4),1,""))</f>
        <v/>
      </c>
      <c r="AY33" s="26">
        <f>IF(OR(J33="",L33=""),"",IF(AND(J33&lt;=EOMONTH(AY$4,0),L33&gt;=AY$4),1,""))</f>
        <v/>
      </c>
      <c r="AZ33" s="26">
        <f>IF(OR(J33="",L33=""),"",IF(AND(J33&lt;=EOMONTH(AZ$4,0),L33&gt;=AZ$4),1,""))</f>
        <v/>
      </c>
      <c r="BA33" s="26">
        <f>IF(OR(J33="",L33=""),"",IF(AND(J33&lt;=EOMONTH(BA$4,0),L33&gt;=BA$4),1,""))</f>
        <v/>
      </c>
      <c r="BB33" s="26">
        <f>IF(OR(J33="",L33=""),"",IF(AND(J33&lt;=EOMONTH(BB$4,0),L33&gt;=BB$4),1,""))</f>
        <v/>
      </c>
    </row>
    <row r="34">
      <c r="A34" s="27" t="n"/>
      <c r="B34" s="28" t="n"/>
      <c r="C34" s="29" t="n"/>
      <c r="D34" s="30">
        <f>IF(E34="","","CWA-"&amp;MID(E34,5,4))</f>
        <v/>
      </c>
      <c r="E34" s="29" t="n"/>
      <c r="F34" s="31" t="n"/>
      <c r="G34" s="29" t="n"/>
      <c r="H34" s="28" t="n"/>
      <c r="I34" s="29" t="n"/>
      <c r="J34" s="32" t="n"/>
      <c r="K34" s="28" t="n"/>
      <c r="L34" s="33">
        <f>IF(OR(J34="",K34=""),"",J34+7*K34-1)</f>
        <v/>
      </c>
      <c r="M34" s="33">
        <f>IF(J34="","",J34-7*$E$3)</f>
        <v/>
      </c>
      <c r="N34" s="33">
        <f>IF(J34="","",J34-7*$H$3)</f>
        <v/>
      </c>
      <c r="O34" s="33">
        <f>IF(J34="","",J34-1*$K$3)</f>
        <v/>
      </c>
      <c r="P34" s="30">
        <f>IF(OR(E34="",I34="",I34="—"),IF(E34="","","OK"),IFERROR(IF(INDEX($L$6:$L$155,MATCH(I34,$E$6:$E$155,0))&gt;=J34,"Conflicto con predecesor","OK"),"Predecesor no encontrado"))</f>
        <v/>
      </c>
      <c r="Q34" s="29" t="n"/>
      <c r="R34" s="31" t="n"/>
      <c r="S34" s="26">
        <f>IF(OR(J34="",L34=""),"",IF(AND(J34&lt;=EOMONTH(S$4,0),L34&gt;=S$4),1,""))</f>
        <v/>
      </c>
      <c r="T34" s="26">
        <f>IF(OR(J34="",L34=""),"",IF(AND(J34&lt;=EOMONTH(T$4,0),L34&gt;=T$4),1,""))</f>
        <v/>
      </c>
      <c r="U34" s="26">
        <f>IF(OR(J34="",L34=""),"",IF(AND(J34&lt;=EOMONTH(U$4,0),L34&gt;=U$4),1,""))</f>
        <v/>
      </c>
      <c r="V34" s="26">
        <f>IF(OR(J34="",L34=""),"",IF(AND(J34&lt;=EOMONTH(V$4,0),L34&gt;=V$4),1,""))</f>
        <v/>
      </c>
      <c r="W34" s="26">
        <f>IF(OR(J34="",L34=""),"",IF(AND(J34&lt;=EOMONTH(W$4,0),L34&gt;=W$4),1,""))</f>
        <v/>
      </c>
      <c r="X34" s="26">
        <f>IF(OR(J34="",L34=""),"",IF(AND(J34&lt;=EOMONTH(X$4,0),L34&gt;=X$4),1,""))</f>
        <v/>
      </c>
      <c r="Y34" s="26">
        <f>IF(OR(J34="",L34=""),"",IF(AND(J34&lt;=EOMONTH(Y$4,0),L34&gt;=Y$4),1,""))</f>
        <v/>
      </c>
      <c r="Z34" s="26">
        <f>IF(OR(J34="",L34=""),"",IF(AND(J34&lt;=EOMONTH(Z$4,0),L34&gt;=Z$4),1,""))</f>
        <v/>
      </c>
      <c r="AA34" s="26">
        <f>IF(OR(J34="",L34=""),"",IF(AND(J34&lt;=EOMONTH(AA$4,0),L34&gt;=AA$4),1,""))</f>
        <v/>
      </c>
      <c r="AB34" s="26">
        <f>IF(OR(J34="",L34=""),"",IF(AND(J34&lt;=EOMONTH(AB$4,0),L34&gt;=AB$4),1,""))</f>
        <v/>
      </c>
      <c r="AC34" s="26">
        <f>IF(OR(J34="",L34=""),"",IF(AND(J34&lt;=EOMONTH(AC$4,0),L34&gt;=AC$4),1,""))</f>
        <v/>
      </c>
      <c r="AD34" s="26">
        <f>IF(OR(J34="",L34=""),"",IF(AND(J34&lt;=EOMONTH(AD$4,0),L34&gt;=AD$4),1,""))</f>
        <v/>
      </c>
      <c r="AE34" s="26">
        <f>IF(OR(J34="",L34=""),"",IF(AND(J34&lt;=EOMONTH(AE$4,0),L34&gt;=AE$4),1,""))</f>
        <v/>
      </c>
      <c r="AF34" s="26">
        <f>IF(OR(J34="",L34=""),"",IF(AND(J34&lt;=EOMONTH(AF$4,0),L34&gt;=AF$4),1,""))</f>
        <v/>
      </c>
      <c r="AG34" s="26">
        <f>IF(OR(J34="",L34=""),"",IF(AND(J34&lt;=EOMONTH(AG$4,0),L34&gt;=AG$4),1,""))</f>
        <v/>
      </c>
      <c r="AH34" s="26">
        <f>IF(OR(J34="",L34=""),"",IF(AND(J34&lt;=EOMONTH(AH$4,0),L34&gt;=AH$4),1,""))</f>
        <v/>
      </c>
      <c r="AI34" s="26">
        <f>IF(OR(J34="",L34=""),"",IF(AND(J34&lt;=EOMONTH(AI$4,0),L34&gt;=AI$4),1,""))</f>
        <v/>
      </c>
      <c r="AJ34" s="26">
        <f>IF(OR(J34="",L34=""),"",IF(AND(J34&lt;=EOMONTH(AJ$4,0),L34&gt;=AJ$4),1,""))</f>
        <v/>
      </c>
      <c r="AK34" s="26">
        <f>IF(OR(J34="",L34=""),"",IF(AND(J34&lt;=EOMONTH(AK$4,0),L34&gt;=AK$4),1,""))</f>
        <v/>
      </c>
      <c r="AL34" s="26">
        <f>IF(OR(J34="",L34=""),"",IF(AND(J34&lt;=EOMONTH(AL$4,0),L34&gt;=AL$4),1,""))</f>
        <v/>
      </c>
      <c r="AM34" s="26">
        <f>IF(OR(J34="",L34=""),"",IF(AND(J34&lt;=EOMONTH(AM$4,0),L34&gt;=AM$4),1,""))</f>
        <v/>
      </c>
      <c r="AN34" s="26">
        <f>IF(OR(J34="",L34=""),"",IF(AND(J34&lt;=EOMONTH(AN$4,0),L34&gt;=AN$4),1,""))</f>
        <v/>
      </c>
      <c r="AO34" s="26">
        <f>IF(OR(J34="",L34=""),"",IF(AND(J34&lt;=EOMONTH(AO$4,0),L34&gt;=AO$4),1,""))</f>
        <v/>
      </c>
      <c r="AP34" s="26">
        <f>IF(OR(J34="",L34=""),"",IF(AND(J34&lt;=EOMONTH(AP$4,0),L34&gt;=AP$4),1,""))</f>
        <v/>
      </c>
      <c r="AQ34" s="26">
        <f>IF(OR(J34="",L34=""),"",IF(AND(J34&lt;=EOMONTH(AQ$4,0),L34&gt;=AQ$4),1,""))</f>
        <v/>
      </c>
      <c r="AR34" s="26">
        <f>IF(OR(J34="",L34=""),"",IF(AND(J34&lt;=EOMONTH(AR$4,0),L34&gt;=AR$4),1,""))</f>
        <v/>
      </c>
      <c r="AS34" s="26">
        <f>IF(OR(J34="",L34=""),"",IF(AND(J34&lt;=EOMONTH(AS$4,0),L34&gt;=AS$4),1,""))</f>
        <v/>
      </c>
      <c r="AT34" s="26">
        <f>IF(OR(J34="",L34=""),"",IF(AND(J34&lt;=EOMONTH(AT$4,0),L34&gt;=AT$4),1,""))</f>
        <v/>
      </c>
      <c r="AU34" s="26">
        <f>IF(OR(J34="",L34=""),"",IF(AND(J34&lt;=EOMONTH(AU$4,0),L34&gt;=AU$4),1,""))</f>
        <v/>
      </c>
      <c r="AV34" s="26">
        <f>IF(OR(J34="",L34=""),"",IF(AND(J34&lt;=EOMONTH(AV$4,0),L34&gt;=AV$4),1,""))</f>
        <v/>
      </c>
      <c r="AW34" s="26">
        <f>IF(OR(J34="",L34=""),"",IF(AND(J34&lt;=EOMONTH(AW$4,0),L34&gt;=AW$4),1,""))</f>
        <v/>
      </c>
      <c r="AX34" s="26">
        <f>IF(OR(J34="",L34=""),"",IF(AND(J34&lt;=EOMONTH(AX$4,0),L34&gt;=AX$4),1,""))</f>
        <v/>
      </c>
      <c r="AY34" s="26">
        <f>IF(OR(J34="",L34=""),"",IF(AND(J34&lt;=EOMONTH(AY$4,0),L34&gt;=AY$4),1,""))</f>
        <v/>
      </c>
      <c r="AZ34" s="26">
        <f>IF(OR(J34="",L34=""),"",IF(AND(J34&lt;=EOMONTH(AZ$4,0),L34&gt;=AZ$4),1,""))</f>
        <v/>
      </c>
      <c r="BA34" s="26">
        <f>IF(OR(J34="",L34=""),"",IF(AND(J34&lt;=EOMONTH(BA$4,0),L34&gt;=BA$4),1,""))</f>
        <v/>
      </c>
      <c r="BB34" s="26">
        <f>IF(OR(J34="",L34=""),"",IF(AND(J34&lt;=EOMONTH(BB$4,0),L34&gt;=BB$4),1,""))</f>
        <v/>
      </c>
    </row>
    <row r="35">
      <c r="A35" s="27" t="n"/>
      <c r="B35" s="28" t="n"/>
      <c r="C35" s="29" t="n"/>
      <c r="D35" s="30">
        <f>IF(E35="","","CWA-"&amp;MID(E35,5,4))</f>
        <v/>
      </c>
      <c r="E35" s="29" t="n"/>
      <c r="F35" s="31" t="n"/>
      <c r="G35" s="29" t="n"/>
      <c r="H35" s="28" t="n"/>
      <c r="I35" s="29" t="n"/>
      <c r="J35" s="32" t="n"/>
      <c r="K35" s="28" t="n"/>
      <c r="L35" s="33">
        <f>IF(OR(J35="",K35=""),"",J35+7*K35-1)</f>
        <v/>
      </c>
      <c r="M35" s="33">
        <f>IF(J35="","",J35-7*$E$3)</f>
        <v/>
      </c>
      <c r="N35" s="33">
        <f>IF(J35="","",J35-7*$H$3)</f>
        <v/>
      </c>
      <c r="O35" s="33">
        <f>IF(J35="","",J35-1*$K$3)</f>
        <v/>
      </c>
      <c r="P35" s="30">
        <f>IF(OR(E35="",I35="",I35="—"),IF(E35="","","OK"),IFERROR(IF(INDEX($L$6:$L$155,MATCH(I35,$E$6:$E$155,0))&gt;=J35,"Conflicto con predecesor","OK"),"Predecesor no encontrado"))</f>
        <v/>
      </c>
      <c r="Q35" s="29" t="n"/>
      <c r="R35" s="31" t="n"/>
      <c r="S35" s="26">
        <f>IF(OR(J35="",L35=""),"",IF(AND(J35&lt;=EOMONTH(S$4,0),L35&gt;=S$4),1,""))</f>
        <v/>
      </c>
      <c r="T35" s="26">
        <f>IF(OR(J35="",L35=""),"",IF(AND(J35&lt;=EOMONTH(T$4,0),L35&gt;=T$4),1,""))</f>
        <v/>
      </c>
      <c r="U35" s="26">
        <f>IF(OR(J35="",L35=""),"",IF(AND(J35&lt;=EOMONTH(U$4,0),L35&gt;=U$4),1,""))</f>
        <v/>
      </c>
      <c r="V35" s="26">
        <f>IF(OR(J35="",L35=""),"",IF(AND(J35&lt;=EOMONTH(V$4,0),L35&gt;=V$4),1,""))</f>
        <v/>
      </c>
      <c r="W35" s="26">
        <f>IF(OR(J35="",L35=""),"",IF(AND(J35&lt;=EOMONTH(W$4,0),L35&gt;=W$4),1,""))</f>
        <v/>
      </c>
      <c r="X35" s="26">
        <f>IF(OR(J35="",L35=""),"",IF(AND(J35&lt;=EOMONTH(X$4,0),L35&gt;=X$4),1,""))</f>
        <v/>
      </c>
      <c r="Y35" s="26">
        <f>IF(OR(J35="",L35=""),"",IF(AND(J35&lt;=EOMONTH(Y$4,0),L35&gt;=Y$4),1,""))</f>
        <v/>
      </c>
      <c r="Z35" s="26">
        <f>IF(OR(J35="",L35=""),"",IF(AND(J35&lt;=EOMONTH(Z$4,0),L35&gt;=Z$4),1,""))</f>
        <v/>
      </c>
      <c r="AA35" s="26">
        <f>IF(OR(J35="",L35=""),"",IF(AND(J35&lt;=EOMONTH(AA$4,0),L35&gt;=AA$4),1,""))</f>
        <v/>
      </c>
      <c r="AB35" s="26">
        <f>IF(OR(J35="",L35=""),"",IF(AND(J35&lt;=EOMONTH(AB$4,0),L35&gt;=AB$4),1,""))</f>
        <v/>
      </c>
      <c r="AC35" s="26">
        <f>IF(OR(J35="",L35=""),"",IF(AND(J35&lt;=EOMONTH(AC$4,0),L35&gt;=AC$4),1,""))</f>
        <v/>
      </c>
      <c r="AD35" s="26">
        <f>IF(OR(J35="",L35=""),"",IF(AND(J35&lt;=EOMONTH(AD$4,0),L35&gt;=AD$4),1,""))</f>
        <v/>
      </c>
      <c r="AE35" s="26">
        <f>IF(OR(J35="",L35=""),"",IF(AND(J35&lt;=EOMONTH(AE$4,0),L35&gt;=AE$4),1,""))</f>
        <v/>
      </c>
      <c r="AF35" s="26">
        <f>IF(OR(J35="",L35=""),"",IF(AND(J35&lt;=EOMONTH(AF$4,0),L35&gt;=AF$4),1,""))</f>
        <v/>
      </c>
      <c r="AG35" s="26">
        <f>IF(OR(J35="",L35=""),"",IF(AND(J35&lt;=EOMONTH(AG$4,0),L35&gt;=AG$4),1,""))</f>
        <v/>
      </c>
      <c r="AH35" s="26">
        <f>IF(OR(J35="",L35=""),"",IF(AND(J35&lt;=EOMONTH(AH$4,0),L35&gt;=AH$4),1,""))</f>
        <v/>
      </c>
      <c r="AI35" s="26">
        <f>IF(OR(J35="",L35=""),"",IF(AND(J35&lt;=EOMONTH(AI$4,0),L35&gt;=AI$4),1,""))</f>
        <v/>
      </c>
      <c r="AJ35" s="26">
        <f>IF(OR(J35="",L35=""),"",IF(AND(J35&lt;=EOMONTH(AJ$4,0),L35&gt;=AJ$4),1,""))</f>
        <v/>
      </c>
      <c r="AK35" s="26">
        <f>IF(OR(J35="",L35=""),"",IF(AND(J35&lt;=EOMONTH(AK$4,0),L35&gt;=AK$4),1,""))</f>
        <v/>
      </c>
      <c r="AL35" s="26">
        <f>IF(OR(J35="",L35=""),"",IF(AND(J35&lt;=EOMONTH(AL$4,0),L35&gt;=AL$4),1,""))</f>
        <v/>
      </c>
      <c r="AM35" s="26">
        <f>IF(OR(J35="",L35=""),"",IF(AND(J35&lt;=EOMONTH(AM$4,0),L35&gt;=AM$4),1,""))</f>
        <v/>
      </c>
      <c r="AN35" s="26">
        <f>IF(OR(J35="",L35=""),"",IF(AND(J35&lt;=EOMONTH(AN$4,0),L35&gt;=AN$4),1,""))</f>
        <v/>
      </c>
      <c r="AO35" s="26">
        <f>IF(OR(J35="",L35=""),"",IF(AND(J35&lt;=EOMONTH(AO$4,0),L35&gt;=AO$4),1,""))</f>
        <v/>
      </c>
      <c r="AP35" s="26">
        <f>IF(OR(J35="",L35=""),"",IF(AND(J35&lt;=EOMONTH(AP$4,0),L35&gt;=AP$4),1,""))</f>
        <v/>
      </c>
      <c r="AQ35" s="26">
        <f>IF(OR(J35="",L35=""),"",IF(AND(J35&lt;=EOMONTH(AQ$4,0),L35&gt;=AQ$4),1,""))</f>
        <v/>
      </c>
      <c r="AR35" s="26">
        <f>IF(OR(J35="",L35=""),"",IF(AND(J35&lt;=EOMONTH(AR$4,0),L35&gt;=AR$4),1,""))</f>
        <v/>
      </c>
      <c r="AS35" s="26">
        <f>IF(OR(J35="",L35=""),"",IF(AND(J35&lt;=EOMONTH(AS$4,0),L35&gt;=AS$4),1,""))</f>
        <v/>
      </c>
      <c r="AT35" s="26">
        <f>IF(OR(J35="",L35=""),"",IF(AND(J35&lt;=EOMONTH(AT$4,0),L35&gt;=AT$4),1,""))</f>
        <v/>
      </c>
      <c r="AU35" s="26">
        <f>IF(OR(J35="",L35=""),"",IF(AND(J35&lt;=EOMONTH(AU$4,0),L35&gt;=AU$4),1,""))</f>
        <v/>
      </c>
      <c r="AV35" s="26">
        <f>IF(OR(J35="",L35=""),"",IF(AND(J35&lt;=EOMONTH(AV$4,0),L35&gt;=AV$4),1,""))</f>
        <v/>
      </c>
      <c r="AW35" s="26">
        <f>IF(OR(J35="",L35=""),"",IF(AND(J35&lt;=EOMONTH(AW$4,0),L35&gt;=AW$4),1,""))</f>
        <v/>
      </c>
      <c r="AX35" s="26">
        <f>IF(OR(J35="",L35=""),"",IF(AND(J35&lt;=EOMONTH(AX$4,0),L35&gt;=AX$4),1,""))</f>
        <v/>
      </c>
      <c r="AY35" s="26">
        <f>IF(OR(J35="",L35=""),"",IF(AND(J35&lt;=EOMONTH(AY$4,0),L35&gt;=AY$4),1,""))</f>
        <v/>
      </c>
      <c r="AZ35" s="26">
        <f>IF(OR(J35="",L35=""),"",IF(AND(J35&lt;=EOMONTH(AZ$4,0),L35&gt;=AZ$4),1,""))</f>
        <v/>
      </c>
      <c r="BA35" s="26">
        <f>IF(OR(J35="",L35=""),"",IF(AND(J35&lt;=EOMONTH(BA$4,0),L35&gt;=BA$4),1,""))</f>
        <v/>
      </c>
      <c r="BB35" s="26">
        <f>IF(OR(J35="",L35=""),"",IF(AND(J35&lt;=EOMONTH(BB$4,0),L35&gt;=BB$4),1,""))</f>
        <v/>
      </c>
    </row>
    <row r="36">
      <c r="A36" s="27" t="n"/>
      <c r="B36" s="28" t="n"/>
      <c r="C36" s="29" t="n"/>
      <c r="D36" s="30">
        <f>IF(E36="","","CWA-"&amp;MID(E36,5,4))</f>
        <v/>
      </c>
      <c r="E36" s="29" t="n"/>
      <c r="F36" s="31" t="n"/>
      <c r="G36" s="29" t="n"/>
      <c r="H36" s="28" t="n"/>
      <c r="I36" s="29" t="n"/>
      <c r="J36" s="32" t="n"/>
      <c r="K36" s="28" t="n"/>
      <c r="L36" s="33">
        <f>IF(OR(J36="",K36=""),"",J36+7*K36-1)</f>
        <v/>
      </c>
      <c r="M36" s="33">
        <f>IF(J36="","",J36-7*$E$3)</f>
        <v/>
      </c>
      <c r="N36" s="33">
        <f>IF(J36="","",J36-7*$H$3)</f>
        <v/>
      </c>
      <c r="O36" s="33">
        <f>IF(J36="","",J36-1*$K$3)</f>
        <v/>
      </c>
      <c r="P36" s="30">
        <f>IF(OR(E36="",I36="",I36="—"),IF(E36="","","OK"),IFERROR(IF(INDEX($L$6:$L$155,MATCH(I36,$E$6:$E$155,0))&gt;=J36,"Conflicto con predecesor","OK"),"Predecesor no encontrado"))</f>
        <v/>
      </c>
      <c r="Q36" s="29" t="n"/>
      <c r="R36" s="31" t="n"/>
      <c r="S36" s="26">
        <f>IF(OR(J36="",L36=""),"",IF(AND(J36&lt;=EOMONTH(S$4,0),L36&gt;=S$4),1,""))</f>
        <v/>
      </c>
      <c r="T36" s="26">
        <f>IF(OR(J36="",L36=""),"",IF(AND(J36&lt;=EOMONTH(T$4,0),L36&gt;=T$4),1,""))</f>
        <v/>
      </c>
      <c r="U36" s="26">
        <f>IF(OR(J36="",L36=""),"",IF(AND(J36&lt;=EOMONTH(U$4,0),L36&gt;=U$4),1,""))</f>
        <v/>
      </c>
      <c r="V36" s="26">
        <f>IF(OR(J36="",L36=""),"",IF(AND(J36&lt;=EOMONTH(V$4,0),L36&gt;=V$4),1,""))</f>
        <v/>
      </c>
      <c r="W36" s="26">
        <f>IF(OR(J36="",L36=""),"",IF(AND(J36&lt;=EOMONTH(W$4,0),L36&gt;=W$4),1,""))</f>
        <v/>
      </c>
      <c r="X36" s="26">
        <f>IF(OR(J36="",L36=""),"",IF(AND(J36&lt;=EOMONTH(X$4,0),L36&gt;=X$4),1,""))</f>
        <v/>
      </c>
      <c r="Y36" s="26">
        <f>IF(OR(J36="",L36=""),"",IF(AND(J36&lt;=EOMONTH(Y$4,0),L36&gt;=Y$4),1,""))</f>
        <v/>
      </c>
      <c r="Z36" s="26">
        <f>IF(OR(J36="",L36=""),"",IF(AND(J36&lt;=EOMONTH(Z$4,0),L36&gt;=Z$4),1,""))</f>
        <v/>
      </c>
      <c r="AA36" s="26">
        <f>IF(OR(J36="",L36=""),"",IF(AND(J36&lt;=EOMONTH(AA$4,0),L36&gt;=AA$4),1,""))</f>
        <v/>
      </c>
      <c r="AB36" s="26">
        <f>IF(OR(J36="",L36=""),"",IF(AND(J36&lt;=EOMONTH(AB$4,0),L36&gt;=AB$4),1,""))</f>
        <v/>
      </c>
      <c r="AC36" s="26">
        <f>IF(OR(J36="",L36=""),"",IF(AND(J36&lt;=EOMONTH(AC$4,0),L36&gt;=AC$4),1,""))</f>
        <v/>
      </c>
      <c r="AD36" s="26">
        <f>IF(OR(J36="",L36=""),"",IF(AND(J36&lt;=EOMONTH(AD$4,0),L36&gt;=AD$4),1,""))</f>
        <v/>
      </c>
      <c r="AE36" s="26">
        <f>IF(OR(J36="",L36=""),"",IF(AND(J36&lt;=EOMONTH(AE$4,0),L36&gt;=AE$4),1,""))</f>
        <v/>
      </c>
      <c r="AF36" s="26">
        <f>IF(OR(J36="",L36=""),"",IF(AND(J36&lt;=EOMONTH(AF$4,0),L36&gt;=AF$4),1,""))</f>
        <v/>
      </c>
      <c r="AG36" s="26">
        <f>IF(OR(J36="",L36=""),"",IF(AND(J36&lt;=EOMONTH(AG$4,0),L36&gt;=AG$4),1,""))</f>
        <v/>
      </c>
      <c r="AH36" s="26">
        <f>IF(OR(J36="",L36=""),"",IF(AND(J36&lt;=EOMONTH(AH$4,0),L36&gt;=AH$4),1,""))</f>
        <v/>
      </c>
      <c r="AI36" s="26">
        <f>IF(OR(J36="",L36=""),"",IF(AND(J36&lt;=EOMONTH(AI$4,0),L36&gt;=AI$4),1,""))</f>
        <v/>
      </c>
      <c r="AJ36" s="26">
        <f>IF(OR(J36="",L36=""),"",IF(AND(J36&lt;=EOMONTH(AJ$4,0),L36&gt;=AJ$4),1,""))</f>
        <v/>
      </c>
      <c r="AK36" s="26">
        <f>IF(OR(J36="",L36=""),"",IF(AND(J36&lt;=EOMONTH(AK$4,0),L36&gt;=AK$4),1,""))</f>
        <v/>
      </c>
      <c r="AL36" s="26">
        <f>IF(OR(J36="",L36=""),"",IF(AND(J36&lt;=EOMONTH(AL$4,0),L36&gt;=AL$4),1,""))</f>
        <v/>
      </c>
      <c r="AM36" s="26">
        <f>IF(OR(J36="",L36=""),"",IF(AND(J36&lt;=EOMONTH(AM$4,0),L36&gt;=AM$4),1,""))</f>
        <v/>
      </c>
      <c r="AN36" s="26">
        <f>IF(OR(J36="",L36=""),"",IF(AND(J36&lt;=EOMONTH(AN$4,0),L36&gt;=AN$4),1,""))</f>
        <v/>
      </c>
      <c r="AO36" s="26">
        <f>IF(OR(J36="",L36=""),"",IF(AND(J36&lt;=EOMONTH(AO$4,0),L36&gt;=AO$4),1,""))</f>
        <v/>
      </c>
      <c r="AP36" s="26">
        <f>IF(OR(J36="",L36=""),"",IF(AND(J36&lt;=EOMONTH(AP$4,0),L36&gt;=AP$4),1,""))</f>
        <v/>
      </c>
      <c r="AQ36" s="26">
        <f>IF(OR(J36="",L36=""),"",IF(AND(J36&lt;=EOMONTH(AQ$4,0),L36&gt;=AQ$4),1,""))</f>
        <v/>
      </c>
      <c r="AR36" s="26">
        <f>IF(OR(J36="",L36=""),"",IF(AND(J36&lt;=EOMONTH(AR$4,0),L36&gt;=AR$4),1,""))</f>
        <v/>
      </c>
      <c r="AS36" s="26">
        <f>IF(OR(J36="",L36=""),"",IF(AND(J36&lt;=EOMONTH(AS$4,0),L36&gt;=AS$4),1,""))</f>
        <v/>
      </c>
      <c r="AT36" s="26">
        <f>IF(OR(J36="",L36=""),"",IF(AND(J36&lt;=EOMONTH(AT$4,0),L36&gt;=AT$4),1,""))</f>
        <v/>
      </c>
      <c r="AU36" s="26">
        <f>IF(OR(J36="",L36=""),"",IF(AND(J36&lt;=EOMONTH(AU$4,0),L36&gt;=AU$4),1,""))</f>
        <v/>
      </c>
      <c r="AV36" s="26">
        <f>IF(OR(J36="",L36=""),"",IF(AND(J36&lt;=EOMONTH(AV$4,0),L36&gt;=AV$4),1,""))</f>
        <v/>
      </c>
      <c r="AW36" s="26">
        <f>IF(OR(J36="",L36=""),"",IF(AND(J36&lt;=EOMONTH(AW$4,0),L36&gt;=AW$4),1,""))</f>
        <v/>
      </c>
      <c r="AX36" s="26">
        <f>IF(OR(J36="",L36=""),"",IF(AND(J36&lt;=EOMONTH(AX$4,0),L36&gt;=AX$4),1,""))</f>
        <v/>
      </c>
      <c r="AY36" s="26">
        <f>IF(OR(J36="",L36=""),"",IF(AND(J36&lt;=EOMONTH(AY$4,0),L36&gt;=AY$4),1,""))</f>
        <v/>
      </c>
      <c r="AZ36" s="26">
        <f>IF(OR(J36="",L36=""),"",IF(AND(J36&lt;=EOMONTH(AZ$4,0),L36&gt;=AZ$4),1,""))</f>
        <v/>
      </c>
      <c r="BA36" s="26">
        <f>IF(OR(J36="",L36=""),"",IF(AND(J36&lt;=EOMONTH(BA$4,0),L36&gt;=BA$4),1,""))</f>
        <v/>
      </c>
      <c r="BB36" s="26">
        <f>IF(OR(J36="",L36=""),"",IF(AND(J36&lt;=EOMONTH(BB$4,0),L36&gt;=BB$4),1,""))</f>
        <v/>
      </c>
    </row>
    <row r="37">
      <c r="A37" s="27" t="n"/>
      <c r="B37" s="28" t="n"/>
      <c r="C37" s="29" t="n"/>
      <c r="D37" s="30">
        <f>IF(E37="","","CWA-"&amp;MID(E37,5,4))</f>
        <v/>
      </c>
      <c r="E37" s="29" t="n"/>
      <c r="F37" s="31" t="n"/>
      <c r="G37" s="29" t="n"/>
      <c r="H37" s="28" t="n"/>
      <c r="I37" s="29" t="n"/>
      <c r="J37" s="32" t="n"/>
      <c r="K37" s="28" t="n"/>
      <c r="L37" s="33">
        <f>IF(OR(J37="",K37=""),"",J37+7*K37-1)</f>
        <v/>
      </c>
      <c r="M37" s="33">
        <f>IF(J37="","",J37-7*$E$3)</f>
        <v/>
      </c>
      <c r="N37" s="33">
        <f>IF(J37="","",J37-7*$H$3)</f>
        <v/>
      </c>
      <c r="O37" s="33">
        <f>IF(J37="","",J37-1*$K$3)</f>
        <v/>
      </c>
      <c r="P37" s="30">
        <f>IF(OR(E37="",I37="",I37="—"),IF(E37="","","OK"),IFERROR(IF(INDEX($L$6:$L$155,MATCH(I37,$E$6:$E$155,0))&gt;=J37,"Conflicto con predecesor","OK"),"Predecesor no encontrado"))</f>
        <v/>
      </c>
      <c r="Q37" s="29" t="n"/>
      <c r="R37" s="31" t="n"/>
      <c r="S37" s="26">
        <f>IF(OR(J37="",L37=""),"",IF(AND(J37&lt;=EOMONTH(S$4,0),L37&gt;=S$4),1,""))</f>
        <v/>
      </c>
      <c r="T37" s="26">
        <f>IF(OR(J37="",L37=""),"",IF(AND(J37&lt;=EOMONTH(T$4,0),L37&gt;=T$4),1,""))</f>
        <v/>
      </c>
      <c r="U37" s="26">
        <f>IF(OR(J37="",L37=""),"",IF(AND(J37&lt;=EOMONTH(U$4,0),L37&gt;=U$4),1,""))</f>
        <v/>
      </c>
      <c r="V37" s="26">
        <f>IF(OR(J37="",L37=""),"",IF(AND(J37&lt;=EOMONTH(V$4,0),L37&gt;=V$4),1,""))</f>
        <v/>
      </c>
      <c r="W37" s="26">
        <f>IF(OR(J37="",L37=""),"",IF(AND(J37&lt;=EOMONTH(W$4,0),L37&gt;=W$4),1,""))</f>
        <v/>
      </c>
      <c r="X37" s="26">
        <f>IF(OR(J37="",L37=""),"",IF(AND(J37&lt;=EOMONTH(X$4,0),L37&gt;=X$4),1,""))</f>
        <v/>
      </c>
      <c r="Y37" s="26">
        <f>IF(OR(J37="",L37=""),"",IF(AND(J37&lt;=EOMONTH(Y$4,0),L37&gt;=Y$4),1,""))</f>
        <v/>
      </c>
      <c r="Z37" s="26">
        <f>IF(OR(J37="",L37=""),"",IF(AND(J37&lt;=EOMONTH(Z$4,0),L37&gt;=Z$4),1,""))</f>
        <v/>
      </c>
      <c r="AA37" s="26">
        <f>IF(OR(J37="",L37=""),"",IF(AND(J37&lt;=EOMONTH(AA$4,0),L37&gt;=AA$4),1,""))</f>
        <v/>
      </c>
      <c r="AB37" s="26">
        <f>IF(OR(J37="",L37=""),"",IF(AND(J37&lt;=EOMONTH(AB$4,0),L37&gt;=AB$4),1,""))</f>
        <v/>
      </c>
      <c r="AC37" s="26">
        <f>IF(OR(J37="",L37=""),"",IF(AND(J37&lt;=EOMONTH(AC$4,0),L37&gt;=AC$4),1,""))</f>
        <v/>
      </c>
      <c r="AD37" s="26">
        <f>IF(OR(J37="",L37=""),"",IF(AND(J37&lt;=EOMONTH(AD$4,0),L37&gt;=AD$4),1,""))</f>
        <v/>
      </c>
      <c r="AE37" s="26">
        <f>IF(OR(J37="",L37=""),"",IF(AND(J37&lt;=EOMONTH(AE$4,0),L37&gt;=AE$4),1,""))</f>
        <v/>
      </c>
      <c r="AF37" s="26">
        <f>IF(OR(J37="",L37=""),"",IF(AND(J37&lt;=EOMONTH(AF$4,0),L37&gt;=AF$4),1,""))</f>
        <v/>
      </c>
      <c r="AG37" s="26">
        <f>IF(OR(J37="",L37=""),"",IF(AND(J37&lt;=EOMONTH(AG$4,0),L37&gt;=AG$4),1,""))</f>
        <v/>
      </c>
      <c r="AH37" s="26">
        <f>IF(OR(J37="",L37=""),"",IF(AND(J37&lt;=EOMONTH(AH$4,0),L37&gt;=AH$4),1,""))</f>
        <v/>
      </c>
      <c r="AI37" s="26">
        <f>IF(OR(J37="",L37=""),"",IF(AND(J37&lt;=EOMONTH(AI$4,0),L37&gt;=AI$4),1,""))</f>
        <v/>
      </c>
      <c r="AJ37" s="26">
        <f>IF(OR(J37="",L37=""),"",IF(AND(J37&lt;=EOMONTH(AJ$4,0),L37&gt;=AJ$4),1,""))</f>
        <v/>
      </c>
      <c r="AK37" s="26">
        <f>IF(OR(J37="",L37=""),"",IF(AND(J37&lt;=EOMONTH(AK$4,0),L37&gt;=AK$4),1,""))</f>
        <v/>
      </c>
      <c r="AL37" s="26">
        <f>IF(OR(J37="",L37=""),"",IF(AND(J37&lt;=EOMONTH(AL$4,0),L37&gt;=AL$4),1,""))</f>
        <v/>
      </c>
      <c r="AM37" s="26">
        <f>IF(OR(J37="",L37=""),"",IF(AND(J37&lt;=EOMONTH(AM$4,0),L37&gt;=AM$4),1,""))</f>
        <v/>
      </c>
      <c r="AN37" s="26">
        <f>IF(OR(J37="",L37=""),"",IF(AND(J37&lt;=EOMONTH(AN$4,0),L37&gt;=AN$4),1,""))</f>
        <v/>
      </c>
      <c r="AO37" s="26">
        <f>IF(OR(J37="",L37=""),"",IF(AND(J37&lt;=EOMONTH(AO$4,0),L37&gt;=AO$4),1,""))</f>
        <v/>
      </c>
      <c r="AP37" s="26">
        <f>IF(OR(J37="",L37=""),"",IF(AND(J37&lt;=EOMONTH(AP$4,0),L37&gt;=AP$4),1,""))</f>
        <v/>
      </c>
      <c r="AQ37" s="26">
        <f>IF(OR(J37="",L37=""),"",IF(AND(J37&lt;=EOMONTH(AQ$4,0),L37&gt;=AQ$4),1,""))</f>
        <v/>
      </c>
      <c r="AR37" s="26">
        <f>IF(OR(J37="",L37=""),"",IF(AND(J37&lt;=EOMONTH(AR$4,0),L37&gt;=AR$4),1,""))</f>
        <v/>
      </c>
      <c r="AS37" s="26">
        <f>IF(OR(J37="",L37=""),"",IF(AND(J37&lt;=EOMONTH(AS$4,0),L37&gt;=AS$4),1,""))</f>
        <v/>
      </c>
      <c r="AT37" s="26">
        <f>IF(OR(J37="",L37=""),"",IF(AND(J37&lt;=EOMONTH(AT$4,0),L37&gt;=AT$4),1,""))</f>
        <v/>
      </c>
      <c r="AU37" s="26">
        <f>IF(OR(J37="",L37=""),"",IF(AND(J37&lt;=EOMONTH(AU$4,0),L37&gt;=AU$4),1,""))</f>
        <v/>
      </c>
      <c r="AV37" s="26">
        <f>IF(OR(J37="",L37=""),"",IF(AND(J37&lt;=EOMONTH(AV$4,0),L37&gt;=AV$4),1,""))</f>
        <v/>
      </c>
      <c r="AW37" s="26">
        <f>IF(OR(J37="",L37=""),"",IF(AND(J37&lt;=EOMONTH(AW$4,0),L37&gt;=AW$4),1,""))</f>
        <v/>
      </c>
      <c r="AX37" s="26">
        <f>IF(OR(J37="",L37=""),"",IF(AND(J37&lt;=EOMONTH(AX$4,0),L37&gt;=AX$4),1,""))</f>
        <v/>
      </c>
      <c r="AY37" s="26">
        <f>IF(OR(J37="",L37=""),"",IF(AND(J37&lt;=EOMONTH(AY$4,0),L37&gt;=AY$4),1,""))</f>
        <v/>
      </c>
      <c r="AZ37" s="26">
        <f>IF(OR(J37="",L37=""),"",IF(AND(J37&lt;=EOMONTH(AZ$4,0),L37&gt;=AZ$4),1,""))</f>
        <v/>
      </c>
      <c r="BA37" s="26">
        <f>IF(OR(J37="",L37=""),"",IF(AND(J37&lt;=EOMONTH(BA$4,0),L37&gt;=BA$4),1,""))</f>
        <v/>
      </c>
      <c r="BB37" s="26">
        <f>IF(OR(J37="",L37=""),"",IF(AND(J37&lt;=EOMONTH(BB$4,0),L37&gt;=BB$4),1,""))</f>
        <v/>
      </c>
    </row>
    <row r="38">
      <c r="A38" s="27" t="n"/>
      <c r="B38" s="28" t="n"/>
      <c r="C38" s="29" t="n"/>
      <c r="D38" s="30">
        <f>IF(E38="","","CWA-"&amp;MID(E38,5,4))</f>
        <v/>
      </c>
      <c r="E38" s="29" t="n"/>
      <c r="F38" s="31" t="n"/>
      <c r="G38" s="29" t="n"/>
      <c r="H38" s="28" t="n"/>
      <c r="I38" s="29" t="n"/>
      <c r="J38" s="32" t="n"/>
      <c r="K38" s="28" t="n"/>
      <c r="L38" s="33">
        <f>IF(OR(J38="",K38=""),"",J38+7*K38-1)</f>
        <v/>
      </c>
      <c r="M38" s="33">
        <f>IF(J38="","",J38-7*$E$3)</f>
        <v/>
      </c>
      <c r="N38" s="33">
        <f>IF(J38="","",J38-7*$H$3)</f>
        <v/>
      </c>
      <c r="O38" s="33">
        <f>IF(J38="","",J38-1*$K$3)</f>
        <v/>
      </c>
      <c r="P38" s="30">
        <f>IF(OR(E38="",I38="",I38="—"),IF(E38="","","OK"),IFERROR(IF(INDEX($L$6:$L$155,MATCH(I38,$E$6:$E$155,0))&gt;=J38,"Conflicto con predecesor","OK"),"Predecesor no encontrado"))</f>
        <v/>
      </c>
      <c r="Q38" s="29" t="n"/>
      <c r="R38" s="31" t="n"/>
      <c r="S38" s="26">
        <f>IF(OR(J38="",L38=""),"",IF(AND(J38&lt;=EOMONTH(S$4,0),L38&gt;=S$4),1,""))</f>
        <v/>
      </c>
      <c r="T38" s="26">
        <f>IF(OR(J38="",L38=""),"",IF(AND(J38&lt;=EOMONTH(T$4,0),L38&gt;=T$4),1,""))</f>
        <v/>
      </c>
      <c r="U38" s="26">
        <f>IF(OR(J38="",L38=""),"",IF(AND(J38&lt;=EOMONTH(U$4,0),L38&gt;=U$4),1,""))</f>
        <v/>
      </c>
      <c r="V38" s="26">
        <f>IF(OR(J38="",L38=""),"",IF(AND(J38&lt;=EOMONTH(V$4,0),L38&gt;=V$4),1,""))</f>
        <v/>
      </c>
      <c r="W38" s="26">
        <f>IF(OR(J38="",L38=""),"",IF(AND(J38&lt;=EOMONTH(W$4,0),L38&gt;=W$4),1,""))</f>
        <v/>
      </c>
      <c r="X38" s="26">
        <f>IF(OR(J38="",L38=""),"",IF(AND(J38&lt;=EOMONTH(X$4,0),L38&gt;=X$4),1,""))</f>
        <v/>
      </c>
      <c r="Y38" s="26">
        <f>IF(OR(J38="",L38=""),"",IF(AND(J38&lt;=EOMONTH(Y$4,0),L38&gt;=Y$4),1,""))</f>
        <v/>
      </c>
      <c r="Z38" s="26">
        <f>IF(OR(J38="",L38=""),"",IF(AND(J38&lt;=EOMONTH(Z$4,0),L38&gt;=Z$4),1,""))</f>
        <v/>
      </c>
      <c r="AA38" s="26">
        <f>IF(OR(J38="",L38=""),"",IF(AND(J38&lt;=EOMONTH(AA$4,0),L38&gt;=AA$4),1,""))</f>
        <v/>
      </c>
      <c r="AB38" s="26">
        <f>IF(OR(J38="",L38=""),"",IF(AND(J38&lt;=EOMONTH(AB$4,0),L38&gt;=AB$4),1,""))</f>
        <v/>
      </c>
      <c r="AC38" s="26">
        <f>IF(OR(J38="",L38=""),"",IF(AND(J38&lt;=EOMONTH(AC$4,0),L38&gt;=AC$4),1,""))</f>
        <v/>
      </c>
      <c r="AD38" s="26">
        <f>IF(OR(J38="",L38=""),"",IF(AND(J38&lt;=EOMONTH(AD$4,0),L38&gt;=AD$4),1,""))</f>
        <v/>
      </c>
      <c r="AE38" s="26">
        <f>IF(OR(J38="",L38=""),"",IF(AND(J38&lt;=EOMONTH(AE$4,0),L38&gt;=AE$4),1,""))</f>
        <v/>
      </c>
      <c r="AF38" s="26">
        <f>IF(OR(J38="",L38=""),"",IF(AND(J38&lt;=EOMONTH(AF$4,0),L38&gt;=AF$4),1,""))</f>
        <v/>
      </c>
      <c r="AG38" s="26">
        <f>IF(OR(J38="",L38=""),"",IF(AND(J38&lt;=EOMONTH(AG$4,0),L38&gt;=AG$4),1,""))</f>
        <v/>
      </c>
      <c r="AH38" s="26">
        <f>IF(OR(J38="",L38=""),"",IF(AND(J38&lt;=EOMONTH(AH$4,0),L38&gt;=AH$4),1,""))</f>
        <v/>
      </c>
      <c r="AI38" s="26">
        <f>IF(OR(J38="",L38=""),"",IF(AND(J38&lt;=EOMONTH(AI$4,0),L38&gt;=AI$4),1,""))</f>
        <v/>
      </c>
      <c r="AJ38" s="26">
        <f>IF(OR(J38="",L38=""),"",IF(AND(J38&lt;=EOMONTH(AJ$4,0),L38&gt;=AJ$4),1,""))</f>
        <v/>
      </c>
      <c r="AK38" s="26">
        <f>IF(OR(J38="",L38=""),"",IF(AND(J38&lt;=EOMONTH(AK$4,0),L38&gt;=AK$4),1,""))</f>
        <v/>
      </c>
      <c r="AL38" s="26">
        <f>IF(OR(J38="",L38=""),"",IF(AND(J38&lt;=EOMONTH(AL$4,0),L38&gt;=AL$4),1,""))</f>
        <v/>
      </c>
      <c r="AM38" s="26">
        <f>IF(OR(J38="",L38=""),"",IF(AND(J38&lt;=EOMONTH(AM$4,0),L38&gt;=AM$4),1,""))</f>
        <v/>
      </c>
      <c r="AN38" s="26">
        <f>IF(OR(J38="",L38=""),"",IF(AND(J38&lt;=EOMONTH(AN$4,0),L38&gt;=AN$4),1,""))</f>
        <v/>
      </c>
      <c r="AO38" s="26">
        <f>IF(OR(J38="",L38=""),"",IF(AND(J38&lt;=EOMONTH(AO$4,0),L38&gt;=AO$4),1,""))</f>
        <v/>
      </c>
      <c r="AP38" s="26">
        <f>IF(OR(J38="",L38=""),"",IF(AND(J38&lt;=EOMONTH(AP$4,0),L38&gt;=AP$4),1,""))</f>
        <v/>
      </c>
      <c r="AQ38" s="26">
        <f>IF(OR(J38="",L38=""),"",IF(AND(J38&lt;=EOMONTH(AQ$4,0),L38&gt;=AQ$4),1,""))</f>
        <v/>
      </c>
      <c r="AR38" s="26">
        <f>IF(OR(J38="",L38=""),"",IF(AND(J38&lt;=EOMONTH(AR$4,0),L38&gt;=AR$4),1,""))</f>
        <v/>
      </c>
      <c r="AS38" s="26">
        <f>IF(OR(J38="",L38=""),"",IF(AND(J38&lt;=EOMONTH(AS$4,0),L38&gt;=AS$4),1,""))</f>
        <v/>
      </c>
      <c r="AT38" s="26">
        <f>IF(OR(J38="",L38=""),"",IF(AND(J38&lt;=EOMONTH(AT$4,0),L38&gt;=AT$4),1,""))</f>
        <v/>
      </c>
      <c r="AU38" s="26">
        <f>IF(OR(J38="",L38=""),"",IF(AND(J38&lt;=EOMONTH(AU$4,0),L38&gt;=AU$4),1,""))</f>
        <v/>
      </c>
      <c r="AV38" s="26">
        <f>IF(OR(J38="",L38=""),"",IF(AND(J38&lt;=EOMONTH(AV$4,0),L38&gt;=AV$4),1,""))</f>
        <v/>
      </c>
      <c r="AW38" s="26">
        <f>IF(OR(J38="",L38=""),"",IF(AND(J38&lt;=EOMONTH(AW$4,0),L38&gt;=AW$4),1,""))</f>
        <v/>
      </c>
      <c r="AX38" s="26">
        <f>IF(OR(J38="",L38=""),"",IF(AND(J38&lt;=EOMONTH(AX$4,0),L38&gt;=AX$4),1,""))</f>
        <v/>
      </c>
      <c r="AY38" s="26">
        <f>IF(OR(J38="",L38=""),"",IF(AND(J38&lt;=EOMONTH(AY$4,0),L38&gt;=AY$4),1,""))</f>
        <v/>
      </c>
      <c r="AZ38" s="26">
        <f>IF(OR(J38="",L38=""),"",IF(AND(J38&lt;=EOMONTH(AZ$4,0),L38&gt;=AZ$4),1,""))</f>
        <v/>
      </c>
      <c r="BA38" s="26">
        <f>IF(OR(J38="",L38=""),"",IF(AND(J38&lt;=EOMONTH(BA$4,0),L38&gt;=BA$4),1,""))</f>
        <v/>
      </c>
      <c r="BB38" s="26">
        <f>IF(OR(J38="",L38=""),"",IF(AND(J38&lt;=EOMONTH(BB$4,0),L38&gt;=BB$4),1,""))</f>
        <v/>
      </c>
    </row>
    <row r="39">
      <c r="A39" s="27" t="n"/>
      <c r="B39" s="28" t="n"/>
      <c r="C39" s="29" t="n"/>
      <c r="D39" s="30">
        <f>IF(E39="","","CWA-"&amp;MID(E39,5,4))</f>
        <v/>
      </c>
      <c r="E39" s="29" t="n"/>
      <c r="F39" s="31" t="n"/>
      <c r="G39" s="29" t="n"/>
      <c r="H39" s="28" t="n"/>
      <c r="I39" s="29" t="n"/>
      <c r="J39" s="32" t="n"/>
      <c r="K39" s="28" t="n"/>
      <c r="L39" s="33">
        <f>IF(OR(J39="",K39=""),"",J39+7*K39-1)</f>
        <v/>
      </c>
      <c r="M39" s="33">
        <f>IF(J39="","",J39-7*$E$3)</f>
        <v/>
      </c>
      <c r="N39" s="33">
        <f>IF(J39="","",J39-7*$H$3)</f>
        <v/>
      </c>
      <c r="O39" s="33">
        <f>IF(J39="","",J39-1*$K$3)</f>
        <v/>
      </c>
      <c r="P39" s="30">
        <f>IF(OR(E39="",I39="",I39="—"),IF(E39="","","OK"),IFERROR(IF(INDEX($L$6:$L$155,MATCH(I39,$E$6:$E$155,0))&gt;=J39,"Conflicto con predecesor","OK"),"Predecesor no encontrado"))</f>
        <v/>
      </c>
      <c r="Q39" s="29" t="n"/>
      <c r="R39" s="31" t="n"/>
      <c r="S39" s="26">
        <f>IF(OR(J39="",L39=""),"",IF(AND(J39&lt;=EOMONTH(S$4,0),L39&gt;=S$4),1,""))</f>
        <v/>
      </c>
      <c r="T39" s="26">
        <f>IF(OR(J39="",L39=""),"",IF(AND(J39&lt;=EOMONTH(T$4,0),L39&gt;=T$4),1,""))</f>
        <v/>
      </c>
      <c r="U39" s="26">
        <f>IF(OR(J39="",L39=""),"",IF(AND(J39&lt;=EOMONTH(U$4,0),L39&gt;=U$4),1,""))</f>
        <v/>
      </c>
      <c r="V39" s="26">
        <f>IF(OR(J39="",L39=""),"",IF(AND(J39&lt;=EOMONTH(V$4,0),L39&gt;=V$4),1,""))</f>
        <v/>
      </c>
      <c r="W39" s="26">
        <f>IF(OR(J39="",L39=""),"",IF(AND(J39&lt;=EOMONTH(W$4,0),L39&gt;=W$4),1,""))</f>
        <v/>
      </c>
      <c r="X39" s="26">
        <f>IF(OR(J39="",L39=""),"",IF(AND(J39&lt;=EOMONTH(X$4,0),L39&gt;=X$4),1,""))</f>
        <v/>
      </c>
      <c r="Y39" s="26">
        <f>IF(OR(J39="",L39=""),"",IF(AND(J39&lt;=EOMONTH(Y$4,0),L39&gt;=Y$4),1,""))</f>
        <v/>
      </c>
      <c r="Z39" s="26">
        <f>IF(OR(J39="",L39=""),"",IF(AND(J39&lt;=EOMONTH(Z$4,0),L39&gt;=Z$4),1,""))</f>
        <v/>
      </c>
      <c r="AA39" s="26">
        <f>IF(OR(J39="",L39=""),"",IF(AND(J39&lt;=EOMONTH(AA$4,0),L39&gt;=AA$4),1,""))</f>
        <v/>
      </c>
      <c r="AB39" s="26">
        <f>IF(OR(J39="",L39=""),"",IF(AND(J39&lt;=EOMONTH(AB$4,0),L39&gt;=AB$4),1,""))</f>
        <v/>
      </c>
      <c r="AC39" s="26">
        <f>IF(OR(J39="",L39=""),"",IF(AND(J39&lt;=EOMONTH(AC$4,0),L39&gt;=AC$4),1,""))</f>
        <v/>
      </c>
      <c r="AD39" s="26">
        <f>IF(OR(J39="",L39=""),"",IF(AND(J39&lt;=EOMONTH(AD$4,0),L39&gt;=AD$4),1,""))</f>
        <v/>
      </c>
      <c r="AE39" s="26">
        <f>IF(OR(J39="",L39=""),"",IF(AND(J39&lt;=EOMONTH(AE$4,0),L39&gt;=AE$4),1,""))</f>
        <v/>
      </c>
      <c r="AF39" s="26">
        <f>IF(OR(J39="",L39=""),"",IF(AND(J39&lt;=EOMONTH(AF$4,0),L39&gt;=AF$4),1,""))</f>
        <v/>
      </c>
      <c r="AG39" s="26">
        <f>IF(OR(J39="",L39=""),"",IF(AND(J39&lt;=EOMONTH(AG$4,0),L39&gt;=AG$4),1,""))</f>
        <v/>
      </c>
      <c r="AH39" s="26">
        <f>IF(OR(J39="",L39=""),"",IF(AND(J39&lt;=EOMONTH(AH$4,0),L39&gt;=AH$4),1,""))</f>
        <v/>
      </c>
      <c r="AI39" s="26">
        <f>IF(OR(J39="",L39=""),"",IF(AND(J39&lt;=EOMONTH(AI$4,0),L39&gt;=AI$4),1,""))</f>
        <v/>
      </c>
      <c r="AJ39" s="26">
        <f>IF(OR(J39="",L39=""),"",IF(AND(J39&lt;=EOMONTH(AJ$4,0),L39&gt;=AJ$4),1,""))</f>
        <v/>
      </c>
      <c r="AK39" s="26">
        <f>IF(OR(J39="",L39=""),"",IF(AND(J39&lt;=EOMONTH(AK$4,0),L39&gt;=AK$4),1,""))</f>
        <v/>
      </c>
      <c r="AL39" s="26">
        <f>IF(OR(J39="",L39=""),"",IF(AND(J39&lt;=EOMONTH(AL$4,0),L39&gt;=AL$4),1,""))</f>
        <v/>
      </c>
      <c r="AM39" s="26">
        <f>IF(OR(J39="",L39=""),"",IF(AND(J39&lt;=EOMONTH(AM$4,0),L39&gt;=AM$4),1,""))</f>
        <v/>
      </c>
      <c r="AN39" s="26">
        <f>IF(OR(J39="",L39=""),"",IF(AND(J39&lt;=EOMONTH(AN$4,0),L39&gt;=AN$4),1,""))</f>
        <v/>
      </c>
      <c r="AO39" s="26">
        <f>IF(OR(J39="",L39=""),"",IF(AND(J39&lt;=EOMONTH(AO$4,0),L39&gt;=AO$4),1,""))</f>
        <v/>
      </c>
      <c r="AP39" s="26">
        <f>IF(OR(J39="",L39=""),"",IF(AND(J39&lt;=EOMONTH(AP$4,0),L39&gt;=AP$4),1,""))</f>
        <v/>
      </c>
      <c r="AQ39" s="26">
        <f>IF(OR(J39="",L39=""),"",IF(AND(J39&lt;=EOMONTH(AQ$4,0),L39&gt;=AQ$4),1,""))</f>
        <v/>
      </c>
      <c r="AR39" s="26">
        <f>IF(OR(J39="",L39=""),"",IF(AND(J39&lt;=EOMONTH(AR$4,0),L39&gt;=AR$4),1,""))</f>
        <v/>
      </c>
      <c r="AS39" s="26">
        <f>IF(OR(J39="",L39=""),"",IF(AND(J39&lt;=EOMONTH(AS$4,0),L39&gt;=AS$4),1,""))</f>
        <v/>
      </c>
      <c r="AT39" s="26">
        <f>IF(OR(J39="",L39=""),"",IF(AND(J39&lt;=EOMONTH(AT$4,0),L39&gt;=AT$4),1,""))</f>
        <v/>
      </c>
      <c r="AU39" s="26">
        <f>IF(OR(J39="",L39=""),"",IF(AND(J39&lt;=EOMONTH(AU$4,0),L39&gt;=AU$4),1,""))</f>
        <v/>
      </c>
      <c r="AV39" s="26">
        <f>IF(OR(J39="",L39=""),"",IF(AND(J39&lt;=EOMONTH(AV$4,0),L39&gt;=AV$4),1,""))</f>
        <v/>
      </c>
      <c r="AW39" s="26">
        <f>IF(OR(J39="",L39=""),"",IF(AND(J39&lt;=EOMONTH(AW$4,0),L39&gt;=AW$4),1,""))</f>
        <v/>
      </c>
      <c r="AX39" s="26">
        <f>IF(OR(J39="",L39=""),"",IF(AND(J39&lt;=EOMONTH(AX$4,0),L39&gt;=AX$4),1,""))</f>
        <v/>
      </c>
      <c r="AY39" s="26">
        <f>IF(OR(J39="",L39=""),"",IF(AND(J39&lt;=EOMONTH(AY$4,0),L39&gt;=AY$4),1,""))</f>
        <v/>
      </c>
      <c r="AZ39" s="26">
        <f>IF(OR(J39="",L39=""),"",IF(AND(J39&lt;=EOMONTH(AZ$4,0),L39&gt;=AZ$4),1,""))</f>
        <v/>
      </c>
      <c r="BA39" s="26">
        <f>IF(OR(J39="",L39=""),"",IF(AND(J39&lt;=EOMONTH(BA$4,0),L39&gt;=BA$4),1,""))</f>
        <v/>
      </c>
      <c r="BB39" s="26">
        <f>IF(OR(J39="",L39=""),"",IF(AND(J39&lt;=EOMONTH(BB$4,0),L39&gt;=BB$4),1,""))</f>
        <v/>
      </c>
    </row>
    <row r="40">
      <c r="A40" s="27" t="n"/>
      <c r="B40" s="28" t="n"/>
      <c r="C40" s="29" t="n"/>
      <c r="D40" s="30">
        <f>IF(E40="","","CWA-"&amp;MID(E40,5,4))</f>
        <v/>
      </c>
      <c r="E40" s="29" t="n"/>
      <c r="F40" s="31" t="n"/>
      <c r="G40" s="29" t="n"/>
      <c r="H40" s="28" t="n"/>
      <c r="I40" s="29" t="n"/>
      <c r="J40" s="32" t="n"/>
      <c r="K40" s="28" t="n"/>
      <c r="L40" s="33">
        <f>IF(OR(J40="",K40=""),"",J40+7*K40-1)</f>
        <v/>
      </c>
      <c r="M40" s="33">
        <f>IF(J40="","",J40-7*$E$3)</f>
        <v/>
      </c>
      <c r="N40" s="33">
        <f>IF(J40="","",J40-7*$H$3)</f>
        <v/>
      </c>
      <c r="O40" s="33">
        <f>IF(J40="","",J40-1*$K$3)</f>
        <v/>
      </c>
      <c r="P40" s="30">
        <f>IF(OR(E40="",I40="",I40="—"),IF(E40="","","OK"),IFERROR(IF(INDEX($L$6:$L$155,MATCH(I40,$E$6:$E$155,0))&gt;=J40,"Conflicto con predecesor","OK"),"Predecesor no encontrado"))</f>
        <v/>
      </c>
      <c r="Q40" s="29" t="n"/>
      <c r="R40" s="31" t="n"/>
      <c r="S40" s="26">
        <f>IF(OR(J40="",L40=""),"",IF(AND(J40&lt;=EOMONTH(S$4,0),L40&gt;=S$4),1,""))</f>
        <v/>
      </c>
      <c r="T40" s="26">
        <f>IF(OR(J40="",L40=""),"",IF(AND(J40&lt;=EOMONTH(T$4,0),L40&gt;=T$4),1,""))</f>
        <v/>
      </c>
      <c r="U40" s="26">
        <f>IF(OR(J40="",L40=""),"",IF(AND(J40&lt;=EOMONTH(U$4,0),L40&gt;=U$4),1,""))</f>
        <v/>
      </c>
      <c r="V40" s="26">
        <f>IF(OR(J40="",L40=""),"",IF(AND(J40&lt;=EOMONTH(V$4,0),L40&gt;=V$4),1,""))</f>
        <v/>
      </c>
      <c r="W40" s="26">
        <f>IF(OR(J40="",L40=""),"",IF(AND(J40&lt;=EOMONTH(W$4,0),L40&gt;=W$4),1,""))</f>
        <v/>
      </c>
      <c r="X40" s="26">
        <f>IF(OR(J40="",L40=""),"",IF(AND(J40&lt;=EOMONTH(X$4,0),L40&gt;=X$4),1,""))</f>
        <v/>
      </c>
      <c r="Y40" s="26">
        <f>IF(OR(J40="",L40=""),"",IF(AND(J40&lt;=EOMONTH(Y$4,0),L40&gt;=Y$4),1,""))</f>
        <v/>
      </c>
      <c r="Z40" s="26">
        <f>IF(OR(J40="",L40=""),"",IF(AND(J40&lt;=EOMONTH(Z$4,0),L40&gt;=Z$4),1,""))</f>
        <v/>
      </c>
      <c r="AA40" s="26">
        <f>IF(OR(J40="",L40=""),"",IF(AND(J40&lt;=EOMONTH(AA$4,0),L40&gt;=AA$4),1,""))</f>
        <v/>
      </c>
      <c r="AB40" s="26">
        <f>IF(OR(J40="",L40=""),"",IF(AND(J40&lt;=EOMONTH(AB$4,0),L40&gt;=AB$4),1,""))</f>
        <v/>
      </c>
      <c r="AC40" s="26">
        <f>IF(OR(J40="",L40=""),"",IF(AND(J40&lt;=EOMONTH(AC$4,0),L40&gt;=AC$4),1,""))</f>
        <v/>
      </c>
      <c r="AD40" s="26">
        <f>IF(OR(J40="",L40=""),"",IF(AND(J40&lt;=EOMONTH(AD$4,0),L40&gt;=AD$4),1,""))</f>
        <v/>
      </c>
      <c r="AE40" s="26">
        <f>IF(OR(J40="",L40=""),"",IF(AND(J40&lt;=EOMONTH(AE$4,0),L40&gt;=AE$4),1,""))</f>
        <v/>
      </c>
      <c r="AF40" s="26">
        <f>IF(OR(J40="",L40=""),"",IF(AND(J40&lt;=EOMONTH(AF$4,0),L40&gt;=AF$4),1,""))</f>
        <v/>
      </c>
      <c r="AG40" s="26">
        <f>IF(OR(J40="",L40=""),"",IF(AND(J40&lt;=EOMONTH(AG$4,0),L40&gt;=AG$4),1,""))</f>
        <v/>
      </c>
      <c r="AH40" s="26">
        <f>IF(OR(J40="",L40=""),"",IF(AND(J40&lt;=EOMONTH(AH$4,0),L40&gt;=AH$4),1,""))</f>
        <v/>
      </c>
      <c r="AI40" s="26">
        <f>IF(OR(J40="",L40=""),"",IF(AND(J40&lt;=EOMONTH(AI$4,0),L40&gt;=AI$4),1,""))</f>
        <v/>
      </c>
      <c r="AJ40" s="26">
        <f>IF(OR(J40="",L40=""),"",IF(AND(J40&lt;=EOMONTH(AJ$4,0),L40&gt;=AJ$4),1,""))</f>
        <v/>
      </c>
      <c r="AK40" s="26">
        <f>IF(OR(J40="",L40=""),"",IF(AND(J40&lt;=EOMONTH(AK$4,0),L40&gt;=AK$4),1,""))</f>
        <v/>
      </c>
      <c r="AL40" s="26">
        <f>IF(OR(J40="",L40=""),"",IF(AND(J40&lt;=EOMONTH(AL$4,0),L40&gt;=AL$4),1,""))</f>
        <v/>
      </c>
      <c r="AM40" s="26">
        <f>IF(OR(J40="",L40=""),"",IF(AND(J40&lt;=EOMONTH(AM$4,0),L40&gt;=AM$4),1,""))</f>
        <v/>
      </c>
      <c r="AN40" s="26">
        <f>IF(OR(J40="",L40=""),"",IF(AND(J40&lt;=EOMONTH(AN$4,0),L40&gt;=AN$4),1,""))</f>
        <v/>
      </c>
      <c r="AO40" s="26">
        <f>IF(OR(J40="",L40=""),"",IF(AND(J40&lt;=EOMONTH(AO$4,0),L40&gt;=AO$4),1,""))</f>
        <v/>
      </c>
      <c r="AP40" s="26">
        <f>IF(OR(J40="",L40=""),"",IF(AND(J40&lt;=EOMONTH(AP$4,0),L40&gt;=AP$4),1,""))</f>
        <v/>
      </c>
      <c r="AQ40" s="26">
        <f>IF(OR(J40="",L40=""),"",IF(AND(J40&lt;=EOMONTH(AQ$4,0),L40&gt;=AQ$4),1,""))</f>
        <v/>
      </c>
      <c r="AR40" s="26">
        <f>IF(OR(J40="",L40=""),"",IF(AND(J40&lt;=EOMONTH(AR$4,0),L40&gt;=AR$4),1,""))</f>
        <v/>
      </c>
      <c r="AS40" s="26">
        <f>IF(OR(J40="",L40=""),"",IF(AND(J40&lt;=EOMONTH(AS$4,0),L40&gt;=AS$4),1,""))</f>
        <v/>
      </c>
      <c r="AT40" s="26">
        <f>IF(OR(J40="",L40=""),"",IF(AND(J40&lt;=EOMONTH(AT$4,0),L40&gt;=AT$4),1,""))</f>
        <v/>
      </c>
      <c r="AU40" s="26">
        <f>IF(OR(J40="",L40=""),"",IF(AND(J40&lt;=EOMONTH(AU$4,0),L40&gt;=AU$4),1,""))</f>
        <v/>
      </c>
      <c r="AV40" s="26">
        <f>IF(OR(J40="",L40=""),"",IF(AND(J40&lt;=EOMONTH(AV$4,0),L40&gt;=AV$4),1,""))</f>
        <v/>
      </c>
      <c r="AW40" s="26">
        <f>IF(OR(J40="",L40=""),"",IF(AND(J40&lt;=EOMONTH(AW$4,0),L40&gt;=AW$4),1,""))</f>
        <v/>
      </c>
      <c r="AX40" s="26">
        <f>IF(OR(J40="",L40=""),"",IF(AND(J40&lt;=EOMONTH(AX$4,0),L40&gt;=AX$4),1,""))</f>
        <v/>
      </c>
      <c r="AY40" s="26">
        <f>IF(OR(J40="",L40=""),"",IF(AND(J40&lt;=EOMONTH(AY$4,0),L40&gt;=AY$4),1,""))</f>
        <v/>
      </c>
      <c r="AZ40" s="26">
        <f>IF(OR(J40="",L40=""),"",IF(AND(J40&lt;=EOMONTH(AZ$4,0),L40&gt;=AZ$4),1,""))</f>
        <v/>
      </c>
      <c r="BA40" s="26">
        <f>IF(OR(J40="",L40=""),"",IF(AND(J40&lt;=EOMONTH(BA$4,0),L40&gt;=BA$4),1,""))</f>
        <v/>
      </c>
      <c r="BB40" s="26">
        <f>IF(OR(J40="",L40=""),"",IF(AND(J40&lt;=EOMONTH(BB$4,0),L40&gt;=BB$4),1,""))</f>
        <v/>
      </c>
    </row>
    <row r="41">
      <c r="A41" s="27" t="n"/>
      <c r="B41" s="28" t="n"/>
      <c r="C41" s="29" t="n"/>
      <c r="D41" s="30">
        <f>IF(E41="","","CWA-"&amp;MID(E41,5,4))</f>
        <v/>
      </c>
      <c r="E41" s="29" t="n"/>
      <c r="F41" s="31" t="n"/>
      <c r="G41" s="29" t="n"/>
      <c r="H41" s="28" t="n"/>
      <c r="I41" s="29" t="n"/>
      <c r="J41" s="32" t="n"/>
      <c r="K41" s="28" t="n"/>
      <c r="L41" s="33">
        <f>IF(OR(J41="",K41=""),"",J41+7*K41-1)</f>
        <v/>
      </c>
      <c r="M41" s="33">
        <f>IF(J41="","",J41-7*$E$3)</f>
        <v/>
      </c>
      <c r="N41" s="33">
        <f>IF(J41="","",J41-7*$H$3)</f>
        <v/>
      </c>
      <c r="O41" s="33">
        <f>IF(J41="","",J41-1*$K$3)</f>
        <v/>
      </c>
      <c r="P41" s="30">
        <f>IF(OR(E41="",I41="",I41="—"),IF(E41="","","OK"),IFERROR(IF(INDEX($L$6:$L$155,MATCH(I41,$E$6:$E$155,0))&gt;=J41,"Conflicto con predecesor","OK"),"Predecesor no encontrado"))</f>
        <v/>
      </c>
      <c r="Q41" s="29" t="n"/>
      <c r="R41" s="31" t="n"/>
      <c r="S41" s="26">
        <f>IF(OR(J41="",L41=""),"",IF(AND(J41&lt;=EOMONTH(S$4,0),L41&gt;=S$4),1,""))</f>
        <v/>
      </c>
      <c r="T41" s="26">
        <f>IF(OR(J41="",L41=""),"",IF(AND(J41&lt;=EOMONTH(T$4,0),L41&gt;=T$4),1,""))</f>
        <v/>
      </c>
      <c r="U41" s="26">
        <f>IF(OR(J41="",L41=""),"",IF(AND(J41&lt;=EOMONTH(U$4,0),L41&gt;=U$4),1,""))</f>
        <v/>
      </c>
      <c r="V41" s="26">
        <f>IF(OR(J41="",L41=""),"",IF(AND(J41&lt;=EOMONTH(V$4,0),L41&gt;=V$4),1,""))</f>
        <v/>
      </c>
      <c r="W41" s="26">
        <f>IF(OR(J41="",L41=""),"",IF(AND(J41&lt;=EOMONTH(W$4,0),L41&gt;=W$4),1,""))</f>
        <v/>
      </c>
      <c r="X41" s="26">
        <f>IF(OR(J41="",L41=""),"",IF(AND(J41&lt;=EOMONTH(X$4,0),L41&gt;=X$4),1,""))</f>
        <v/>
      </c>
      <c r="Y41" s="26">
        <f>IF(OR(J41="",L41=""),"",IF(AND(J41&lt;=EOMONTH(Y$4,0),L41&gt;=Y$4),1,""))</f>
        <v/>
      </c>
      <c r="Z41" s="26">
        <f>IF(OR(J41="",L41=""),"",IF(AND(J41&lt;=EOMONTH(Z$4,0),L41&gt;=Z$4),1,""))</f>
        <v/>
      </c>
      <c r="AA41" s="26">
        <f>IF(OR(J41="",L41=""),"",IF(AND(J41&lt;=EOMONTH(AA$4,0),L41&gt;=AA$4),1,""))</f>
        <v/>
      </c>
      <c r="AB41" s="26">
        <f>IF(OR(J41="",L41=""),"",IF(AND(J41&lt;=EOMONTH(AB$4,0),L41&gt;=AB$4),1,""))</f>
        <v/>
      </c>
      <c r="AC41" s="26">
        <f>IF(OR(J41="",L41=""),"",IF(AND(J41&lt;=EOMONTH(AC$4,0),L41&gt;=AC$4),1,""))</f>
        <v/>
      </c>
      <c r="AD41" s="26">
        <f>IF(OR(J41="",L41=""),"",IF(AND(J41&lt;=EOMONTH(AD$4,0),L41&gt;=AD$4),1,""))</f>
        <v/>
      </c>
      <c r="AE41" s="26">
        <f>IF(OR(J41="",L41=""),"",IF(AND(J41&lt;=EOMONTH(AE$4,0),L41&gt;=AE$4),1,""))</f>
        <v/>
      </c>
      <c r="AF41" s="26">
        <f>IF(OR(J41="",L41=""),"",IF(AND(J41&lt;=EOMONTH(AF$4,0),L41&gt;=AF$4),1,""))</f>
        <v/>
      </c>
      <c r="AG41" s="26">
        <f>IF(OR(J41="",L41=""),"",IF(AND(J41&lt;=EOMONTH(AG$4,0),L41&gt;=AG$4),1,""))</f>
        <v/>
      </c>
      <c r="AH41" s="26">
        <f>IF(OR(J41="",L41=""),"",IF(AND(J41&lt;=EOMONTH(AH$4,0),L41&gt;=AH$4),1,""))</f>
        <v/>
      </c>
      <c r="AI41" s="26">
        <f>IF(OR(J41="",L41=""),"",IF(AND(J41&lt;=EOMONTH(AI$4,0),L41&gt;=AI$4),1,""))</f>
        <v/>
      </c>
      <c r="AJ41" s="26">
        <f>IF(OR(J41="",L41=""),"",IF(AND(J41&lt;=EOMONTH(AJ$4,0),L41&gt;=AJ$4),1,""))</f>
        <v/>
      </c>
      <c r="AK41" s="26">
        <f>IF(OR(J41="",L41=""),"",IF(AND(J41&lt;=EOMONTH(AK$4,0),L41&gt;=AK$4),1,""))</f>
        <v/>
      </c>
      <c r="AL41" s="26">
        <f>IF(OR(J41="",L41=""),"",IF(AND(J41&lt;=EOMONTH(AL$4,0),L41&gt;=AL$4),1,""))</f>
        <v/>
      </c>
      <c r="AM41" s="26">
        <f>IF(OR(J41="",L41=""),"",IF(AND(J41&lt;=EOMONTH(AM$4,0),L41&gt;=AM$4),1,""))</f>
        <v/>
      </c>
      <c r="AN41" s="26">
        <f>IF(OR(J41="",L41=""),"",IF(AND(J41&lt;=EOMONTH(AN$4,0),L41&gt;=AN$4),1,""))</f>
        <v/>
      </c>
      <c r="AO41" s="26">
        <f>IF(OR(J41="",L41=""),"",IF(AND(J41&lt;=EOMONTH(AO$4,0),L41&gt;=AO$4),1,""))</f>
        <v/>
      </c>
      <c r="AP41" s="26">
        <f>IF(OR(J41="",L41=""),"",IF(AND(J41&lt;=EOMONTH(AP$4,0),L41&gt;=AP$4),1,""))</f>
        <v/>
      </c>
      <c r="AQ41" s="26">
        <f>IF(OR(J41="",L41=""),"",IF(AND(J41&lt;=EOMONTH(AQ$4,0),L41&gt;=AQ$4),1,""))</f>
        <v/>
      </c>
      <c r="AR41" s="26">
        <f>IF(OR(J41="",L41=""),"",IF(AND(J41&lt;=EOMONTH(AR$4,0),L41&gt;=AR$4),1,""))</f>
        <v/>
      </c>
      <c r="AS41" s="26">
        <f>IF(OR(J41="",L41=""),"",IF(AND(J41&lt;=EOMONTH(AS$4,0),L41&gt;=AS$4),1,""))</f>
        <v/>
      </c>
      <c r="AT41" s="26">
        <f>IF(OR(J41="",L41=""),"",IF(AND(J41&lt;=EOMONTH(AT$4,0),L41&gt;=AT$4),1,""))</f>
        <v/>
      </c>
      <c r="AU41" s="26">
        <f>IF(OR(J41="",L41=""),"",IF(AND(J41&lt;=EOMONTH(AU$4,0),L41&gt;=AU$4),1,""))</f>
        <v/>
      </c>
      <c r="AV41" s="26">
        <f>IF(OR(J41="",L41=""),"",IF(AND(J41&lt;=EOMONTH(AV$4,0),L41&gt;=AV$4),1,""))</f>
        <v/>
      </c>
      <c r="AW41" s="26">
        <f>IF(OR(J41="",L41=""),"",IF(AND(J41&lt;=EOMONTH(AW$4,0),L41&gt;=AW$4),1,""))</f>
        <v/>
      </c>
      <c r="AX41" s="26">
        <f>IF(OR(J41="",L41=""),"",IF(AND(J41&lt;=EOMONTH(AX$4,0),L41&gt;=AX$4),1,""))</f>
        <v/>
      </c>
      <c r="AY41" s="26">
        <f>IF(OR(J41="",L41=""),"",IF(AND(J41&lt;=EOMONTH(AY$4,0),L41&gt;=AY$4),1,""))</f>
        <v/>
      </c>
      <c r="AZ41" s="26">
        <f>IF(OR(J41="",L41=""),"",IF(AND(J41&lt;=EOMONTH(AZ$4,0),L41&gt;=AZ$4),1,""))</f>
        <v/>
      </c>
      <c r="BA41" s="26">
        <f>IF(OR(J41="",L41=""),"",IF(AND(J41&lt;=EOMONTH(BA$4,0),L41&gt;=BA$4),1,""))</f>
        <v/>
      </c>
      <c r="BB41" s="26">
        <f>IF(OR(J41="",L41=""),"",IF(AND(J41&lt;=EOMONTH(BB$4,0),L41&gt;=BB$4),1,""))</f>
        <v/>
      </c>
    </row>
    <row r="42">
      <c r="A42" s="27" t="n"/>
      <c r="B42" s="28" t="n"/>
      <c r="C42" s="29" t="n"/>
      <c r="D42" s="30">
        <f>IF(E42="","","CWA-"&amp;MID(E42,5,4))</f>
        <v/>
      </c>
      <c r="E42" s="29" t="n"/>
      <c r="F42" s="31" t="n"/>
      <c r="G42" s="29" t="n"/>
      <c r="H42" s="28" t="n"/>
      <c r="I42" s="29" t="n"/>
      <c r="J42" s="32" t="n"/>
      <c r="K42" s="28" t="n"/>
      <c r="L42" s="33">
        <f>IF(OR(J42="",K42=""),"",J42+7*K42-1)</f>
        <v/>
      </c>
      <c r="M42" s="33">
        <f>IF(J42="","",J42-7*$E$3)</f>
        <v/>
      </c>
      <c r="N42" s="33">
        <f>IF(J42="","",J42-7*$H$3)</f>
        <v/>
      </c>
      <c r="O42" s="33">
        <f>IF(J42="","",J42-1*$K$3)</f>
        <v/>
      </c>
      <c r="P42" s="30">
        <f>IF(OR(E42="",I42="",I42="—"),IF(E42="","","OK"),IFERROR(IF(INDEX($L$6:$L$155,MATCH(I42,$E$6:$E$155,0))&gt;=J42,"Conflicto con predecesor","OK"),"Predecesor no encontrado"))</f>
        <v/>
      </c>
      <c r="Q42" s="29" t="n"/>
      <c r="R42" s="31" t="n"/>
      <c r="S42" s="26">
        <f>IF(OR(J42="",L42=""),"",IF(AND(J42&lt;=EOMONTH(S$4,0),L42&gt;=S$4),1,""))</f>
        <v/>
      </c>
      <c r="T42" s="26">
        <f>IF(OR(J42="",L42=""),"",IF(AND(J42&lt;=EOMONTH(T$4,0),L42&gt;=T$4),1,""))</f>
        <v/>
      </c>
      <c r="U42" s="26">
        <f>IF(OR(J42="",L42=""),"",IF(AND(J42&lt;=EOMONTH(U$4,0),L42&gt;=U$4),1,""))</f>
        <v/>
      </c>
      <c r="V42" s="26">
        <f>IF(OR(J42="",L42=""),"",IF(AND(J42&lt;=EOMONTH(V$4,0),L42&gt;=V$4),1,""))</f>
        <v/>
      </c>
      <c r="W42" s="26">
        <f>IF(OR(J42="",L42=""),"",IF(AND(J42&lt;=EOMONTH(W$4,0),L42&gt;=W$4),1,""))</f>
        <v/>
      </c>
      <c r="X42" s="26">
        <f>IF(OR(J42="",L42=""),"",IF(AND(J42&lt;=EOMONTH(X$4,0),L42&gt;=X$4),1,""))</f>
        <v/>
      </c>
      <c r="Y42" s="26">
        <f>IF(OR(J42="",L42=""),"",IF(AND(J42&lt;=EOMONTH(Y$4,0),L42&gt;=Y$4),1,""))</f>
        <v/>
      </c>
      <c r="Z42" s="26">
        <f>IF(OR(J42="",L42=""),"",IF(AND(J42&lt;=EOMONTH(Z$4,0),L42&gt;=Z$4),1,""))</f>
        <v/>
      </c>
      <c r="AA42" s="26">
        <f>IF(OR(J42="",L42=""),"",IF(AND(J42&lt;=EOMONTH(AA$4,0),L42&gt;=AA$4),1,""))</f>
        <v/>
      </c>
      <c r="AB42" s="26">
        <f>IF(OR(J42="",L42=""),"",IF(AND(J42&lt;=EOMONTH(AB$4,0),L42&gt;=AB$4),1,""))</f>
        <v/>
      </c>
      <c r="AC42" s="26">
        <f>IF(OR(J42="",L42=""),"",IF(AND(J42&lt;=EOMONTH(AC$4,0),L42&gt;=AC$4),1,""))</f>
        <v/>
      </c>
      <c r="AD42" s="26">
        <f>IF(OR(J42="",L42=""),"",IF(AND(J42&lt;=EOMONTH(AD$4,0),L42&gt;=AD$4),1,""))</f>
        <v/>
      </c>
      <c r="AE42" s="26">
        <f>IF(OR(J42="",L42=""),"",IF(AND(J42&lt;=EOMONTH(AE$4,0),L42&gt;=AE$4),1,""))</f>
        <v/>
      </c>
      <c r="AF42" s="26">
        <f>IF(OR(J42="",L42=""),"",IF(AND(J42&lt;=EOMONTH(AF$4,0),L42&gt;=AF$4),1,""))</f>
        <v/>
      </c>
      <c r="AG42" s="26">
        <f>IF(OR(J42="",L42=""),"",IF(AND(J42&lt;=EOMONTH(AG$4,0),L42&gt;=AG$4),1,""))</f>
        <v/>
      </c>
      <c r="AH42" s="26">
        <f>IF(OR(J42="",L42=""),"",IF(AND(J42&lt;=EOMONTH(AH$4,0),L42&gt;=AH$4),1,""))</f>
        <v/>
      </c>
      <c r="AI42" s="26">
        <f>IF(OR(J42="",L42=""),"",IF(AND(J42&lt;=EOMONTH(AI$4,0),L42&gt;=AI$4),1,""))</f>
        <v/>
      </c>
      <c r="AJ42" s="26">
        <f>IF(OR(J42="",L42=""),"",IF(AND(J42&lt;=EOMONTH(AJ$4,0),L42&gt;=AJ$4),1,""))</f>
        <v/>
      </c>
      <c r="AK42" s="26">
        <f>IF(OR(J42="",L42=""),"",IF(AND(J42&lt;=EOMONTH(AK$4,0),L42&gt;=AK$4),1,""))</f>
        <v/>
      </c>
      <c r="AL42" s="26">
        <f>IF(OR(J42="",L42=""),"",IF(AND(J42&lt;=EOMONTH(AL$4,0),L42&gt;=AL$4),1,""))</f>
        <v/>
      </c>
      <c r="AM42" s="26">
        <f>IF(OR(J42="",L42=""),"",IF(AND(J42&lt;=EOMONTH(AM$4,0),L42&gt;=AM$4),1,""))</f>
        <v/>
      </c>
      <c r="AN42" s="26">
        <f>IF(OR(J42="",L42=""),"",IF(AND(J42&lt;=EOMONTH(AN$4,0),L42&gt;=AN$4),1,""))</f>
        <v/>
      </c>
      <c r="AO42" s="26">
        <f>IF(OR(J42="",L42=""),"",IF(AND(J42&lt;=EOMONTH(AO$4,0),L42&gt;=AO$4),1,""))</f>
        <v/>
      </c>
      <c r="AP42" s="26">
        <f>IF(OR(J42="",L42=""),"",IF(AND(J42&lt;=EOMONTH(AP$4,0),L42&gt;=AP$4),1,""))</f>
        <v/>
      </c>
      <c r="AQ42" s="26">
        <f>IF(OR(J42="",L42=""),"",IF(AND(J42&lt;=EOMONTH(AQ$4,0),L42&gt;=AQ$4),1,""))</f>
        <v/>
      </c>
      <c r="AR42" s="26">
        <f>IF(OR(J42="",L42=""),"",IF(AND(J42&lt;=EOMONTH(AR$4,0),L42&gt;=AR$4),1,""))</f>
        <v/>
      </c>
      <c r="AS42" s="26">
        <f>IF(OR(J42="",L42=""),"",IF(AND(J42&lt;=EOMONTH(AS$4,0),L42&gt;=AS$4),1,""))</f>
        <v/>
      </c>
      <c r="AT42" s="26">
        <f>IF(OR(J42="",L42=""),"",IF(AND(J42&lt;=EOMONTH(AT$4,0),L42&gt;=AT$4),1,""))</f>
        <v/>
      </c>
      <c r="AU42" s="26">
        <f>IF(OR(J42="",L42=""),"",IF(AND(J42&lt;=EOMONTH(AU$4,0),L42&gt;=AU$4),1,""))</f>
        <v/>
      </c>
      <c r="AV42" s="26">
        <f>IF(OR(J42="",L42=""),"",IF(AND(J42&lt;=EOMONTH(AV$4,0),L42&gt;=AV$4),1,""))</f>
        <v/>
      </c>
      <c r="AW42" s="26">
        <f>IF(OR(J42="",L42=""),"",IF(AND(J42&lt;=EOMONTH(AW$4,0),L42&gt;=AW$4),1,""))</f>
        <v/>
      </c>
      <c r="AX42" s="26">
        <f>IF(OR(J42="",L42=""),"",IF(AND(J42&lt;=EOMONTH(AX$4,0),L42&gt;=AX$4),1,""))</f>
        <v/>
      </c>
      <c r="AY42" s="26">
        <f>IF(OR(J42="",L42=""),"",IF(AND(J42&lt;=EOMONTH(AY$4,0),L42&gt;=AY$4),1,""))</f>
        <v/>
      </c>
      <c r="AZ42" s="26">
        <f>IF(OR(J42="",L42=""),"",IF(AND(J42&lt;=EOMONTH(AZ$4,0),L42&gt;=AZ$4),1,""))</f>
        <v/>
      </c>
      <c r="BA42" s="26">
        <f>IF(OR(J42="",L42=""),"",IF(AND(J42&lt;=EOMONTH(BA$4,0),L42&gt;=BA$4),1,""))</f>
        <v/>
      </c>
      <c r="BB42" s="26">
        <f>IF(OR(J42="",L42=""),"",IF(AND(J42&lt;=EOMONTH(BB$4,0),L42&gt;=BB$4),1,""))</f>
        <v/>
      </c>
    </row>
    <row r="43">
      <c r="A43" s="27" t="n"/>
      <c r="B43" s="28" t="n"/>
      <c r="C43" s="29" t="n"/>
      <c r="D43" s="30">
        <f>IF(E43="","","CWA-"&amp;MID(E43,5,4))</f>
        <v/>
      </c>
      <c r="E43" s="29" t="n"/>
      <c r="F43" s="31" t="n"/>
      <c r="G43" s="29" t="n"/>
      <c r="H43" s="28" t="n"/>
      <c r="I43" s="29" t="n"/>
      <c r="J43" s="32" t="n"/>
      <c r="K43" s="28" t="n"/>
      <c r="L43" s="33">
        <f>IF(OR(J43="",K43=""),"",J43+7*K43-1)</f>
        <v/>
      </c>
      <c r="M43" s="33">
        <f>IF(J43="","",J43-7*$E$3)</f>
        <v/>
      </c>
      <c r="N43" s="33">
        <f>IF(J43="","",J43-7*$H$3)</f>
        <v/>
      </c>
      <c r="O43" s="33">
        <f>IF(J43="","",J43-1*$K$3)</f>
        <v/>
      </c>
      <c r="P43" s="30">
        <f>IF(OR(E43="",I43="",I43="—"),IF(E43="","","OK"),IFERROR(IF(INDEX($L$6:$L$155,MATCH(I43,$E$6:$E$155,0))&gt;=J43,"Conflicto con predecesor","OK"),"Predecesor no encontrado"))</f>
        <v/>
      </c>
      <c r="Q43" s="29" t="n"/>
      <c r="R43" s="31" t="n"/>
      <c r="S43" s="26">
        <f>IF(OR(J43="",L43=""),"",IF(AND(J43&lt;=EOMONTH(S$4,0),L43&gt;=S$4),1,""))</f>
        <v/>
      </c>
      <c r="T43" s="26">
        <f>IF(OR(J43="",L43=""),"",IF(AND(J43&lt;=EOMONTH(T$4,0),L43&gt;=T$4),1,""))</f>
        <v/>
      </c>
      <c r="U43" s="26">
        <f>IF(OR(J43="",L43=""),"",IF(AND(J43&lt;=EOMONTH(U$4,0),L43&gt;=U$4),1,""))</f>
        <v/>
      </c>
      <c r="V43" s="26">
        <f>IF(OR(J43="",L43=""),"",IF(AND(J43&lt;=EOMONTH(V$4,0),L43&gt;=V$4),1,""))</f>
        <v/>
      </c>
      <c r="W43" s="26">
        <f>IF(OR(J43="",L43=""),"",IF(AND(J43&lt;=EOMONTH(W$4,0),L43&gt;=W$4),1,""))</f>
        <v/>
      </c>
      <c r="X43" s="26">
        <f>IF(OR(J43="",L43=""),"",IF(AND(J43&lt;=EOMONTH(X$4,0),L43&gt;=X$4),1,""))</f>
        <v/>
      </c>
      <c r="Y43" s="26">
        <f>IF(OR(J43="",L43=""),"",IF(AND(J43&lt;=EOMONTH(Y$4,0),L43&gt;=Y$4),1,""))</f>
        <v/>
      </c>
      <c r="Z43" s="26">
        <f>IF(OR(J43="",L43=""),"",IF(AND(J43&lt;=EOMONTH(Z$4,0),L43&gt;=Z$4),1,""))</f>
        <v/>
      </c>
      <c r="AA43" s="26">
        <f>IF(OR(J43="",L43=""),"",IF(AND(J43&lt;=EOMONTH(AA$4,0),L43&gt;=AA$4),1,""))</f>
        <v/>
      </c>
      <c r="AB43" s="26">
        <f>IF(OR(J43="",L43=""),"",IF(AND(J43&lt;=EOMONTH(AB$4,0),L43&gt;=AB$4),1,""))</f>
        <v/>
      </c>
      <c r="AC43" s="26">
        <f>IF(OR(J43="",L43=""),"",IF(AND(J43&lt;=EOMONTH(AC$4,0),L43&gt;=AC$4),1,""))</f>
        <v/>
      </c>
      <c r="AD43" s="26">
        <f>IF(OR(J43="",L43=""),"",IF(AND(J43&lt;=EOMONTH(AD$4,0),L43&gt;=AD$4),1,""))</f>
        <v/>
      </c>
      <c r="AE43" s="26">
        <f>IF(OR(J43="",L43=""),"",IF(AND(J43&lt;=EOMONTH(AE$4,0),L43&gt;=AE$4),1,""))</f>
        <v/>
      </c>
      <c r="AF43" s="26">
        <f>IF(OR(J43="",L43=""),"",IF(AND(J43&lt;=EOMONTH(AF$4,0),L43&gt;=AF$4),1,""))</f>
        <v/>
      </c>
      <c r="AG43" s="26">
        <f>IF(OR(J43="",L43=""),"",IF(AND(J43&lt;=EOMONTH(AG$4,0),L43&gt;=AG$4),1,""))</f>
        <v/>
      </c>
      <c r="AH43" s="26">
        <f>IF(OR(J43="",L43=""),"",IF(AND(J43&lt;=EOMONTH(AH$4,0),L43&gt;=AH$4),1,""))</f>
        <v/>
      </c>
      <c r="AI43" s="26">
        <f>IF(OR(J43="",L43=""),"",IF(AND(J43&lt;=EOMONTH(AI$4,0),L43&gt;=AI$4),1,""))</f>
        <v/>
      </c>
      <c r="AJ43" s="26">
        <f>IF(OR(J43="",L43=""),"",IF(AND(J43&lt;=EOMONTH(AJ$4,0),L43&gt;=AJ$4),1,""))</f>
        <v/>
      </c>
      <c r="AK43" s="26">
        <f>IF(OR(J43="",L43=""),"",IF(AND(J43&lt;=EOMONTH(AK$4,0),L43&gt;=AK$4),1,""))</f>
        <v/>
      </c>
      <c r="AL43" s="26">
        <f>IF(OR(J43="",L43=""),"",IF(AND(J43&lt;=EOMONTH(AL$4,0),L43&gt;=AL$4),1,""))</f>
        <v/>
      </c>
      <c r="AM43" s="26">
        <f>IF(OR(J43="",L43=""),"",IF(AND(J43&lt;=EOMONTH(AM$4,0),L43&gt;=AM$4),1,""))</f>
        <v/>
      </c>
      <c r="AN43" s="26">
        <f>IF(OR(J43="",L43=""),"",IF(AND(J43&lt;=EOMONTH(AN$4,0),L43&gt;=AN$4),1,""))</f>
        <v/>
      </c>
      <c r="AO43" s="26">
        <f>IF(OR(J43="",L43=""),"",IF(AND(J43&lt;=EOMONTH(AO$4,0),L43&gt;=AO$4),1,""))</f>
        <v/>
      </c>
      <c r="AP43" s="26">
        <f>IF(OR(J43="",L43=""),"",IF(AND(J43&lt;=EOMONTH(AP$4,0),L43&gt;=AP$4),1,""))</f>
        <v/>
      </c>
      <c r="AQ43" s="26">
        <f>IF(OR(J43="",L43=""),"",IF(AND(J43&lt;=EOMONTH(AQ$4,0),L43&gt;=AQ$4),1,""))</f>
        <v/>
      </c>
      <c r="AR43" s="26">
        <f>IF(OR(J43="",L43=""),"",IF(AND(J43&lt;=EOMONTH(AR$4,0),L43&gt;=AR$4),1,""))</f>
        <v/>
      </c>
      <c r="AS43" s="26">
        <f>IF(OR(J43="",L43=""),"",IF(AND(J43&lt;=EOMONTH(AS$4,0),L43&gt;=AS$4),1,""))</f>
        <v/>
      </c>
      <c r="AT43" s="26">
        <f>IF(OR(J43="",L43=""),"",IF(AND(J43&lt;=EOMONTH(AT$4,0),L43&gt;=AT$4),1,""))</f>
        <v/>
      </c>
      <c r="AU43" s="26">
        <f>IF(OR(J43="",L43=""),"",IF(AND(J43&lt;=EOMONTH(AU$4,0),L43&gt;=AU$4),1,""))</f>
        <v/>
      </c>
      <c r="AV43" s="26">
        <f>IF(OR(J43="",L43=""),"",IF(AND(J43&lt;=EOMONTH(AV$4,0),L43&gt;=AV$4),1,""))</f>
        <v/>
      </c>
      <c r="AW43" s="26">
        <f>IF(OR(J43="",L43=""),"",IF(AND(J43&lt;=EOMONTH(AW$4,0),L43&gt;=AW$4),1,""))</f>
        <v/>
      </c>
      <c r="AX43" s="26">
        <f>IF(OR(J43="",L43=""),"",IF(AND(J43&lt;=EOMONTH(AX$4,0),L43&gt;=AX$4),1,""))</f>
        <v/>
      </c>
      <c r="AY43" s="26">
        <f>IF(OR(J43="",L43=""),"",IF(AND(J43&lt;=EOMONTH(AY$4,0),L43&gt;=AY$4),1,""))</f>
        <v/>
      </c>
      <c r="AZ43" s="26">
        <f>IF(OR(J43="",L43=""),"",IF(AND(J43&lt;=EOMONTH(AZ$4,0),L43&gt;=AZ$4),1,""))</f>
        <v/>
      </c>
      <c r="BA43" s="26">
        <f>IF(OR(J43="",L43=""),"",IF(AND(J43&lt;=EOMONTH(BA$4,0),L43&gt;=BA$4),1,""))</f>
        <v/>
      </c>
      <c r="BB43" s="26">
        <f>IF(OR(J43="",L43=""),"",IF(AND(J43&lt;=EOMONTH(BB$4,0),L43&gt;=BB$4),1,""))</f>
        <v/>
      </c>
    </row>
    <row r="44">
      <c r="A44" s="27" t="n"/>
      <c r="B44" s="28" t="n"/>
      <c r="C44" s="29" t="n"/>
      <c r="D44" s="30">
        <f>IF(E44="","","CWA-"&amp;MID(E44,5,4))</f>
        <v/>
      </c>
      <c r="E44" s="29" t="n"/>
      <c r="F44" s="31" t="n"/>
      <c r="G44" s="29" t="n"/>
      <c r="H44" s="28" t="n"/>
      <c r="I44" s="29" t="n"/>
      <c r="J44" s="32" t="n"/>
      <c r="K44" s="28" t="n"/>
      <c r="L44" s="33">
        <f>IF(OR(J44="",K44=""),"",J44+7*K44-1)</f>
        <v/>
      </c>
      <c r="M44" s="33">
        <f>IF(J44="","",J44-7*$E$3)</f>
        <v/>
      </c>
      <c r="N44" s="33">
        <f>IF(J44="","",J44-7*$H$3)</f>
        <v/>
      </c>
      <c r="O44" s="33">
        <f>IF(J44="","",J44-1*$K$3)</f>
        <v/>
      </c>
      <c r="P44" s="30">
        <f>IF(OR(E44="",I44="",I44="—"),IF(E44="","","OK"),IFERROR(IF(INDEX($L$6:$L$155,MATCH(I44,$E$6:$E$155,0))&gt;=J44,"Conflicto con predecesor","OK"),"Predecesor no encontrado"))</f>
        <v/>
      </c>
      <c r="Q44" s="29" t="n"/>
      <c r="R44" s="31" t="n"/>
      <c r="S44" s="26">
        <f>IF(OR(J44="",L44=""),"",IF(AND(J44&lt;=EOMONTH(S$4,0),L44&gt;=S$4),1,""))</f>
        <v/>
      </c>
      <c r="T44" s="26">
        <f>IF(OR(J44="",L44=""),"",IF(AND(J44&lt;=EOMONTH(T$4,0),L44&gt;=T$4),1,""))</f>
        <v/>
      </c>
      <c r="U44" s="26">
        <f>IF(OR(J44="",L44=""),"",IF(AND(J44&lt;=EOMONTH(U$4,0),L44&gt;=U$4),1,""))</f>
        <v/>
      </c>
      <c r="V44" s="26">
        <f>IF(OR(J44="",L44=""),"",IF(AND(J44&lt;=EOMONTH(V$4,0),L44&gt;=V$4),1,""))</f>
        <v/>
      </c>
      <c r="W44" s="26">
        <f>IF(OR(J44="",L44=""),"",IF(AND(J44&lt;=EOMONTH(W$4,0),L44&gt;=W$4),1,""))</f>
        <v/>
      </c>
      <c r="X44" s="26">
        <f>IF(OR(J44="",L44=""),"",IF(AND(J44&lt;=EOMONTH(X$4,0),L44&gt;=X$4),1,""))</f>
        <v/>
      </c>
      <c r="Y44" s="26">
        <f>IF(OR(J44="",L44=""),"",IF(AND(J44&lt;=EOMONTH(Y$4,0),L44&gt;=Y$4),1,""))</f>
        <v/>
      </c>
      <c r="Z44" s="26">
        <f>IF(OR(J44="",L44=""),"",IF(AND(J44&lt;=EOMONTH(Z$4,0),L44&gt;=Z$4),1,""))</f>
        <v/>
      </c>
      <c r="AA44" s="26">
        <f>IF(OR(J44="",L44=""),"",IF(AND(J44&lt;=EOMONTH(AA$4,0),L44&gt;=AA$4),1,""))</f>
        <v/>
      </c>
      <c r="AB44" s="26">
        <f>IF(OR(J44="",L44=""),"",IF(AND(J44&lt;=EOMONTH(AB$4,0),L44&gt;=AB$4),1,""))</f>
        <v/>
      </c>
      <c r="AC44" s="26">
        <f>IF(OR(J44="",L44=""),"",IF(AND(J44&lt;=EOMONTH(AC$4,0),L44&gt;=AC$4),1,""))</f>
        <v/>
      </c>
      <c r="AD44" s="26">
        <f>IF(OR(J44="",L44=""),"",IF(AND(J44&lt;=EOMONTH(AD$4,0),L44&gt;=AD$4),1,""))</f>
        <v/>
      </c>
      <c r="AE44" s="26">
        <f>IF(OR(J44="",L44=""),"",IF(AND(J44&lt;=EOMONTH(AE$4,0),L44&gt;=AE$4),1,""))</f>
        <v/>
      </c>
      <c r="AF44" s="26">
        <f>IF(OR(J44="",L44=""),"",IF(AND(J44&lt;=EOMONTH(AF$4,0),L44&gt;=AF$4),1,""))</f>
        <v/>
      </c>
      <c r="AG44" s="26">
        <f>IF(OR(J44="",L44=""),"",IF(AND(J44&lt;=EOMONTH(AG$4,0),L44&gt;=AG$4),1,""))</f>
        <v/>
      </c>
      <c r="AH44" s="26">
        <f>IF(OR(J44="",L44=""),"",IF(AND(J44&lt;=EOMONTH(AH$4,0),L44&gt;=AH$4),1,""))</f>
        <v/>
      </c>
      <c r="AI44" s="26">
        <f>IF(OR(J44="",L44=""),"",IF(AND(J44&lt;=EOMONTH(AI$4,0),L44&gt;=AI$4),1,""))</f>
        <v/>
      </c>
      <c r="AJ44" s="26">
        <f>IF(OR(J44="",L44=""),"",IF(AND(J44&lt;=EOMONTH(AJ$4,0),L44&gt;=AJ$4),1,""))</f>
        <v/>
      </c>
      <c r="AK44" s="26">
        <f>IF(OR(J44="",L44=""),"",IF(AND(J44&lt;=EOMONTH(AK$4,0),L44&gt;=AK$4),1,""))</f>
        <v/>
      </c>
      <c r="AL44" s="26">
        <f>IF(OR(J44="",L44=""),"",IF(AND(J44&lt;=EOMONTH(AL$4,0),L44&gt;=AL$4),1,""))</f>
        <v/>
      </c>
      <c r="AM44" s="26">
        <f>IF(OR(J44="",L44=""),"",IF(AND(J44&lt;=EOMONTH(AM$4,0),L44&gt;=AM$4),1,""))</f>
        <v/>
      </c>
      <c r="AN44" s="26">
        <f>IF(OR(J44="",L44=""),"",IF(AND(J44&lt;=EOMONTH(AN$4,0),L44&gt;=AN$4),1,""))</f>
        <v/>
      </c>
      <c r="AO44" s="26">
        <f>IF(OR(J44="",L44=""),"",IF(AND(J44&lt;=EOMONTH(AO$4,0),L44&gt;=AO$4),1,""))</f>
        <v/>
      </c>
      <c r="AP44" s="26">
        <f>IF(OR(J44="",L44=""),"",IF(AND(J44&lt;=EOMONTH(AP$4,0),L44&gt;=AP$4),1,""))</f>
        <v/>
      </c>
      <c r="AQ44" s="26">
        <f>IF(OR(J44="",L44=""),"",IF(AND(J44&lt;=EOMONTH(AQ$4,0),L44&gt;=AQ$4),1,""))</f>
        <v/>
      </c>
      <c r="AR44" s="26">
        <f>IF(OR(J44="",L44=""),"",IF(AND(J44&lt;=EOMONTH(AR$4,0),L44&gt;=AR$4),1,""))</f>
        <v/>
      </c>
      <c r="AS44" s="26">
        <f>IF(OR(J44="",L44=""),"",IF(AND(J44&lt;=EOMONTH(AS$4,0),L44&gt;=AS$4),1,""))</f>
        <v/>
      </c>
      <c r="AT44" s="26">
        <f>IF(OR(J44="",L44=""),"",IF(AND(J44&lt;=EOMONTH(AT$4,0),L44&gt;=AT$4),1,""))</f>
        <v/>
      </c>
      <c r="AU44" s="26">
        <f>IF(OR(J44="",L44=""),"",IF(AND(J44&lt;=EOMONTH(AU$4,0),L44&gt;=AU$4),1,""))</f>
        <v/>
      </c>
      <c r="AV44" s="26">
        <f>IF(OR(J44="",L44=""),"",IF(AND(J44&lt;=EOMONTH(AV$4,0),L44&gt;=AV$4),1,""))</f>
        <v/>
      </c>
      <c r="AW44" s="26">
        <f>IF(OR(J44="",L44=""),"",IF(AND(J44&lt;=EOMONTH(AW$4,0),L44&gt;=AW$4),1,""))</f>
        <v/>
      </c>
      <c r="AX44" s="26">
        <f>IF(OR(J44="",L44=""),"",IF(AND(J44&lt;=EOMONTH(AX$4,0),L44&gt;=AX$4),1,""))</f>
        <v/>
      </c>
      <c r="AY44" s="26">
        <f>IF(OR(J44="",L44=""),"",IF(AND(J44&lt;=EOMONTH(AY$4,0),L44&gt;=AY$4),1,""))</f>
        <v/>
      </c>
      <c r="AZ44" s="26">
        <f>IF(OR(J44="",L44=""),"",IF(AND(J44&lt;=EOMONTH(AZ$4,0),L44&gt;=AZ$4),1,""))</f>
        <v/>
      </c>
      <c r="BA44" s="26">
        <f>IF(OR(J44="",L44=""),"",IF(AND(J44&lt;=EOMONTH(BA$4,0),L44&gt;=BA$4),1,""))</f>
        <v/>
      </c>
      <c r="BB44" s="26">
        <f>IF(OR(J44="",L44=""),"",IF(AND(J44&lt;=EOMONTH(BB$4,0),L44&gt;=BB$4),1,""))</f>
        <v/>
      </c>
    </row>
    <row r="45">
      <c r="A45" s="27" t="n"/>
      <c r="B45" s="28" t="n"/>
      <c r="C45" s="29" t="n"/>
      <c r="D45" s="30">
        <f>IF(E45="","","CWA-"&amp;MID(E45,5,4))</f>
        <v/>
      </c>
      <c r="E45" s="29" t="n"/>
      <c r="F45" s="31" t="n"/>
      <c r="G45" s="29" t="n"/>
      <c r="H45" s="28" t="n"/>
      <c r="I45" s="29" t="n"/>
      <c r="J45" s="32" t="n"/>
      <c r="K45" s="28" t="n"/>
      <c r="L45" s="33">
        <f>IF(OR(J45="",K45=""),"",J45+7*K45-1)</f>
        <v/>
      </c>
      <c r="M45" s="33">
        <f>IF(J45="","",J45-7*$E$3)</f>
        <v/>
      </c>
      <c r="N45" s="33">
        <f>IF(J45="","",J45-7*$H$3)</f>
        <v/>
      </c>
      <c r="O45" s="33">
        <f>IF(J45="","",J45-1*$K$3)</f>
        <v/>
      </c>
      <c r="P45" s="30">
        <f>IF(OR(E45="",I45="",I45="—"),IF(E45="","","OK"),IFERROR(IF(INDEX($L$6:$L$155,MATCH(I45,$E$6:$E$155,0))&gt;=J45,"Conflicto con predecesor","OK"),"Predecesor no encontrado"))</f>
        <v/>
      </c>
      <c r="Q45" s="29" t="n"/>
      <c r="R45" s="31" t="n"/>
      <c r="S45" s="26">
        <f>IF(OR(J45="",L45=""),"",IF(AND(J45&lt;=EOMONTH(S$4,0),L45&gt;=S$4),1,""))</f>
        <v/>
      </c>
      <c r="T45" s="26">
        <f>IF(OR(J45="",L45=""),"",IF(AND(J45&lt;=EOMONTH(T$4,0),L45&gt;=T$4),1,""))</f>
        <v/>
      </c>
      <c r="U45" s="26">
        <f>IF(OR(J45="",L45=""),"",IF(AND(J45&lt;=EOMONTH(U$4,0),L45&gt;=U$4),1,""))</f>
        <v/>
      </c>
      <c r="V45" s="26">
        <f>IF(OR(J45="",L45=""),"",IF(AND(J45&lt;=EOMONTH(V$4,0),L45&gt;=V$4),1,""))</f>
        <v/>
      </c>
      <c r="W45" s="26">
        <f>IF(OR(J45="",L45=""),"",IF(AND(J45&lt;=EOMONTH(W$4,0),L45&gt;=W$4),1,""))</f>
        <v/>
      </c>
      <c r="X45" s="26">
        <f>IF(OR(J45="",L45=""),"",IF(AND(J45&lt;=EOMONTH(X$4,0),L45&gt;=X$4),1,""))</f>
        <v/>
      </c>
      <c r="Y45" s="26">
        <f>IF(OR(J45="",L45=""),"",IF(AND(J45&lt;=EOMONTH(Y$4,0),L45&gt;=Y$4),1,""))</f>
        <v/>
      </c>
      <c r="Z45" s="26">
        <f>IF(OR(J45="",L45=""),"",IF(AND(J45&lt;=EOMONTH(Z$4,0),L45&gt;=Z$4),1,""))</f>
        <v/>
      </c>
      <c r="AA45" s="26">
        <f>IF(OR(J45="",L45=""),"",IF(AND(J45&lt;=EOMONTH(AA$4,0),L45&gt;=AA$4),1,""))</f>
        <v/>
      </c>
      <c r="AB45" s="26">
        <f>IF(OR(J45="",L45=""),"",IF(AND(J45&lt;=EOMONTH(AB$4,0),L45&gt;=AB$4),1,""))</f>
        <v/>
      </c>
      <c r="AC45" s="26">
        <f>IF(OR(J45="",L45=""),"",IF(AND(J45&lt;=EOMONTH(AC$4,0),L45&gt;=AC$4),1,""))</f>
        <v/>
      </c>
      <c r="AD45" s="26">
        <f>IF(OR(J45="",L45=""),"",IF(AND(J45&lt;=EOMONTH(AD$4,0),L45&gt;=AD$4),1,""))</f>
        <v/>
      </c>
      <c r="AE45" s="26">
        <f>IF(OR(J45="",L45=""),"",IF(AND(J45&lt;=EOMONTH(AE$4,0),L45&gt;=AE$4),1,""))</f>
        <v/>
      </c>
      <c r="AF45" s="26">
        <f>IF(OR(J45="",L45=""),"",IF(AND(J45&lt;=EOMONTH(AF$4,0),L45&gt;=AF$4),1,""))</f>
        <v/>
      </c>
      <c r="AG45" s="26">
        <f>IF(OR(J45="",L45=""),"",IF(AND(J45&lt;=EOMONTH(AG$4,0),L45&gt;=AG$4),1,""))</f>
        <v/>
      </c>
      <c r="AH45" s="26">
        <f>IF(OR(J45="",L45=""),"",IF(AND(J45&lt;=EOMONTH(AH$4,0),L45&gt;=AH$4),1,""))</f>
        <v/>
      </c>
      <c r="AI45" s="26">
        <f>IF(OR(J45="",L45=""),"",IF(AND(J45&lt;=EOMONTH(AI$4,0),L45&gt;=AI$4),1,""))</f>
        <v/>
      </c>
      <c r="AJ45" s="26">
        <f>IF(OR(J45="",L45=""),"",IF(AND(J45&lt;=EOMONTH(AJ$4,0),L45&gt;=AJ$4),1,""))</f>
        <v/>
      </c>
      <c r="AK45" s="26">
        <f>IF(OR(J45="",L45=""),"",IF(AND(J45&lt;=EOMONTH(AK$4,0),L45&gt;=AK$4),1,""))</f>
        <v/>
      </c>
      <c r="AL45" s="26">
        <f>IF(OR(J45="",L45=""),"",IF(AND(J45&lt;=EOMONTH(AL$4,0),L45&gt;=AL$4),1,""))</f>
        <v/>
      </c>
      <c r="AM45" s="26">
        <f>IF(OR(J45="",L45=""),"",IF(AND(J45&lt;=EOMONTH(AM$4,0),L45&gt;=AM$4),1,""))</f>
        <v/>
      </c>
      <c r="AN45" s="26">
        <f>IF(OR(J45="",L45=""),"",IF(AND(J45&lt;=EOMONTH(AN$4,0),L45&gt;=AN$4),1,""))</f>
        <v/>
      </c>
      <c r="AO45" s="26">
        <f>IF(OR(J45="",L45=""),"",IF(AND(J45&lt;=EOMONTH(AO$4,0),L45&gt;=AO$4),1,""))</f>
        <v/>
      </c>
      <c r="AP45" s="26">
        <f>IF(OR(J45="",L45=""),"",IF(AND(J45&lt;=EOMONTH(AP$4,0),L45&gt;=AP$4),1,""))</f>
        <v/>
      </c>
      <c r="AQ45" s="26">
        <f>IF(OR(J45="",L45=""),"",IF(AND(J45&lt;=EOMONTH(AQ$4,0),L45&gt;=AQ$4),1,""))</f>
        <v/>
      </c>
      <c r="AR45" s="26">
        <f>IF(OR(J45="",L45=""),"",IF(AND(J45&lt;=EOMONTH(AR$4,0),L45&gt;=AR$4),1,""))</f>
        <v/>
      </c>
      <c r="AS45" s="26">
        <f>IF(OR(J45="",L45=""),"",IF(AND(J45&lt;=EOMONTH(AS$4,0),L45&gt;=AS$4),1,""))</f>
        <v/>
      </c>
      <c r="AT45" s="26">
        <f>IF(OR(J45="",L45=""),"",IF(AND(J45&lt;=EOMONTH(AT$4,0),L45&gt;=AT$4),1,""))</f>
        <v/>
      </c>
      <c r="AU45" s="26">
        <f>IF(OR(J45="",L45=""),"",IF(AND(J45&lt;=EOMONTH(AU$4,0),L45&gt;=AU$4),1,""))</f>
        <v/>
      </c>
      <c r="AV45" s="26">
        <f>IF(OR(J45="",L45=""),"",IF(AND(J45&lt;=EOMONTH(AV$4,0),L45&gt;=AV$4),1,""))</f>
        <v/>
      </c>
      <c r="AW45" s="26">
        <f>IF(OR(J45="",L45=""),"",IF(AND(J45&lt;=EOMONTH(AW$4,0),L45&gt;=AW$4),1,""))</f>
        <v/>
      </c>
      <c r="AX45" s="26">
        <f>IF(OR(J45="",L45=""),"",IF(AND(J45&lt;=EOMONTH(AX$4,0),L45&gt;=AX$4),1,""))</f>
        <v/>
      </c>
      <c r="AY45" s="26">
        <f>IF(OR(J45="",L45=""),"",IF(AND(J45&lt;=EOMONTH(AY$4,0),L45&gt;=AY$4),1,""))</f>
        <v/>
      </c>
      <c r="AZ45" s="26">
        <f>IF(OR(J45="",L45=""),"",IF(AND(J45&lt;=EOMONTH(AZ$4,0),L45&gt;=AZ$4),1,""))</f>
        <v/>
      </c>
      <c r="BA45" s="26">
        <f>IF(OR(J45="",L45=""),"",IF(AND(J45&lt;=EOMONTH(BA$4,0),L45&gt;=BA$4),1,""))</f>
        <v/>
      </c>
      <c r="BB45" s="26">
        <f>IF(OR(J45="",L45=""),"",IF(AND(J45&lt;=EOMONTH(BB$4,0),L45&gt;=BB$4),1,""))</f>
        <v/>
      </c>
    </row>
    <row r="46">
      <c r="A46" s="27" t="n"/>
      <c r="B46" s="28" t="n"/>
      <c r="C46" s="29" t="n"/>
      <c r="D46" s="30">
        <f>IF(E46="","","CWA-"&amp;MID(E46,5,4))</f>
        <v/>
      </c>
      <c r="E46" s="29" t="n"/>
      <c r="F46" s="31" t="n"/>
      <c r="G46" s="29" t="n"/>
      <c r="H46" s="28" t="n"/>
      <c r="I46" s="29" t="n"/>
      <c r="J46" s="32" t="n"/>
      <c r="K46" s="28" t="n"/>
      <c r="L46" s="33">
        <f>IF(OR(J46="",K46=""),"",J46+7*K46-1)</f>
        <v/>
      </c>
      <c r="M46" s="33">
        <f>IF(J46="","",J46-7*$E$3)</f>
        <v/>
      </c>
      <c r="N46" s="33">
        <f>IF(J46="","",J46-7*$H$3)</f>
        <v/>
      </c>
      <c r="O46" s="33">
        <f>IF(J46="","",J46-1*$K$3)</f>
        <v/>
      </c>
      <c r="P46" s="30">
        <f>IF(OR(E46="",I46="",I46="—"),IF(E46="","","OK"),IFERROR(IF(INDEX($L$6:$L$155,MATCH(I46,$E$6:$E$155,0))&gt;=J46,"Conflicto con predecesor","OK"),"Predecesor no encontrado"))</f>
        <v/>
      </c>
      <c r="Q46" s="29" t="n"/>
      <c r="R46" s="31" t="n"/>
      <c r="S46" s="26">
        <f>IF(OR(J46="",L46=""),"",IF(AND(J46&lt;=EOMONTH(S$4,0),L46&gt;=S$4),1,""))</f>
        <v/>
      </c>
      <c r="T46" s="26">
        <f>IF(OR(J46="",L46=""),"",IF(AND(J46&lt;=EOMONTH(T$4,0),L46&gt;=T$4),1,""))</f>
        <v/>
      </c>
      <c r="U46" s="26">
        <f>IF(OR(J46="",L46=""),"",IF(AND(J46&lt;=EOMONTH(U$4,0),L46&gt;=U$4),1,""))</f>
        <v/>
      </c>
      <c r="V46" s="26">
        <f>IF(OR(J46="",L46=""),"",IF(AND(J46&lt;=EOMONTH(V$4,0),L46&gt;=V$4),1,""))</f>
        <v/>
      </c>
      <c r="W46" s="26">
        <f>IF(OR(J46="",L46=""),"",IF(AND(J46&lt;=EOMONTH(W$4,0),L46&gt;=W$4),1,""))</f>
        <v/>
      </c>
      <c r="X46" s="26">
        <f>IF(OR(J46="",L46=""),"",IF(AND(J46&lt;=EOMONTH(X$4,0),L46&gt;=X$4),1,""))</f>
        <v/>
      </c>
      <c r="Y46" s="26">
        <f>IF(OR(J46="",L46=""),"",IF(AND(J46&lt;=EOMONTH(Y$4,0),L46&gt;=Y$4),1,""))</f>
        <v/>
      </c>
      <c r="Z46" s="26">
        <f>IF(OR(J46="",L46=""),"",IF(AND(J46&lt;=EOMONTH(Z$4,0),L46&gt;=Z$4),1,""))</f>
        <v/>
      </c>
      <c r="AA46" s="26">
        <f>IF(OR(J46="",L46=""),"",IF(AND(J46&lt;=EOMONTH(AA$4,0),L46&gt;=AA$4),1,""))</f>
        <v/>
      </c>
      <c r="AB46" s="26">
        <f>IF(OR(J46="",L46=""),"",IF(AND(J46&lt;=EOMONTH(AB$4,0),L46&gt;=AB$4),1,""))</f>
        <v/>
      </c>
      <c r="AC46" s="26">
        <f>IF(OR(J46="",L46=""),"",IF(AND(J46&lt;=EOMONTH(AC$4,0),L46&gt;=AC$4),1,""))</f>
        <v/>
      </c>
      <c r="AD46" s="26">
        <f>IF(OR(J46="",L46=""),"",IF(AND(J46&lt;=EOMONTH(AD$4,0),L46&gt;=AD$4),1,""))</f>
        <v/>
      </c>
      <c r="AE46" s="26">
        <f>IF(OR(J46="",L46=""),"",IF(AND(J46&lt;=EOMONTH(AE$4,0),L46&gt;=AE$4),1,""))</f>
        <v/>
      </c>
      <c r="AF46" s="26">
        <f>IF(OR(J46="",L46=""),"",IF(AND(J46&lt;=EOMONTH(AF$4,0),L46&gt;=AF$4),1,""))</f>
        <v/>
      </c>
      <c r="AG46" s="26">
        <f>IF(OR(J46="",L46=""),"",IF(AND(J46&lt;=EOMONTH(AG$4,0),L46&gt;=AG$4),1,""))</f>
        <v/>
      </c>
      <c r="AH46" s="26">
        <f>IF(OR(J46="",L46=""),"",IF(AND(J46&lt;=EOMONTH(AH$4,0),L46&gt;=AH$4),1,""))</f>
        <v/>
      </c>
      <c r="AI46" s="26">
        <f>IF(OR(J46="",L46=""),"",IF(AND(J46&lt;=EOMONTH(AI$4,0),L46&gt;=AI$4),1,""))</f>
        <v/>
      </c>
      <c r="AJ46" s="26">
        <f>IF(OR(J46="",L46=""),"",IF(AND(J46&lt;=EOMONTH(AJ$4,0),L46&gt;=AJ$4),1,""))</f>
        <v/>
      </c>
      <c r="AK46" s="26">
        <f>IF(OR(J46="",L46=""),"",IF(AND(J46&lt;=EOMONTH(AK$4,0),L46&gt;=AK$4),1,""))</f>
        <v/>
      </c>
      <c r="AL46" s="26">
        <f>IF(OR(J46="",L46=""),"",IF(AND(J46&lt;=EOMONTH(AL$4,0),L46&gt;=AL$4),1,""))</f>
        <v/>
      </c>
      <c r="AM46" s="26">
        <f>IF(OR(J46="",L46=""),"",IF(AND(J46&lt;=EOMONTH(AM$4,0),L46&gt;=AM$4),1,""))</f>
        <v/>
      </c>
      <c r="AN46" s="26">
        <f>IF(OR(J46="",L46=""),"",IF(AND(J46&lt;=EOMONTH(AN$4,0),L46&gt;=AN$4),1,""))</f>
        <v/>
      </c>
      <c r="AO46" s="26">
        <f>IF(OR(J46="",L46=""),"",IF(AND(J46&lt;=EOMONTH(AO$4,0),L46&gt;=AO$4),1,""))</f>
        <v/>
      </c>
      <c r="AP46" s="26">
        <f>IF(OR(J46="",L46=""),"",IF(AND(J46&lt;=EOMONTH(AP$4,0),L46&gt;=AP$4),1,""))</f>
        <v/>
      </c>
      <c r="AQ46" s="26">
        <f>IF(OR(J46="",L46=""),"",IF(AND(J46&lt;=EOMONTH(AQ$4,0),L46&gt;=AQ$4),1,""))</f>
        <v/>
      </c>
      <c r="AR46" s="26">
        <f>IF(OR(J46="",L46=""),"",IF(AND(J46&lt;=EOMONTH(AR$4,0),L46&gt;=AR$4),1,""))</f>
        <v/>
      </c>
      <c r="AS46" s="26">
        <f>IF(OR(J46="",L46=""),"",IF(AND(J46&lt;=EOMONTH(AS$4,0),L46&gt;=AS$4),1,""))</f>
        <v/>
      </c>
      <c r="AT46" s="26">
        <f>IF(OR(J46="",L46=""),"",IF(AND(J46&lt;=EOMONTH(AT$4,0),L46&gt;=AT$4),1,""))</f>
        <v/>
      </c>
      <c r="AU46" s="26">
        <f>IF(OR(J46="",L46=""),"",IF(AND(J46&lt;=EOMONTH(AU$4,0),L46&gt;=AU$4),1,""))</f>
        <v/>
      </c>
      <c r="AV46" s="26">
        <f>IF(OR(J46="",L46=""),"",IF(AND(J46&lt;=EOMONTH(AV$4,0),L46&gt;=AV$4),1,""))</f>
        <v/>
      </c>
      <c r="AW46" s="26">
        <f>IF(OR(J46="",L46=""),"",IF(AND(J46&lt;=EOMONTH(AW$4,0),L46&gt;=AW$4),1,""))</f>
        <v/>
      </c>
      <c r="AX46" s="26">
        <f>IF(OR(J46="",L46=""),"",IF(AND(J46&lt;=EOMONTH(AX$4,0),L46&gt;=AX$4),1,""))</f>
        <v/>
      </c>
      <c r="AY46" s="26">
        <f>IF(OR(J46="",L46=""),"",IF(AND(J46&lt;=EOMONTH(AY$4,0),L46&gt;=AY$4),1,""))</f>
        <v/>
      </c>
      <c r="AZ46" s="26">
        <f>IF(OR(J46="",L46=""),"",IF(AND(J46&lt;=EOMONTH(AZ$4,0),L46&gt;=AZ$4),1,""))</f>
        <v/>
      </c>
      <c r="BA46" s="26">
        <f>IF(OR(J46="",L46=""),"",IF(AND(J46&lt;=EOMONTH(BA$4,0),L46&gt;=BA$4),1,""))</f>
        <v/>
      </c>
      <c r="BB46" s="26">
        <f>IF(OR(J46="",L46=""),"",IF(AND(J46&lt;=EOMONTH(BB$4,0),L46&gt;=BB$4),1,""))</f>
        <v/>
      </c>
    </row>
    <row r="47">
      <c r="A47" s="27" t="n"/>
      <c r="B47" s="28" t="n"/>
      <c r="C47" s="29" t="n"/>
      <c r="D47" s="30">
        <f>IF(E47="","","CWA-"&amp;MID(E47,5,4))</f>
        <v/>
      </c>
      <c r="E47" s="29" t="n"/>
      <c r="F47" s="31" t="n"/>
      <c r="G47" s="29" t="n"/>
      <c r="H47" s="28" t="n"/>
      <c r="I47" s="29" t="n"/>
      <c r="J47" s="32" t="n"/>
      <c r="K47" s="28" t="n"/>
      <c r="L47" s="33">
        <f>IF(OR(J47="",K47=""),"",J47+7*K47-1)</f>
        <v/>
      </c>
      <c r="M47" s="33">
        <f>IF(J47="","",J47-7*$E$3)</f>
        <v/>
      </c>
      <c r="N47" s="33">
        <f>IF(J47="","",J47-7*$H$3)</f>
        <v/>
      </c>
      <c r="O47" s="33">
        <f>IF(J47="","",J47-1*$K$3)</f>
        <v/>
      </c>
      <c r="P47" s="30">
        <f>IF(OR(E47="",I47="",I47="—"),IF(E47="","","OK"),IFERROR(IF(INDEX($L$6:$L$155,MATCH(I47,$E$6:$E$155,0))&gt;=J47,"Conflicto con predecesor","OK"),"Predecesor no encontrado"))</f>
        <v/>
      </c>
      <c r="Q47" s="29" t="n"/>
      <c r="R47" s="31" t="n"/>
      <c r="S47" s="26">
        <f>IF(OR(J47="",L47=""),"",IF(AND(J47&lt;=EOMONTH(S$4,0),L47&gt;=S$4),1,""))</f>
        <v/>
      </c>
      <c r="T47" s="26">
        <f>IF(OR(J47="",L47=""),"",IF(AND(J47&lt;=EOMONTH(T$4,0),L47&gt;=T$4),1,""))</f>
        <v/>
      </c>
      <c r="U47" s="26">
        <f>IF(OR(J47="",L47=""),"",IF(AND(J47&lt;=EOMONTH(U$4,0),L47&gt;=U$4),1,""))</f>
        <v/>
      </c>
      <c r="V47" s="26">
        <f>IF(OR(J47="",L47=""),"",IF(AND(J47&lt;=EOMONTH(V$4,0),L47&gt;=V$4),1,""))</f>
        <v/>
      </c>
      <c r="W47" s="26">
        <f>IF(OR(J47="",L47=""),"",IF(AND(J47&lt;=EOMONTH(W$4,0),L47&gt;=W$4),1,""))</f>
        <v/>
      </c>
      <c r="X47" s="26">
        <f>IF(OR(J47="",L47=""),"",IF(AND(J47&lt;=EOMONTH(X$4,0),L47&gt;=X$4),1,""))</f>
        <v/>
      </c>
      <c r="Y47" s="26">
        <f>IF(OR(J47="",L47=""),"",IF(AND(J47&lt;=EOMONTH(Y$4,0),L47&gt;=Y$4),1,""))</f>
        <v/>
      </c>
      <c r="Z47" s="26">
        <f>IF(OR(J47="",L47=""),"",IF(AND(J47&lt;=EOMONTH(Z$4,0),L47&gt;=Z$4),1,""))</f>
        <v/>
      </c>
      <c r="AA47" s="26">
        <f>IF(OR(J47="",L47=""),"",IF(AND(J47&lt;=EOMONTH(AA$4,0),L47&gt;=AA$4),1,""))</f>
        <v/>
      </c>
      <c r="AB47" s="26">
        <f>IF(OR(J47="",L47=""),"",IF(AND(J47&lt;=EOMONTH(AB$4,0),L47&gt;=AB$4),1,""))</f>
        <v/>
      </c>
      <c r="AC47" s="26">
        <f>IF(OR(J47="",L47=""),"",IF(AND(J47&lt;=EOMONTH(AC$4,0),L47&gt;=AC$4),1,""))</f>
        <v/>
      </c>
      <c r="AD47" s="26">
        <f>IF(OR(J47="",L47=""),"",IF(AND(J47&lt;=EOMONTH(AD$4,0),L47&gt;=AD$4),1,""))</f>
        <v/>
      </c>
      <c r="AE47" s="26">
        <f>IF(OR(J47="",L47=""),"",IF(AND(J47&lt;=EOMONTH(AE$4,0),L47&gt;=AE$4),1,""))</f>
        <v/>
      </c>
      <c r="AF47" s="26">
        <f>IF(OR(J47="",L47=""),"",IF(AND(J47&lt;=EOMONTH(AF$4,0),L47&gt;=AF$4),1,""))</f>
        <v/>
      </c>
      <c r="AG47" s="26">
        <f>IF(OR(J47="",L47=""),"",IF(AND(J47&lt;=EOMONTH(AG$4,0),L47&gt;=AG$4),1,""))</f>
        <v/>
      </c>
      <c r="AH47" s="26">
        <f>IF(OR(J47="",L47=""),"",IF(AND(J47&lt;=EOMONTH(AH$4,0),L47&gt;=AH$4),1,""))</f>
        <v/>
      </c>
      <c r="AI47" s="26">
        <f>IF(OR(J47="",L47=""),"",IF(AND(J47&lt;=EOMONTH(AI$4,0),L47&gt;=AI$4),1,""))</f>
        <v/>
      </c>
      <c r="AJ47" s="26">
        <f>IF(OR(J47="",L47=""),"",IF(AND(J47&lt;=EOMONTH(AJ$4,0),L47&gt;=AJ$4),1,""))</f>
        <v/>
      </c>
      <c r="AK47" s="26">
        <f>IF(OR(J47="",L47=""),"",IF(AND(J47&lt;=EOMONTH(AK$4,0),L47&gt;=AK$4),1,""))</f>
        <v/>
      </c>
      <c r="AL47" s="26">
        <f>IF(OR(J47="",L47=""),"",IF(AND(J47&lt;=EOMONTH(AL$4,0),L47&gt;=AL$4),1,""))</f>
        <v/>
      </c>
      <c r="AM47" s="26">
        <f>IF(OR(J47="",L47=""),"",IF(AND(J47&lt;=EOMONTH(AM$4,0),L47&gt;=AM$4),1,""))</f>
        <v/>
      </c>
      <c r="AN47" s="26">
        <f>IF(OR(J47="",L47=""),"",IF(AND(J47&lt;=EOMONTH(AN$4,0),L47&gt;=AN$4),1,""))</f>
        <v/>
      </c>
      <c r="AO47" s="26">
        <f>IF(OR(J47="",L47=""),"",IF(AND(J47&lt;=EOMONTH(AO$4,0),L47&gt;=AO$4),1,""))</f>
        <v/>
      </c>
      <c r="AP47" s="26">
        <f>IF(OR(J47="",L47=""),"",IF(AND(J47&lt;=EOMONTH(AP$4,0),L47&gt;=AP$4),1,""))</f>
        <v/>
      </c>
      <c r="AQ47" s="26">
        <f>IF(OR(J47="",L47=""),"",IF(AND(J47&lt;=EOMONTH(AQ$4,0),L47&gt;=AQ$4),1,""))</f>
        <v/>
      </c>
      <c r="AR47" s="26">
        <f>IF(OR(J47="",L47=""),"",IF(AND(J47&lt;=EOMONTH(AR$4,0),L47&gt;=AR$4),1,""))</f>
        <v/>
      </c>
      <c r="AS47" s="26">
        <f>IF(OR(J47="",L47=""),"",IF(AND(J47&lt;=EOMONTH(AS$4,0),L47&gt;=AS$4),1,""))</f>
        <v/>
      </c>
      <c r="AT47" s="26">
        <f>IF(OR(J47="",L47=""),"",IF(AND(J47&lt;=EOMONTH(AT$4,0),L47&gt;=AT$4),1,""))</f>
        <v/>
      </c>
      <c r="AU47" s="26">
        <f>IF(OR(J47="",L47=""),"",IF(AND(J47&lt;=EOMONTH(AU$4,0),L47&gt;=AU$4),1,""))</f>
        <v/>
      </c>
      <c r="AV47" s="26">
        <f>IF(OR(J47="",L47=""),"",IF(AND(J47&lt;=EOMONTH(AV$4,0),L47&gt;=AV$4),1,""))</f>
        <v/>
      </c>
      <c r="AW47" s="26">
        <f>IF(OR(J47="",L47=""),"",IF(AND(J47&lt;=EOMONTH(AW$4,0),L47&gt;=AW$4),1,""))</f>
        <v/>
      </c>
      <c r="AX47" s="26">
        <f>IF(OR(J47="",L47=""),"",IF(AND(J47&lt;=EOMONTH(AX$4,0),L47&gt;=AX$4),1,""))</f>
        <v/>
      </c>
      <c r="AY47" s="26">
        <f>IF(OR(J47="",L47=""),"",IF(AND(J47&lt;=EOMONTH(AY$4,0),L47&gt;=AY$4),1,""))</f>
        <v/>
      </c>
      <c r="AZ47" s="26">
        <f>IF(OR(J47="",L47=""),"",IF(AND(J47&lt;=EOMONTH(AZ$4,0),L47&gt;=AZ$4),1,""))</f>
        <v/>
      </c>
      <c r="BA47" s="26">
        <f>IF(OR(J47="",L47=""),"",IF(AND(J47&lt;=EOMONTH(BA$4,0),L47&gt;=BA$4),1,""))</f>
        <v/>
      </c>
      <c r="BB47" s="26">
        <f>IF(OR(J47="",L47=""),"",IF(AND(J47&lt;=EOMONTH(BB$4,0),L47&gt;=BB$4),1,""))</f>
        <v/>
      </c>
    </row>
    <row r="48">
      <c r="A48" s="27" t="n"/>
      <c r="B48" s="28" t="n"/>
      <c r="C48" s="29" t="n"/>
      <c r="D48" s="30">
        <f>IF(E48="","","CWA-"&amp;MID(E48,5,4))</f>
        <v/>
      </c>
      <c r="E48" s="29" t="n"/>
      <c r="F48" s="31" t="n"/>
      <c r="G48" s="29" t="n"/>
      <c r="H48" s="28" t="n"/>
      <c r="I48" s="29" t="n"/>
      <c r="J48" s="32" t="n"/>
      <c r="K48" s="28" t="n"/>
      <c r="L48" s="33">
        <f>IF(OR(J48="",K48=""),"",J48+7*K48-1)</f>
        <v/>
      </c>
      <c r="M48" s="33">
        <f>IF(J48="","",J48-7*$E$3)</f>
        <v/>
      </c>
      <c r="N48" s="33">
        <f>IF(J48="","",J48-7*$H$3)</f>
        <v/>
      </c>
      <c r="O48" s="33">
        <f>IF(J48="","",J48-1*$K$3)</f>
        <v/>
      </c>
      <c r="P48" s="30">
        <f>IF(OR(E48="",I48="",I48="—"),IF(E48="","","OK"),IFERROR(IF(INDEX($L$6:$L$155,MATCH(I48,$E$6:$E$155,0))&gt;=J48,"Conflicto con predecesor","OK"),"Predecesor no encontrado"))</f>
        <v/>
      </c>
      <c r="Q48" s="29" t="n"/>
      <c r="R48" s="31" t="n"/>
      <c r="S48" s="26">
        <f>IF(OR(J48="",L48=""),"",IF(AND(J48&lt;=EOMONTH(S$4,0),L48&gt;=S$4),1,""))</f>
        <v/>
      </c>
      <c r="T48" s="26">
        <f>IF(OR(J48="",L48=""),"",IF(AND(J48&lt;=EOMONTH(T$4,0),L48&gt;=T$4),1,""))</f>
        <v/>
      </c>
      <c r="U48" s="26">
        <f>IF(OR(J48="",L48=""),"",IF(AND(J48&lt;=EOMONTH(U$4,0),L48&gt;=U$4),1,""))</f>
        <v/>
      </c>
      <c r="V48" s="26">
        <f>IF(OR(J48="",L48=""),"",IF(AND(J48&lt;=EOMONTH(V$4,0),L48&gt;=V$4),1,""))</f>
        <v/>
      </c>
      <c r="W48" s="26">
        <f>IF(OR(J48="",L48=""),"",IF(AND(J48&lt;=EOMONTH(W$4,0),L48&gt;=W$4),1,""))</f>
        <v/>
      </c>
      <c r="X48" s="26">
        <f>IF(OR(J48="",L48=""),"",IF(AND(J48&lt;=EOMONTH(X$4,0),L48&gt;=X$4),1,""))</f>
        <v/>
      </c>
      <c r="Y48" s="26">
        <f>IF(OR(J48="",L48=""),"",IF(AND(J48&lt;=EOMONTH(Y$4,0),L48&gt;=Y$4),1,""))</f>
        <v/>
      </c>
      <c r="Z48" s="26">
        <f>IF(OR(J48="",L48=""),"",IF(AND(J48&lt;=EOMONTH(Z$4,0),L48&gt;=Z$4),1,""))</f>
        <v/>
      </c>
      <c r="AA48" s="26">
        <f>IF(OR(J48="",L48=""),"",IF(AND(J48&lt;=EOMONTH(AA$4,0),L48&gt;=AA$4),1,""))</f>
        <v/>
      </c>
      <c r="AB48" s="26">
        <f>IF(OR(J48="",L48=""),"",IF(AND(J48&lt;=EOMONTH(AB$4,0),L48&gt;=AB$4),1,""))</f>
        <v/>
      </c>
      <c r="AC48" s="26">
        <f>IF(OR(J48="",L48=""),"",IF(AND(J48&lt;=EOMONTH(AC$4,0),L48&gt;=AC$4),1,""))</f>
        <v/>
      </c>
      <c r="AD48" s="26">
        <f>IF(OR(J48="",L48=""),"",IF(AND(J48&lt;=EOMONTH(AD$4,0),L48&gt;=AD$4),1,""))</f>
        <v/>
      </c>
      <c r="AE48" s="26">
        <f>IF(OR(J48="",L48=""),"",IF(AND(J48&lt;=EOMONTH(AE$4,0),L48&gt;=AE$4),1,""))</f>
        <v/>
      </c>
      <c r="AF48" s="26">
        <f>IF(OR(J48="",L48=""),"",IF(AND(J48&lt;=EOMONTH(AF$4,0),L48&gt;=AF$4),1,""))</f>
        <v/>
      </c>
      <c r="AG48" s="26">
        <f>IF(OR(J48="",L48=""),"",IF(AND(J48&lt;=EOMONTH(AG$4,0),L48&gt;=AG$4),1,""))</f>
        <v/>
      </c>
      <c r="AH48" s="26">
        <f>IF(OR(J48="",L48=""),"",IF(AND(J48&lt;=EOMONTH(AH$4,0),L48&gt;=AH$4),1,""))</f>
        <v/>
      </c>
      <c r="AI48" s="26">
        <f>IF(OR(J48="",L48=""),"",IF(AND(J48&lt;=EOMONTH(AI$4,0),L48&gt;=AI$4),1,""))</f>
        <v/>
      </c>
      <c r="AJ48" s="26">
        <f>IF(OR(J48="",L48=""),"",IF(AND(J48&lt;=EOMONTH(AJ$4,0),L48&gt;=AJ$4),1,""))</f>
        <v/>
      </c>
      <c r="AK48" s="26">
        <f>IF(OR(J48="",L48=""),"",IF(AND(J48&lt;=EOMONTH(AK$4,0),L48&gt;=AK$4),1,""))</f>
        <v/>
      </c>
      <c r="AL48" s="26">
        <f>IF(OR(J48="",L48=""),"",IF(AND(J48&lt;=EOMONTH(AL$4,0),L48&gt;=AL$4),1,""))</f>
        <v/>
      </c>
      <c r="AM48" s="26">
        <f>IF(OR(J48="",L48=""),"",IF(AND(J48&lt;=EOMONTH(AM$4,0),L48&gt;=AM$4),1,""))</f>
        <v/>
      </c>
      <c r="AN48" s="26">
        <f>IF(OR(J48="",L48=""),"",IF(AND(J48&lt;=EOMONTH(AN$4,0),L48&gt;=AN$4),1,""))</f>
        <v/>
      </c>
      <c r="AO48" s="26">
        <f>IF(OR(J48="",L48=""),"",IF(AND(J48&lt;=EOMONTH(AO$4,0),L48&gt;=AO$4),1,""))</f>
        <v/>
      </c>
      <c r="AP48" s="26">
        <f>IF(OR(J48="",L48=""),"",IF(AND(J48&lt;=EOMONTH(AP$4,0),L48&gt;=AP$4),1,""))</f>
        <v/>
      </c>
      <c r="AQ48" s="26">
        <f>IF(OR(J48="",L48=""),"",IF(AND(J48&lt;=EOMONTH(AQ$4,0),L48&gt;=AQ$4),1,""))</f>
        <v/>
      </c>
      <c r="AR48" s="26">
        <f>IF(OR(J48="",L48=""),"",IF(AND(J48&lt;=EOMONTH(AR$4,0),L48&gt;=AR$4),1,""))</f>
        <v/>
      </c>
      <c r="AS48" s="26">
        <f>IF(OR(J48="",L48=""),"",IF(AND(J48&lt;=EOMONTH(AS$4,0),L48&gt;=AS$4),1,""))</f>
        <v/>
      </c>
      <c r="AT48" s="26">
        <f>IF(OR(J48="",L48=""),"",IF(AND(J48&lt;=EOMONTH(AT$4,0),L48&gt;=AT$4),1,""))</f>
        <v/>
      </c>
      <c r="AU48" s="26">
        <f>IF(OR(J48="",L48=""),"",IF(AND(J48&lt;=EOMONTH(AU$4,0),L48&gt;=AU$4),1,""))</f>
        <v/>
      </c>
      <c r="AV48" s="26">
        <f>IF(OR(J48="",L48=""),"",IF(AND(J48&lt;=EOMONTH(AV$4,0),L48&gt;=AV$4),1,""))</f>
        <v/>
      </c>
      <c r="AW48" s="26">
        <f>IF(OR(J48="",L48=""),"",IF(AND(J48&lt;=EOMONTH(AW$4,0),L48&gt;=AW$4),1,""))</f>
        <v/>
      </c>
      <c r="AX48" s="26">
        <f>IF(OR(J48="",L48=""),"",IF(AND(J48&lt;=EOMONTH(AX$4,0),L48&gt;=AX$4),1,""))</f>
        <v/>
      </c>
      <c r="AY48" s="26">
        <f>IF(OR(J48="",L48=""),"",IF(AND(J48&lt;=EOMONTH(AY$4,0),L48&gt;=AY$4),1,""))</f>
        <v/>
      </c>
      <c r="AZ48" s="26">
        <f>IF(OR(J48="",L48=""),"",IF(AND(J48&lt;=EOMONTH(AZ$4,0),L48&gt;=AZ$4),1,""))</f>
        <v/>
      </c>
      <c r="BA48" s="26">
        <f>IF(OR(J48="",L48=""),"",IF(AND(J48&lt;=EOMONTH(BA$4,0),L48&gt;=BA$4),1,""))</f>
        <v/>
      </c>
      <c r="BB48" s="26">
        <f>IF(OR(J48="",L48=""),"",IF(AND(J48&lt;=EOMONTH(BB$4,0),L48&gt;=BB$4),1,""))</f>
        <v/>
      </c>
    </row>
    <row r="49">
      <c r="A49" s="27" t="n"/>
      <c r="B49" s="28" t="n"/>
      <c r="C49" s="29" t="n"/>
      <c r="D49" s="30">
        <f>IF(E49="","","CWA-"&amp;MID(E49,5,4))</f>
        <v/>
      </c>
      <c r="E49" s="29" t="n"/>
      <c r="F49" s="31" t="n"/>
      <c r="G49" s="29" t="n"/>
      <c r="H49" s="28" t="n"/>
      <c r="I49" s="29" t="n"/>
      <c r="J49" s="32" t="n"/>
      <c r="K49" s="28" t="n"/>
      <c r="L49" s="33">
        <f>IF(OR(J49="",K49=""),"",J49+7*K49-1)</f>
        <v/>
      </c>
      <c r="M49" s="33">
        <f>IF(J49="","",J49-7*$E$3)</f>
        <v/>
      </c>
      <c r="N49" s="33">
        <f>IF(J49="","",J49-7*$H$3)</f>
        <v/>
      </c>
      <c r="O49" s="33">
        <f>IF(J49="","",J49-1*$K$3)</f>
        <v/>
      </c>
      <c r="P49" s="30">
        <f>IF(OR(E49="",I49="",I49="—"),IF(E49="","","OK"),IFERROR(IF(INDEX($L$6:$L$155,MATCH(I49,$E$6:$E$155,0))&gt;=J49,"Conflicto con predecesor","OK"),"Predecesor no encontrado"))</f>
        <v/>
      </c>
      <c r="Q49" s="29" t="n"/>
      <c r="R49" s="31" t="n"/>
      <c r="S49" s="26">
        <f>IF(OR(J49="",L49=""),"",IF(AND(J49&lt;=EOMONTH(S$4,0),L49&gt;=S$4),1,""))</f>
        <v/>
      </c>
      <c r="T49" s="26">
        <f>IF(OR(J49="",L49=""),"",IF(AND(J49&lt;=EOMONTH(T$4,0),L49&gt;=T$4),1,""))</f>
        <v/>
      </c>
      <c r="U49" s="26">
        <f>IF(OR(J49="",L49=""),"",IF(AND(J49&lt;=EOMONTH(U$4,0),L49&gt;=U$4),1,""))</f>
        <v/>
      </c>
      <c r="V49" s="26">
        <f>IF(OR(J49="",L49=""),"",IF(AND(J49&lt;=EOMONTH(V$4,0),L49&gt;=V$4),1,""))</f>
        <v/>
      </c>
      <c r="W49" s="26">
        <f>IF(OR(J49="",L49=""),"",IF(AND(J49&lt;=EOMONTH(W$4,0),L49&gt;=W$4),1,""))</f>
        <v/>
      </c>
      <c r="X49" s="26">
        <f>IF(OR(J49="",L49=""),"",IF(AND(J49&lt;=EOMONTH(X$4,0),L49&gt;=X$4),1,""))</f>
        <v/>
      </c>
      <c r="Y49" s="26">
        <f>IF(OR(J49="",L49=""),"",IF(AND(J49&lt;=EOMONTH(Y$4,0),L49&gt;=Y$4),1,""))</f>
        <v/>
      </c>
      <c r="Z49" s="26">
        <f>IF(OR(J49="",L49=""),"",IF(AND(J49&lt;=EOMONTH(Z$4,0),L49&gt;=Z$4),1,""))</f>
        <v/>
      </c>
      <c r="AA49" s="26">
        <f>IF(OR(J49="",L49=""),"",IF(AND(J49&lt;=EOMONTH(AA$4,0),L49&gt;=AA$4),1,""))</f>
        <v/>
      </c>
      <c r="AB49" s="26">
        <f>IF(OR(J49="",L49=""),"",IF(AND(J49&lt;=EOMONTH(AB$4,0),L49&gt;=AB$4),1,""))</f>
        <v/>
      </c>
      <c r="AC49" s="26">
        <f>IF(OR(J49="",L49=""),"",IF(AND(J49&lt;=EOMONTH(AC$4,0),L49&gt;=AC$4),1,""))</f>
        <v/>
      </c>
      <c r="AD49" s="26">
        <f>IF(OR(J49="",L49=""),"",IF(AND(J49&lt;=EOMONTH(AD$4,0),L49&gt;=AD$4),1,""))</f>
        <v/>
      </c>
      <c r="AE49" s="26">
        <f>IF(OR(J49="",L49=""),"",IF(AND(J49&lt;=EOMONTH(AE$4,0),L49&gt;=AE$4),1,""))</f>
        <v/>
      </c>
      <c r="AF49" s="26">
        <f>IF(OR(J49="",L49=""),"",IF(AND(J49&lt;=EOMONTH(AF$4,0),L49&gt;=AF$4),1,""))</f>
        <v/>
      </c>
      <c r="AG49" s="26">
        <f>IF(OR(J49="",L49=""),"",IF(AND(J49&lt;=EOMONTH(AG$4,0),L49&gt;=AG$4),1,""))</f>
        <v/>
      </c>
      <c r="AH49" s="26">
        <f>IF(OR(J49="",L49=""),"",IF(AND(J49&lt;=EOMONTH(AH$4,0),L49&gt;=AH$4),1,""))</f>
        <v/>
      </c>
      <c r="AI49" s="26">
        <f>IF(OR(J49="",L49=""),"",IF(AND(J49&lt;=EOMONTH(AI$4,0),L49&gt;=AI$4),1,""))</f>
        <v/>
      </c>
      <c r="AJ49" s="26">
        <f>IF(OR(J49="",L49=""),"",IF(AND(J49&lt;=EOMONTH(AJ$4,0),L49&gt;=AJ$4),1,""))</f>
        <v/>
      </c>
      <c r="AK49" s="26">
        <f>IF(OR(J49="",L49=""),"",IF(AND(J49&lt;=EOMONTH(AK$4,0),L49&gt;=AK$4),1,""))</f>
        <v/>
      </c>
      <c r="AL49" s="26">
        <f>IF(OR(J49="",L49=""),"",IF(AND(J49&lt;=EOMONTH(AL$4,0),L49&gt;=AL$4),1,""))</f>
        <v/>
      </c>
      <c r="AM49" s="26">
        <f>IF(OR(J49="",L49=""),"",IF(AND(J49&lt;=EOMONTH(AM$4,0),L49&gt;=AM$4),1,""))</f>
        <v/>
      </c>
      <c r="AN49" s="26">
        <f>IF(OR(J49="",L49=""),"",IF(AND(J49&lt;=EOMONTH(AN$4,0),L49&gt;=AN$4),1,""))</f>
        <v/>
      </c>
      <c r="AO49" s="26">
        <f>IF(OR(J49="",L49=""),"",IF(AND(J49&lt;=EOMONTH(AO$4,0),L49&gt;=AO$4),1,""))</f>
        <v/>
      </c>
      <c r="AP49" s="26">
        <f>IF(OR(J49="",L49=""),"",IF(AND(J49&lt;=EOMONTH(AP$4,0),L49&gt;=AP$4),1,""))</f>
        <v/>
      </c>
      <c r="AQ49" s="26">
        <f>IF(OR(J49="",L49=""),"",IF(AND(J49&lt;=EOMONTH(AQ$4,0),L49&gt;=AQ$4),1,""))</f>
        <v/>
      </c>
      <c r="AR49" s="26">
        <f>IF(OR(J49="",L49=""),"",IF(AND(J49&lt;=EOMONTH(AR$4,0),L49&gt;=AR$4),1,""))</f>
        <v/>
      </c>
      <c r="AS49" s="26">
        <f>IF(OR(J49="",L49=""),"",IF(AND(J49&lt;=EOMONTH(AS$4,0),L49&gt;=AS$4),1,""))</f>
        <v/>
      </c>
      <c r="AT49" s="26">
        <f>IF(OR(J49="",L49=""),"",IF(AND(J49&lt;=EOMONTH(AT$4,0),L49&gt;=AT$4),1,""))</f>
        <v/>
      </c>
      <c r="AU49" s="26">
        <f>IF(OR(J49="",L49=""),"",IF(AND(J49&lt;=EOMONTH(AU$4,0),L49&gt;=AU$4),1,""))</f>
        <v/>
      </c>
      <c r="AV49" s="26">
        <f>IF(OR(J49="",L49=""),"",IF(AND(J49&lt;=EOMONTH(AV$4,0),L49&gt;=AV$4),1,""))</f>
        <v/>
      </c>
      <c r="AW49" s="26">
        <f>IF(OR(J49="",L49=""),"",IF(AND(J49&lt;=EOMONTH(AW$4,0),L49&gt;=AW$4),1,""))</f>
        <v/>
      </c>
      <c r="AX49" s="26">
        <f>IF(OR(J49="",L49=""),"",IF(AND(J49&lt;=EOMONTH(AX$4,0),L49&gt;=AX$4),1,""))</f>
        <v/>
      </c>
      <c r="AY49" s="26">
        <f>IF(OR(J49="",L49=""),"",IF(AND(J49&lt;=EOMONTH(AY$4,0),L49&gt;=AY$4),1,""))</f>
        <v/>
      </c>
      <c r="AZ49" s="26">
        <f>IF(OR(J49="",L49=""),"",IF(AND(J49&lt;=EOMONTH(AZ$4,0),L49&gt;=AZ$4),1,""))</f>
        <v/>
      </c>
      <c r="BA49" s="26">
        <f>IF(OR(J49="",L49=""),"",IF(AND(J49&lt;=EOMONTH(BA$4,0),L49&gt;=BA$4),1,""))</f>
        <v/>
      </c>
      <c r="BB49" s="26">
        <f>IF(OR(J49="",L49=""),"",IF(AND(J49&lt;=EOMONTH(BB$4,0),L49&gt;=BB$4),1,""))</f>
        <v/>
      </c>
    </row>
    <row r="50">
      <c r="A50" s="27" t="n"/>
      <c r="B50" s="28" t="n"/>
      <c r="C50" s="29" t="n"/>
      <c r="D50" s="30">
        <f>IF(E50="","","CWA-"&amp;MID(E50,5,4))</f>
        <v/>
      </c>
      <c r="E50" s="29" t="n"/>
      <c r="F50" s="31" t="n"/>
      <c r="G50" s="29" t="n"/>
      <c r="H50" s="28" t="n"/>
      <c r="I50" s="29" t="n"/>
      <c r="J50" s="32" t="n"/>
      <c r="K50" s="28" t="n"/>
      <c r="L50" s="33">
        <f>IF(OR(J50="",K50=""),"",J50+7*K50-1)</f>
        <v/>
      </c>
      <c r="M50" s="33">
        <f>IF(J50="","",J50-7*$E$3)</f>
        <v/>
      </c>
      <c r="N50" s="33">
        <f>IF(J50="","",J50-7*$H$3)</f>
        <v/>
      </c>
      <c r="O50" s="33">
        <f>IF(J50="","",J50-1*$K$3)</f>
        <v/>
      </c>
      <c r="P50" s="30">
        <f>IF(OR(E50="",I50="",I50="—"),IF(E50="","","OK"),IFERROR(IF(INDEX($L$6:$L$155,MATCH(I50,$E$6:$E$155,0))&gt;=J50,"Conflicto con predecesor","OK"),"Predecesor no encontrado"))</f>
        <v/>
      </c>
      <c r="Q50" s="29" t="n"/>
      <c r="R50" s="31" t="n"/>
      <c r="S50" s="26">
        <f>IF(OR(J50="",L50=""),"",IF(AND(J50&lt;=EOMONTH(S$4,0),L50&gt;=S$4),1,""))</f>
        <v/>
      </c>
      <c r="T50" s="26">
        <f>IF(OR(J50="",L50=""),"",IF(AND(J50&lt;=EOMONTH(T$4,0),L50&gt;=T$4),1,""))</f>
        <v/>
      </c>
      <c r="U50" s="26">
        <f>IF(OR(J50="",L50=""),"",IF(AND(J50&lt;=EOMONTH(U$4,0),L50&gt;=U$4),1,""))</f>
        <v/>
      </c>
      <c r="V50" s="26">
        <f>IF(OR(J50="",L50=""),"",IF(AND(J50&lt;=EOMONTH(V$4,0),L50&gt;=V$4),1,""))</f>
        <v/>
      </c>
      <c r="W50" s="26">
        <f>IF(OR(J50="",L50=""),"",IF(AND(J50&lt;=EOMONTH(W$4,0),L50&gt;=W$4),1,""))</f>
        <v/>
      </c>
      <c r="X50" s="26">
        <f>IF(OR(J50="",L50=""),"",IF(AND(J50&lt;=EOMONTH(X$4,0),L50&gt;=X$4),1,""))</f>
        <v/>
      </c>
      <c r="Y50" s="26">
        <f>IF(OR(J50="",L50=""),"",IF(AND(J50&lt;=EOMONTH(Y$4,0),L50&gt;=Y$4),1,""))</f>
        <v/>
      </c>
      <c r="Z50" s="26">
        <f>IF(OR(J50="",L50=""),"",IF(AND(J50&lt;=EOMONTH(Z$4,0),L50&gt;=Z$4),1,""))</f>
        <v/>
      </c>
      <c r="AA50" s="26">
        <f>IF(OR(J50="",L50=""),"",IF(AND(J50&lt;=EOMONTH(AA$4,0),L50&gt;=AA$4),1,""))</f>
        <v/>
      </c>
      <c r="AB50" s="26">
        <f>IF(OR(J50="",L50=""),"",IF(AND(J50&lt;=EOMONTH(AB$4,0),L50&gt;=AB$4),1,""))</f>
        <v/>
      </c>
      <c r="AC50" s="26">
        <f>IF(OR(J50="",L50=""),"",IF(AND(J50&lt;=EOMONTH(AC$4,0),L50&gt;=AC$4),1,""))</f>
        <v/>
      </c>
      <c r="AD50" s="26">
        <f>IF(OR(J50="",L50=""),"",IF(AND(J50&lt;=EOMONTH(AD$4,0),L50&gt;=AD$4),1,""))</f>
        <v/>
      </c>
      <c r="AE50" s="26">
        <f>IF(OR(J50="",L50=""),"",IF(AND(J50&lt;=EOMONTH(AE$4,0),L50&gt;=AE$4),1,""))</f>
        <v/>
      </c>
      <c r="AF50" s="26">
        <f>IF(OR(J50="",L50=""),"",IF(AND(J50&lt;=EOMONTH(AF$4,0),L50&gt;=AF$4),1,""))</f>
        <v/>
      </c>
      <c r="AG50" s="26">
        <f>IF(OR(J50="",L50=""),"",IF(AND(J50&lt;=EOMONTH(AG$4,0),L50&gt;=AG$4),1,""))</f>
        <v/>
      </c>
      <c r="AH50" s="26">
        <f>IF(OR(J50="",L50=""),"",IF(AND(J50&lt;=EOMONTH(AH$4,0),L50&gt;=AH$4),1,""))</f>
        <v/>
      </c>
      <c r="AI50" s="26">
        <f>IF(OR(J50="",L50=""),"",IF(AND(J50&lt;=EOMONTH(AI$4,0),L50&gt;=AI$4),1,""))</f>
        <v/>
      </c>
      <c r="AJ50" s="26">
        <f>IF(OR(J50="",L50=""),"",IF(AND(J50&lt;=EOMONTH(AJ$4,0),L50&gt;=AJ$4),1,""))</f>
        <v/>
      </c>
      <c r="AK50" s="26">
        <f>IF(OR(J50="",L50=""),"",IF(AND(J50&lt;=EOMONTH(AK$4,0),L50&gt;=AK$4),1,""))</f>
        <v/>
      </c>
      <c r="AL50" s="26">
        <f>IF(OR(J50="",L50=""),"",IF(AND(J50&lt;=EOMONTH(AL$4,0),L50&gt;=AL$4),1,""))</f>
        <v/>
      </c>
      <c r="AM50" s="26">
        <f>IF(OR(J50="",L50=""),"",IF(AND(J50&lt;=EOMONTH(AM$4,0),L50&gt;=AM$4),1,""))</f>
        <v/>
      </c>
      <c r="AN50" s="26">
        <f>IF(OR(J50="",L50=""),"",IF(AND(J50&lt;=EOMONTH(AN$4,0),L50&gt;=AN$4),1,""))</f>
        <v/>
      </c>
      <c r="AO50" s="26">
        <f>IF(OR(J50="",L50=""),"",IF(AND(J50&lt;=EOMONTH(AO$4,0),L50&gt;=AO$4),1,""))</f>
        <v/>
      </c>
      <c r="AP50" s="26">
        <f>IF(OR(J50="",L50=""),"",IF(AND(J50&lt;=EOMONTH(AP$4,0),L50&gt;=AP$4),1,""))</f>
        <v/>
      </c>
      <c r="AQ50" s="26">
        <f>IF(OR(J50="",L50=""),"",IF(AND(J50&lt;=EOMONTH(AQ$4,0),L50&gt;=AQ$4),1,""))</f>
        <v/>
      </c>
      <c r="AR50" s="26">
        <f>IF(OR(J50="",L50=""),"",IF(AND(J50&lt;=EOMONTH(AR$4,0),L50&gt;=AR$4),1,""))</f>
        <v/>
      </c>
      <c r="AS50" s="26">
        <f>IF(OR(J50="",L50=""),"",IF(AND(J50&lt;=EOMONTH(AS$4,0),L50&gt;=AS$4),1,""))</f>
        <v/>
      </c>
      <c r="AT50" s="26">
        <f>IF(OR(J50="",L50=""),"",IF(AND(J50&lt;=EOMONTH(AT$4,0),L50&gt;=AT$4),1,""))</f>
        <v/>
      </c>
      <c r="AU50" s="26">
        <f>IF(OR(J50="",L50=""),"",IF(AND(J50&lt;=EOMONTH(AU$4,0),L50&gt;=AU$4),1,""))</f>
        <v/>
      </c>
      <c r="AV50" s="26">
        <f>IF(OR(J50="",L50=""),"",IF(AND(J50&lt;=EOMONTH(AV$4,0),L50&gt;=AV$4),1,""))</f>
        <v/>
      </c>
      <c r="AW50" s="26">
        <f>IF(OR(J50="",L50=""),"",IF(AND(J50&lt;=EOMONTH(AW$4,0),L50&gt;=AW$4),1,""))</f>
        <v/>
      </c>
      <c r="AX50" s="26">
        <f>IF(OR(J50="",L50=""),"",IF(AND(J50&lt;=EOMONTH(AX$4,0),L50&gt;=AX$4),1,""))</f>
        <v/>
      </c>
      <c r="AY50" s="26">
        <f>IF(OR(J50="",L50=""),"",IF(AND(J50&lt;=EOMONTH(AY$4,0),L50&gt;=AY$4),1,""))</f>
        <v/>
      </c>
      <c r="AZ50" s="26">
        <f>IF(OR(J50="",L50=""),"",IF(AND(J50&lt;=EOMONTH(AZ$4,0),L50&gt;=AZ$4),1,""))</f>
        <v/>
      </c>
      <c r="BA50" s="26">
        <f>IF(OR(J50="",L50=""),"",IF(AND(J50&lt;=EOMONTH(BA$4,0),L50&gt;=BA$4),1,""))</f>
        <v/>
      </c>
      <c r="BB50" s="26">
        <f>IF(OR(J50="",L50=""),"",IF(AND(J50&lt;=EOMONTH(BB$4,0),L50&gt;=BB$4),1,""))</f>
        <v/>
      </c>
    </row>
    <row r="51">
      <c r="A51" s="27" t="n"/>
      <c r="B51" s="28" t="n"/>
      <c r="C51" s="29" t="n"/>
      <c r="D51" s="30">
        <f>IF(E51="","","CWA-"&amp;MID(E51,5,4))</f>
        <v/>
      </c>
      <c r="E51" s="29" t="n"/>
      <c r="F51" s="31" t="n"/>
      <c r="G51" s="29" t="n"/>
      <c r="H51" s="28" t="n"/>
      <c r="I51" s="29" t="n"/>
      <c r="J51" s="32" t="n"/>
      <c r="K51" s="28" t="n"/>
      <c r="L51" s="33">
        <f>IF(OR(J51="",K51=""),"",J51+7*K51-1)</f>
        <v/>
      </c>
      <c r="M51" s="33">
        <f>IF(J51="","",J51-7*$E$3)</f>
        <v/>
      </c>
      <c r="N51" s="33">
        <f>IF(J51="","",J51-7*$H$3)</f>
        <v/>
      </c>
      <c r="O51" s="33">
        <f>IF(J51="","",J51-1*$K$3)</f>
        <v/>
      </c>
      <c r="P51" s="30">
        <f>IF(OR(E51="",I51="",I51="—"),IF(E51="","","OK"),IFERROR(IF(INDEX($L$6:$L$155,MATCH(I51,$E$6:$E$155,0))&gt;=J51,"Conflicto con predecesor","OK"),"Predecesor no encontrado"))</f>
        <v/>
      </c>
      <c r="Q51" s="29" t="n"/>
      <c r="R51" s="31" t="n"/>
      <c r="S51" s="26">
        <f>IF(OR(J51="",L51=""),"",IF(AND(J51&lt;=EOMONTH(S$4,0),L51&gt;=S$4),1,""))</f>
        <v/>
      </c>
      <c r="T51" s="26">
        <f>IF(OR(J51="",L51=""),"",IF(AND(J51&lt;=EOMONTH(T$4,0),L51&gt;=T$4),1,""))</f>
        <v/>
      </c>
      <c r="U51" s="26">
        <f>IF(OR(J51="",L51=""),"",IF(AND(J51&lt;=EOMONTH(U$4,0),L51&gt;=U$4),1,""))</f>
        <v/>
      </c>
      <c r="V51" s="26">
        <f>IF(OR(J51="",L51=""),"",IF(AND(J51&lt;=EOMONTH(V$4,0),L51&gt;=V$4),1,""))</f>
        <v/>
      </c>
      <c r="W51" s="26">
        <f>IF(OR(J51="",L51=""),"",IF(AND(J51&lt;=EOMONTH(W$4,0),L51&gt;=W$4),1,""))</f>
        <v/>
      </c>
      <c r="X51" s="26">
        <f>IF(OR(J51="",L51=""),"",IF(AND(J51&lt;=EOMONTH(X$4,0),L51&gt;=X$4),1,""))</f>
        <v/>
      </c>
      <c r="Y51" s="26">
        <f>IF(OR(J51="",L51=""),"",IF(AND(J51&lt;=EOMONTH(Y$4,0),L51&gt;=Y$4),1,""))</f>
        <v/>
      </c>
      <c r="Z51" s="26">
        <f>IF(OR(J51="",L51=""),"",IF(AND(J51&lt;=EOMONTH(Z$4,0),L51&gt;=Z$4),1,""))</f>
        <v/>
      </c>
      <c r="AA51" s="26">
        <f>IF(OR(J51="",L51=""),"",IF(AND(J51&lt;=EOMONTH(AA$4,0),L51&gt;=AA$4),1,""))</f>
        <v/>
      </c>
      <c r="AB51" s="26">
        <f>IF(OR(J51="",L51=""),"",IF(AND(J51&lt;=EOMONTH(AB$4,0),L51&gt;=AB$4),1,""))</f>
        <v/>
      </c>
      <c r="AC51" s="26">
        <f>IF(OR(J51="",L51=""),"",IF(AND(J51&lt;=EOMONTH(AC$4,0),L51&gt;=AC$4),1,""))</f>
        <v/>
      </c>
      <c r="AD51" s="26">
        <f>IF(OR(J51="",L51=""),"",IF(AND(J51&lt;=EOMONTH(AD$4,0),L51&gt;=AD$4),1,""))</f>
        <v/>
      </c>
      <c r="AE51" s="26">
        <f>IF(OR(J51="",L51=""),"",IF(AND(J51&lt;=EOMONTH(AE$4,0),L51&gt;=AE$4),1,""))</f>
        <v/>
      </c>
      <c r="AF51" s="26">
        <f>IF(OR(J51="",L51=""),"",IF(AND(J51&lt;=EOMONTH(AF$4,0),L51&gt;=AF$4),1,""))</f>
        <v/>
      </c>
      <c r="AG51" s="26">
        <f>IF(OR(J51="",L51=""),"",IF(AND(J51&lt;=EOMONTH(AG$4,0),L51&gt;=AG$4),1,""))</f>
        <v/>
      </c>
      <c r="AH51" s="26">
        <f>IF(OR(J51="",L51=""),"",IF(AND(J51&lt;=EOMONTH(AH$4,0),L51&gt;=AH$4),1,""))</f>
        <v/>
      </c>
      <c r="AI51" s="26">
        <f>IF(OR(J51="",L51=""),"",IF(AND(J51&lt;=EOMONTH(AI$4,0),L51&gt;=AI$4),1,""))</f>
        <v/>
      </c>
      <c r="AJ51" s="26">
        <f>IF(OR(J51="",L51=""),"",IF(AND(J51&lt;=EOMONTH(AJ$4,0),L51&gt;=AJ$4),1,""))</f>
        <v/>
      </c>
      <c r="AK51" s="26">
        <f>IF(OR(J51="",L51=""),"",IF(AND(J51&lt;=EOMONTH(AK$4,0),L51&gt;=AK$4),1,""))</f>
        <v/>
      </c>
      <c r="AL51" s="26">
        <f>IF(OR(J51="",L51=""),"",IF(AND(J51&lt;=EOMONTH(AL$4,0),L51&gt;=AL$4),1,""))</f>
        <v/>
      </c>
      <c r="AM51" s="26">
        <f>IF(OR(J51="",L51=""),"",IF(AND(J51&lt;=EOMONTH(AM$4,0),L51&gt;=AM$4),1,""))</f>
        <v/>
      </c>
      <c r="AN51" s="26">
        <f>IF(OR(J51="",L51=""),"",IF(AND(J51&lt;=EOMONTH(AN$4,0),L51&gt;=AN$4),1,""))</f>
        <v/>
      </c>
      <c r="AO51" s="26">
        <f>IF(OR(J51="",L51=""),"",IF(AND(J51&lt;=EOMONTH(AO$4,0),L51&gt;=AO$4),1,""))</f>
        <v/>
      </c>
      <c r="AP51" s="26">
        <f>IF(OR(J51="",L51=""),"",IF(AND(J51&lt;=EOMONTH(AP$4,0),L51&gt;=AP$4),1,""))</f>
        <v/>
      </c>
      <c r="AQ51" s="26">
        <f>IF(OR(J51="",L51=""),"",IF(AND(J51&lt;=EOMONTH(AQ$4,0),L51&gt;=AQ$4),1,""))</f>
        <v/>
      </c>
      <c r="AR51" s="26">
        <f>IF(OR(J51="",L51=""),"",IF(AND(J51&lt;=EOMONTH(AR$4,0),L51&gt;=AR$4),1,""))</f>
        <v/>
      </c>
      <c r="AS51" s="26">
        <f>IF(OR(J51="",L51=""),"",IF(AND(J51&lt;=EOMONTH(AS$4,0),L51&gt;=AS$4),1,""))</f>
        <v/>
      </c>
      <c r="AT51" s="26">
        <f>IF(OR(J51="",L51=""),"",IF(AND(J51&lt;=EOMONTH(AT$4,0),L51&gt;=AT$4),1,""))</f>
        <v/>
      </c>
      <c r="AU51" s="26">
        <f>IF(OR(J51="",L51=""),"",IF(AND(J51&lt;=EOMONTH(AU$4,0),L51&gt;=AU$4),1,""))</f>
        <v/>
      </c>
      <c r="AV51" s="26">
        <f>IF(OR(J51="",L51=""),"",IF(AND(J51&lt;=EOMONTH(AV$4,0),L51&gt;=AV$4),1,""))</f>
        <v/>
      </c>
      <c r="AW51" s="26">
        <f>IF(OR(J51="",L51=""),"",IF(AND(J51&lt;=EOMONTH(AW$4,0),L51&gt;=AW$4),1,""))</f>
        <v/>
      </c>
      <c r="AX51" s="26">
        <f>IF(OR(J51="",L51=""),"",IF(AND(J51&lt;=EOMONTH(AX$4,0),L51&gt;=AX$4),1,""))</f>
        <v/>
      </c>
      <c r="AY51" s="26">
        <f>IF(OR(J51="",L51=""),"",IF(AND(J51&lt;=EOMONTH(AY$4,0),L51&gt;=AY$4),1,""))</f>
        <v/>
      </c>
      <c r="AZ51" s="26">
        <f>IF(OR(J51="",L51=""),"",IF(AND(J51&lt;=EOMONTH(AZ$4,0),L51&gt;=AZ$4),1,""))</f>
        <v/>
      </c>
      <c r="BA51" s="26">
        <f>IF(OR(J51="",L51=""),"",IF(AND(J51&lt;=EOMONTH(BA$4,0),L51&gt;=BA$4),1,""))</f>
        <v/>
      </c>
      <c r="BB51" s="26">
        <f>IF(OR(J51="",L51=""),"",IF(AND(J51&lt;=EOMONTH(BB$4,0),L51&gt;=BB$4),1,""))</f>
        <v/>
      </c>
    </row>
    <row r="52">
      <c r="A52" s="27" t="n"/>
      <c r="B52" s="28" t="n"/>
      <c r="C52" s="29" t="n"/>
      <c r="D52" s="30">
        <f>IF(E52="","","CWA-"&amp;MID(E52,5,4))</f>
        <v/>
      </c>
      <c r="E52" s="29" t="n"/>
      <c r="F52" s="31" t="n"/>
      <c r="G52" s="29" t="n"/>
      <c r="H52" s="28" t="n"/>
      <c r="I52" s="29" t="n"/>
      <c r="J52" s="32" t="n"/>
      <c r="K52" s="28" t="n"/>
      <c r="L52" s="33">
        <f>IF(OR(J52="",K52=""),"",J52+7*K52-1)</f>
        <v/>
      </c>
      <c r="M52" s="33">
        <f>IF(J52="","",J52-7*$E$3)</f>
        <v/>
      </c>
      <c r="N52" s="33">
        <f>IF(J52="","",J52-7*$H$3)</f>
        <v/>
      </c>
      <c r="O52" s="33">
        <f>IF(J52="","",J52-1*$K$3)</f>
        <v/>
      </c>
      <c r="P52" s="30">
        <f>IF(OR(E52="",I52="",I52="—"),IF(E52="","","OK"),IFERROR(IF(INDEX($L$6:$L$155,MATCH(I52,$E$6:$E$155,0))&gt;=J52,"Conflicto con predecesor","OK"),"Predecesor no encontrado"))</f>
        <v/>
      </c>
      <c r="Q52" s="29" t="n"/>
      <c r="R52" s="31" t="n"/>
      <c r="S52" s="26">
        <f>IF(OR(J52="",L52=""),"",IF(AND(J52&lt;=EOMONTH(S$4,0),L52&gt;=S$4),1,""))</f>
        <v/>
      </c>
      <c r="T52" s="26">
        <f>IF(OR(J52="",L52=""),"",IF(AND(J52&lt;=EOMONTH(T$4,0),L52&gt;=T$4),1,""))</f>
        <v/>
      </c>
      <c r="U52" s="26">
        <f>IF(OR(J52="",L52=""),"",IF(AND(J52&lt;=EOMONTH(U$4,0),L52&gt;=U$4),1,""))</f>
        <v/>
      </c>
      <c r="V52" s="26">
        <f>IF(OR(J52="",L52=""),"",IF(AND(J52&lt;=EOMONTH(V$4,0),L52&gt;=V$4),1,""))</f>
        <v/>
      </c>
      <c r="W52" s="26">
        <f>IF(OR(J52="",L52=""),"",IF(AND(J52&lt;=EOMONTH(W$4,0),L52&gt;=W$4),1,""))</f>
        <v/>
      </c>
      <c r="X52" s="26">
        <f>IF(OR(J52="",L52=""),"",IF(AND(J52&lt;=EOMONTH(X$4,0),L52&gt;=X$4),1,""))</f>
        <v/>
      </c>
      <c r="Y52" s="26">
        <f>IF(OR(J52="",L52=""),"",IF(AND(J52&lt;=EOMONTH(Y$4,0),L52&gt;=Y$4),1,""))</f>
        <v/>
      </c>
      <c r="Z52" s="26">
        <f>IF(OR(J52="",L52=""),"",IF(AND(J52&lt;=EOMONTH(Z$4,0),L52&gt;=Z$4),1,""))</f>
        <v/>
      </c>
      <c r="AA52" s="26">
        <f>IF(OR(J52="",L52=""),"",IF(AND(J52&lt;=EOMONTH(AA$4,0),L52&gt;=AA$4),1,""))</f>
        <v/>
      </c>
      <c r="AB52" s="26">
        <f>IF(OR(J52="",L52=""),"",IF(AND(J52&lt;=EOMONTH(AB$4,0),L52&gt;=AB$4),1,""))</f>
        <v/>
      </c>
      <c r="AC52" s="26">
        <f>IF(OR(J52="",L52=""),"",IF(AND(J52&lt;=EOMONTH(AC$4,0),L52&gt;=AC$4),1,""))</f>
        <v/>
      </c>
      <c r="AD52" s="26">
        <f>IF(OR(J52="",L52=""),"",IF(AND(J52&lt;=EOMONTH(AD$4,0),L52&gt;=AD$4),1,""))</f>
        <v/>
      </c>
      <c r="AE52" s="26">
        <f>IF(OR(J52="",L52=""),"",IF(AND(J52&lt;=EOMONTH(AE$4,0),L52&gt;=AE$4),1,""))</f>
        <v/>
      </c>
      <c r="AF52" s="26">
        <f>IF(OR(J52="",L52=""),"",IF(AND(J52&lt;=EOMONTH(AF$4,0),L52&gt;=AF$4),1,""))</f>
        <v/>
      </c>
      <c r="AG52" s="26">
        <f>IF(OR(J52="",L52=""),"",IF(AND(J52&lt;=EOMONTH(AG$4,0),L52&gt;=AG$4),1,""))</f>
        <v/>
      </c>
      <c r="AH52" s="26">
        <f>IF(OR(J52="",L52=""),"",IF(AND(J52&lt;=EOMONTH(AH$4,0),L52&gt;=AH$4),1,""))</f>
        <v/>
      </c>
      <c r="AI52" s="26">
        <f>IF(OR(J52="",L52=""),"",IF(AND(J52&lt;=EOMONTH(AI$4,0),L52&gt;=AI$4),1,""))</f>
        <v/>
      </c>
      <c r="AJ52" s="26">
        <f>IF(OR(J52="",L52=""),"",IF(AND(J52&lt;=EOMONTH(AJ$4,0),L52&gt;=AJ$4),1,""))</f>
        <v/>
      </c>
      <c r="AK52" s="26">
        <f>IF(OR(J52="",L52=""),"",IF(AND(J52&lt;=EOMONTH(AK$4,0),L52&gt;=AK$4),1,""))</f>
        <v/>
      </c>
      <c r="AL52" s="26">
        <f>IF(OR(J52="",L52=""),"",IF(AND(J52&lt;=EOMONTH(AL$4,0),L52&gt;=AL$4),1,""))</f>
        <v/>
      </c>
      <c r="AM52" s="26">
        <f>IF(OR(J52="",L52=""),"",IF(AND(J52&lt;=EOMONTH(AM$4,0),L52&gt;=AM$4),1,""))</f>
        <v/>
      </c>
      <c r="AN52" s="26">
        <f>IF(OR(J52="",L52=""),"",IF(AND(J52&lt;=EOMONTH(AN$4,0),L52&gt;=AN$4),1,""))</f>
        <v/>
      </c>
      <c r="AO52" s="26">
        <f>IF(OR(J52="",L52=""),"",IF(AND(J52&lt;=EOMONTH(AO$4,0),L52&gt;=AO$4),1,""))</f>
        <v/>
      </c>
      <c r="AP52" s="26">
        <f>IF(OR(J52="",L52=""),"",IF(AND(J52&lt;=EOMONTH(AP$4,0),L52&gt;=AP$4),1,""))</f>
        <v/>
      </c>
      <c r="AQ52" s="26">
        <f>IF(OR(J52="",L52=""),"",IF(AND(J52&lt;=EOMONTH(AQ$4,0),L52&gt;=AQ$4),1,""))</f>
        <v/>
      </c>
      <c r="AR52" s="26">
        <f>IF(OR(J52="",L52=""),"",IF(AND(J52&lt;=EOMONTH(AR$4,0),L52&gt;=AR$4),1,""))</f>
        <v/>
      </c>
      <c r="AS52" s="26">
        <f>IF(OR(J52="",L52=""),"",IF(AND(J52&lt;=EOMONTH(AS$4,0),L52&gt;=AS$4),1,""))</f>
        <v/>
      </c>
      <c r="AT52" s="26">
        <f>IF(OR(J52="",L52=""),"",IF(AND(J52&lt;=EOMONTH(AT$4,0),L52&gt;=AT$4),1,""))</f>
        <v/>
      </c>
      <c r="AU52" s="26">
        <f>IF(OR(J52="",L52=""),"",IF(AND(J52&lt;=EOMONTH(AU$4,0),L52&gt;=AU$4),1,""))</f>
        <v/>
      </c>
      <c r="AV52" s="26">
        <f>IF(OR(J52="",L52=""),"",IF(AND(J52&lt;=EOMONTH(AV$4,0),L52&gt;=AV$4),1,""))</f>
        <v/>
      </c>
      <c r="AW52" s="26">
        <f>IF(OR(J52="",L52=""),"",IF(AND(J52&lt;=EOMONTH(AW$4,0),L52&gt;=AW$4),1,""))</f>
        <v/>
      </c>
      <c r="AX52" s="26">
        <f>IF(OR(J52="",L52=""),"",IF(AND(J52&lt;=EOMONTH(AX$4,0),L52&gt;=AX$4),1,""))</f>
        <v/>
      </c>
      <c r="AY52" s="26">
        <f>IF(OR(J52="",L52=""),"",IF(AND(J52&lt;=EOMONTH(AY$4,0),L52&gt;=AY$4),1,""))</f>
        <v/>
      </c>
      <c r="AZ52" s="26">
        <f>IF(OR(J52="",L52=""),"",IF(AND(J52&lt;=EOMONTH(AZ$4,0),L52&gt;=AZ$4),1,""))</f>
        <v/>
      </c>
      <c r="BA52" s="26">
        <f>IF(OR(J52="",L52=""),"",IF(AND(J52&lt;=EOMONTH(BA$4,0),L52&gt;=BA$4),1,""))</f>
        <v/>
      </c>
      <c r="BB52" s="26">
        <f>IF(OR(J52="",L52=""),"",IF(AND(J52&lt;=EOMONTH(BB$4,0),L52&gt;=BB$4),1,""))</f>
        <v/>
      </c>
    </row>
    <row r="53">
      <c r="A53" s="27" t="n"/>
      <c r="B53" s="28" t="n"/>
      <c r="C53" s="29" t="n"/>
      <c r="D53" s="30">
        <f>IF(E53="","","CWA-"&amp;MID(E53,5,4))</f>
        <v/>
      </c>
      <c r="E53" s="29" t="n"/>
      <c r="F53" s="31" t="n"/>
      <c r="G53" s="29" t="n"/>
      <c r="H53" s="28" t="n"/>
      <c r="I53" s="29" t="n"/>
      <c r="J53" s="32" t="n"/>
      <c r="K53" s="28" t="n"/>
      <c r="L53" s="33">
        <f>IF(OR(J53="",K53=""),"",J53+7*K53-1)</f>
        <v/>
      </c>
      <c r="M53" s="33">
        <f>IF(J53="","",J53-7*$E$3)</f>
        <v/>
      </c>
      <c r="N53" s="33">
        <f>IF(J53="","",J53-7*$H$3)</f>
        <v/>
      </c>
      <c r="O53" s="33">
        <f>IF(J53="","",J53-1*$K$3)</f>
        <v/>
      </c>
      <c r="P53" s="30">
        <f>IF(OR(E53="",I53="",I53="—"),IF(E53="","","OK"),IFERROR(IF(INDEX($L$6:$L$155,MATCH(I53,$E$6:$E$155,0))&gt;=J53,"Conflicto con predecesor","OK"),"Predecesor no encontrado"))</f>
        <v/>
      </c>
      <c r="Q53" s="29" t="n"/>
      <c r="R53" s="31" t="n"/>
      <c r="S53" s="26">
        <f>IF(OR(J53="",L53=""),"",IF(AND(J53&lt;=EOMONTH(S$4,0),L53&gt;=S$4),1,""))</f>
        <v/>
      </c>
      <c r="T53" s="26">
        <f>IF(OR(J53="",L53=""),"",IF(AND(J53&lt;=EOMONTH(T$4,0),L53&gt;=T$4),1,""))</f>
        <v/>
      </c>
      <c r="U53" s="26">
        <f>IF(OR(J53="",L53=""),"",IF(AND(J53&lt;=EOMONTH(U$4,0),L53&gt;=U$4),1,""))</f>
        <v/>
      </c>
      <c r="V53" s="26">
        <f>IF(OR(J53="",L53=""),"",IF(AND(J53&lt;=EOMONTH(V$4,0),L53&gt;=V$4),1,""))</f>
        <v/>
      </c>
      <c r="W53" s="26">
        <f>IF(OR(J53="",L53=""),"",IF(AND(J53&lt;=EOMONTH(W$4,0),L53&gt;=W$4),1,""))</f>
        <v/>
      </c>
      <c r="X53" s="26">
        <f>IF(OR(J53="",L53=""),"",IF(AND(J53&lt;=EOMONTH(X$4,0),L53&gt;=X$4),1,""))</f>
        <v/>
      </c>
      <c r="Y53" s="26">
        <f>IF(OR(J53="",L53=""),"",IF(AND(J53&lt;=EOMONTH(Y$4,0),L53&gt;=Y$4),1,""))</f>
        <v/>
      </c>
      <c r="Z53" s="26">
        <f>IF(OR(J53="",L53=""),"",IF(AND(J53&lt;=EOMONTH(Z$4,0),L53&gt;=Z$4),1,""))</f>
        <v/>
      </c>
      <c r="AA53" s="26">
        <f>IF(OR(J53="",L53=""),"",IF(AND(J53&lt;=EOMONTH(AA$4,0),L53&gt;=AA$4),1,""))</f>
        <v/>
      </c>
      <c r="AB53" s="26">
        <f>IF(OR(J53="",L53=""),"",IF(AND(J53&lt;=EOMONTH(AB$4,0),L53&gt;=AB$4),1,""))</f>
        <v/>
      </c>
      <c r="AC53" s="26">
        <f>IF(OR(J53="",L53=""),"",IF(AND(J53&lt;=EOMONTH(AC$4,0),L53&gt;=AC$4),1,""))</f>
        <v/>
      </c>
      <c r="AD53" s="26">
        <f>IF(OR(J53="",L53=""),"",IF(AND(J53&lt;=EOMONTH(AD$4,0),L53&gt;=AD$4),1,""))</f>
        <v/>
      </c>
      <c r="AE53" s="26">
        <f>IF(OR(J53="",L53=""),"",IF(AND(J53&lt;=EOMONTH(AE$4,0),L53&gt;=AE$4),1,""))</f>
        <v/>
      </c>
      <c r="AF53" s="26">
        <f>IF(OR(J53="",L53=""),"",IF(AND(J53&lt;=EOMONTH(AF$4,0),L53&gt;=AF$4),1,""))</f>
        <v/>
      </c>
      <c r="AG53" s="26">
        <f>IF(OR(J53="",L53=""),"",IF(AND(J53&lt;=EOMONTH(AG$4,0),L53&gt;=AG$4),1,""))</f>
        <v/>
      </c>
      <c r="AH53" s="26">
        <f>IF(OR(J53="",L53=""),"",IF(AND(J53&lt;=EOMONTH(AH$4,0),L53&gt;=AH$4),1,""))</f>
        <v/>
      </c>
      <c r="AI53" s="26">
        <f>IF(OR(J53="",L53=""),"",IF(AND(J53&lt;=EOMONTH(AI$4,0),L53&gt;=AI$4),1,""))</f>
        <v/>
      </c>
      <c r="AJ53" s="26">
        <f>IF(OR(J53="",L53=""),"",IF(AND(J53&lt;=EOMONTH(AJ$4,0),L53&gt;=AJ$4),1,""))</f>
        <v/>
      </c>
      <c r="AK53" s="26">
        <f>IF(OR(J53="",L53=""),"",IF(AND(J53&lt;=EOMONTH(AK$4,0),L53&gt;=AK$4),1,""))</f>
        <v/>
      </c>
      <c r="AL53" s="26">
        <f>IF(OR(J53="",L53=""),"",IF(AND(J53&lt;=EOMONTH(AL$4,0),L53&gt;=AL$4),1,""))</f>
        <v/>
      </c>
      <c r="AM53" s="26">
        <f>IF(OR(J53="",L53=""),"",IF(AND(J53&lt;=EOMONTH(AM$4,0),L53&gt;=AM$4),1,""))</f>
        <v/>
      </c>
      <c r="AN53" s="26">
        <f>IF(OR(J53="",L53=""),"",IF(AND(J53&lt;=EOMONTH(AN$4,0),L53&gt;=AN$4),1,""))</f>
        <v/>
      </c>
      <c r="AO53" s="26">
        <f>IF(OR(J53="",L53=""),"",IF(AND(J53&lt;=EOMONTH(AO$4,0),L53&gt;=AO$4),1,""))</f>
        <v/>
      </c>
      <c r="AP53" s="26">
        <f>IF(OR(J53="",L53=""),"",IF(AND(J53&lt;=EOMONTH(AP$4,0),L53&gt;=AP$4),1,""))</f>
        <v/>
      </c>
      <c r="AQ53" s="26">
        <f>IF(OR(J53="",L53=""),"",IF(AND(J53&lt;=EOMONTH(AQ$4,0),L53&gt;=AQ$4),1,""))</f>
        <v/>
      </c>
      <c r="AR53" s="26">
        <f>IF(OR(J53="",L53=""),"",IF(AND(J53&lt;=EOMONTH(AR$4,0),L53&gt;=AR$4),1,""))</f>
        <v/>
      </c>
      <c r="AS53" s="26">
        <f>IF(OR(J53="",L53=""),"",IF(AND(J53&lt;=EOMONTH(AS$4,0),L53&gt;=AS$4),1,""))</f>
        <v/>
      </c>
      <c r="AT53" s="26">
        <f>IF(OR(J53="",L53=""),"",IF(AND(J53&lt;=EOMONTH(AT$4,0),L53&gt;=AT$4),1,""))</f>
        <v/>
      </c>
      <c r="AU53" s="26">
        <f>IF(OR(J53="",L53=""),"",IF(AND(J53&lt;=EOMONTH(AU$4,0),L53&gt;=AU$4),1,""))</f>
        <v/>
      </c>
      <c r="AV53" s="26">
        <f>IF(OR(J53="",L53=""),"",IF(AND(J53&lt;=EOMONTH(AV$4,0),L53&gt;=AV$4),1,""))</f>
        <v/>
      </c>
      <c r="AW53" s="26">
        <f>IF(OR(J53="",L53=""),"",IF(AND(J53&lt;=EOMONTH(AW$4,0),L53&gt;=AW$4),1,""))</f>
        <v/>
      </c>
      <c r="AX53" s="26">
        <f>IF(OR(J53="",L53=""),"",IF(AND(J53&lt;=EOMONTH(AX$4,0),L53&gt;=AX$4),1,""))</f>
        <v/>
      </c>
      <c r="AY53" s="26">
        <f>IF(OR(J53="",L53=""),"",IF(AND(J53&lt;=EOMONTH(AY$4,0),L53&gt;=AY$4),1,""))</f>
        <v/>
      </c>
      <c r="AZ53" s="26">
        <f>IF(OR(J53="",L53=""),"",IF(AND(J53&lt;=EOMONTH(AZ$4,0),L53&gt;=AZ$4),1,""))</f>
        <v/>
      </c>
      <c r="BA53" s="26">
        <f>IF(OR(J53="",L53=""),"",IF(AND(J53&lt;=EOMONTH(BA$4,0),L53&gt;=BA$4),1,""))</f>
        <v/>
      </c>
      <c r="BB53" s="26">
        <f>IF(OR(J53="",L53=""),"",IF(AND(J53&lt;=EOMONTH(BB$4,0),L53&gt;=BB$4),1,""))</f>
        <v/>
      </c>
    </row>
    <row r="54">
      <c r="A54" s="27" t="n"/>
      <c r="B54" s="28" t="n"/>
      <c r="C54" s="29" t="n"/>
      <c r="D54" s="30">
        <f>IF(E54="","","CWA-"&amp;MID(E54,5,4))</f>
        <v/>
      </c>
      <c r="E54" s="29" t="n"/>
      <c r="F54" s="31" t="n"/>
      <c r="G54" s="29" t="n"/>
      <c r="H54" s="28" t="n"/>
      <c r="I54" s="29" t="n"/>
      <c r="J54" s="32" t="n"/>
      <c r="K54" s="28" t="n"/>
      <c r="L54" s="33">
        <f>IF(OR(J54="",K54=""),"",J54+7*K54-1)</f>
        <v/>
      </c>
      <c r="M54" s="33">
        <f>IF(J54="","",J54-7*$E$3)</f>
        <v/>
      </c>
      <c r="N54" s="33">
        <f>IF(J54="","",J54-7*$H$3)</f>
        <v/>
      </c>
      <c r="O54" s="33">
        <f>IF(J54="","",J54-1*$K$3)</f>
        <v/>
      </c>
      <c r="P54" s="30">
        <f>IF(OR(E54="",I54="",I54="—"),IF(E54="","","OK"),IFERROR(IF(INDEX($L$6:$L$155,MATCH(I54,$E$6:$E$155,0))&gt;=J54,"Conflicto con predecesor","OK"),"Predecesor no encontrado"))</f>
        <v/>
      </c>
      <c r="Q54" s="29" t="n"/>
      <c r="R54" s="31" t="n"/>
      <c r="S54" s="26">
        <f>IF(OR(J54="",L54=""),"",IF(AND(J54&lt;=EOMONTH(S$4,0),L54&gt;=S$4),1,""))</f>
        <v/>
      </c>
      <c r="T54" s="26">
        <f>IF(OR(J54="",L54=""),"",IF(AND(J54&lt;=EOMONTH(T$4,0),L54&gt;=T$4),1,""))</f>
        <v/>
      </c>
      <c r="U54" s="26">
        <f>IF(OR(J54="",L54=""),"",IF(AND(J54&lt;=EOMONTH(U$4,0),L54&gt;=U$4),1,""))</f>
        <v/>
      </c>
      <c r="V54" s="26">
        <f>IF(OR(J54="",L54=""),"",IF(AND(J54&lt;=EOMONTH(V$4,0),L54&gt;=V$4),1,""))</f>
        <v/>
      </c>
      <c r="W54" s="26">
        <f>IF(OR(J54="",L54=""),"",IF(AND(J54&lt;=EOMONTH(W$4,0),L54&gt;=W$4),1,""))</f>
        <v/>
      </c>
      <c r="X54" s="26">
        <f>IF(OR(J54="",L54=""),"",IF(AND(J54&lt;=EOMONTH(X$4,0),L54&gt;=X$4),1,""))</f>
        <v/>
      </c>
      <c r="Y54" s="26">
        <f>IF(OR(J54="",L54=""),"",IF(AND(J54&lt;=EOMONTH(Y$4,0),L54&gt;=Y$4),1,""))</f>
        <v/>
      </c>
      <c r="Z54" s="26">
        <f>IF(OR(J54="",L54=""),"",IF(AND(J54&lt;=EOMONTH(Z$4,0),L54&gt;=Z$4),1,""))</f>
        <v/>
      </c>
      <c r="AA54" s="26">
        <f>IF(OR(J54="",L54=""),"",IF(AND(J54&lt;=EOMONTH(AA$4,0),L54&gt;=AA$4),1,""))</f>
        <v/>
      </c>
      <c r="AB54" s="26">
        <f>IF(OR(J54="",L54=""),"",IF(AND(J54&lt;=EOMONTH(AB$4,0),L54&gt;=AB$4),1,""))</f>
        <v/>
      </c>
      <c r="AC54" s="26">
        <f>IF(OR(J54="",L54=""),"",IF(AND(J54&lt;=EOMONTH(AC$4,0),L54&gt;=AC$4),1,""))</f>
        <v/>
      </c>
      <c r="AD54" s="26">
        <f>IF(OR(J54="",L54=""),"",IF(AND(J54&lt;=EOMONTH(AD$4,0),L54&gt;=AD$4),1,""))</f>
        <v/>
      </c>
      <c r="AE54" s="26">
        <f>IF(OR(J54="",L54=""),"",IF(AND(J54&lt;=EOMONTH(AE$4,0),L54&gt;=AE$4),1,""))</f>
        <v/>
      </c>
      <c r="AF54" s="26">
        <f>IF(OR(J54="",L54=""),"",IF(AND(J54&lt;=EOMONTH(AF$4,0),L54&gt;=AF$4),1,""))</f>
        <v/>
      </c>
      <c r="AG54" s="26">
        <f>IF(OR(J54="",L54=""),"",IF(AND(J54&lt;=EOMONTH(AG$4,0),L54&gt;=AG$4),1,""))</f>
        <v/>
      </c>
      <c r="AH54" s="26">
        <f>IF(OR(J54="",L54=""),"",IF(AND(J54&lt;=EOMONTH(AH$4,0),L54&gt;=AH$4),1,""))</f>
        <v/>
      </c>
      <c r="AI54" s="26">
        <f>IF(OR(J54="",L54=""),"",IF(AND(J54&lt;=EOMONTH(AI$4,0),L54&gt;=AI$4),1,""))</f>
        <v/>
      </c>
      <c r="AJ54" s="26">
        <f>IF(OR(J54="",L54=""),"",IF(AND(J54&lt;=EOMONTH(AJ$4,0),L54&gt;=AJ$4),1,""))</f>
        <v/>
      </c>
      <c r="AK54" s="26">
        <f>IF(OR(J54="",L54=""),"",IF(AND(J54&lt;=EOMONTH(AK$4,0),L54&gt;=AK$4),1,""))</f>
        <v/>
      </c>
      <c r="AL54" s="26">
        <f>IF(OR(J54="",L54=""),"",IF(AND(J54&lt;=EOMONTH(AL$4,0),L54&gt;=AL$4),1,""))</f>
        <v/>
      </c>
      <c r="AM54" s="26">
        <f>IF(OR(J54="",L54=""),"",IF(AND(J54&lt;=EOMONTH(AM$4,0),L54&gt;=AM$4),1,""))</f>
        <v/>
      </c>
      <c r="AN54" s="26">
        <f>IF(OR(J54="",L54=""),"",IF(AND(J54&lt;=EOMONTH(AN$4,0),L54&gt;=AN$4),1,""))</f>
        <v/>
      </c>
      <c r="AO54" s="26">
        <f>IF(OR(J54="",L54=""),"",IF(AND(J54&lt;=EOMONTH(AO$4,0),L54&gt;=AO$4),1,""))</f>
        <v/>
      </c>
      <c r="AP54" s="26">
        <f>IF(OR(J54="",L54=""),"",IF(AND(J54&lt;=EOMONTH(AP$4,0),L54&gt;=AP$4),1,""))</f>
        <v/>
      </c>
      <c r="AQ54" s="26">
        <f>IF(OR(J54="",L54=""),"",IF(AND(J54&lt;=EOMONTH(AQ$4,0),L54&gt;=AQ$4),1,""))</f>
        <v/>
      </c>
      <c r="AR54" s="26">
        <f>IF(OR(J54="",L54=""),"",IF(AND(J54&lt;=EOMONTH(AR$4,0),L54&gt;=AR$4),1,""))</f>
        <v/>
      </c>
      <c r="AS54" s="26">
        <f>IF(OR(J54="",L54=""),"",IF(AND(J54&lt;=EOMONTH(AS$4,0),L54&gt;=AS$4),1,""))</f>
        <v/>
      </c>
      <c r="AT54" s="26">
        <f>IF(OR(J54="",L54=""),"",IF(AND(J54&lt;=EOMONTH(AT$4,0),L54&gt;=AT$4),1,""))</f>
        <v/>
      </c>
      <c r="AU54" s="26">
        <f>IF(OR(J54="",L54=""),"",IF(AND(J54&lt;=EOMONTH(AU$4,0),L54&gt;=AU$4),1,""))</f>
        <v/>
      </c>
      <c r="AV54" s="26">
        <f>IF(OR(J54="",L54=""),"",IF(AND(J54&lt;=EOMONTH(AV$4,0),L54&gt;=AV$4),1,""))</f>
        <v/>
      </c>
      <c r="AW54" s="26">
        <f>IF(OR(J54="",L54=""),"",IF(AND(J54&lt;=EOMONTH(AW$4,0),L54&gt;=AW$4),1,""))</f>
        <v/>
      </c>
      <c r="AX54" s="26">
        <f>IF(OR(J54="",L54=""),"",IF(AND(J54&lt;=EOMONTH(AX$4,0),L54&gt;=AX$4),1,""))</f>
        <v/>
      </c>
      <c r="AY54" s="26">
        <f>IF(OR(J54="",L54=""),"",IF(AND(J54&lt;=EOMONTH(AY$4,0),L54&gt;=AY$4),1,""))</f>
        <v/>
      </c>
      <c r="AZ54" s="26">
        <f>IF(OR(J54="",L54=""),"",IF(AND(J54&lt;=EOMONTH(AZ$4,0),L54&gt;=AZ$4),1,""))</f>
        <v/>
      </c>
      <c r="BA54" s="26">
        <f>IF(OR(J54="",L54=""),"",IF(AND(J54&lt;=EOMONTH(BA$4,0),L54&gt;=BA$4),1,""))</f>
        <v/>
      </c>
      <c r="BB54" s="26">
        <f>IF(OR(J54="",L54=""),"",IF(AND(J54&lt;=EOMONTH(BB$4,0),L54&gt;=BB$4),1,""))</f>
        <v/>
      </c>
    </row>
    <row r="55">
      <c r="A55" s="27" t="n"/>
      <c r="B55" s="28" t="n"/>
      <c r="C55" s="29" t="n"/>
      <c r="D55" s="30">
        <f>IF(E55="","","CWA-"&amp;MID(E55,5,4))</f>
        <v/>
      </c>
      <c r="E55" s="29" t="n"/>
      <c r="F55" s="31" t="n"/>
      <c r="G55" s="29" t="n"/>
      <c r="H55" s="28" t="n"/>
      <c r="I55" s="29" t="n"/>
      <c r="J55" s="32" t="n"/>
      <c r="K55" s="28" t="n"/>
      <c r="L55" s="33">
        <f>IF(OR(J55="",K55=""),"",J55+7*K55-1)</f>
        <v/>
      </c>
      <c r="M55" s="33">
        <f>IF(J55="","",J55-7*$E$3)</f>
        <v/>
      </c>
      <c r="N55" s="33">
        <f>IF(J55="","",J55-7*$H$3)</f>
        <v/>
      </c>
      <c r="O55" s="33">
        <f>IF(J55="","",J55-1*$K$3)</f>
        <v/>
      </c>
      <c r="P55" s="30">
        <f>IF(OR(E55="",I55="",I55="—"),IF(E55="","","OK"),IFERROR(IF(INDEX($L$6:$L$155,MATCH(I55,$E$6:$E$155,0))&gt;=J55,"Conflicto con predecesor","OK"),"Predecesor no encontrado"))</f>
        <v/>
      </c>
      <c r="Q55" s="29" t="n"/>
      <c r="R55" s="31" t="n"/>
      <c r="S55" s="26">
        <f>IF(OR(J55="",L55=""),"",IF(AND(J55&lt;=EOMONTH(S$4,0),L55&gt;=S$4),1,""))</f>
        <v/>
      </c>
      <c r="T55" s="26">
        <f>IF(OR(J55="",L55=""),"",IF(AND(J55&lt;=EOMONTH(T$4,0),L55&gt;=T$4),1,""))</f>
        <v/>
      </c>
      <c r="U55" s="26">
        <f>IF(OR(J55="",L55=""),"",IF(AND(J55&lt;=EOMONTH(U$4,0),L55&gt;=U$4),1,""))</f>
        <v/>
      </c>
      <c r="V55" s="26">
        <f>IF(OR(J55="",L55=""),"",IF(AND(J55&lt;=EOMONTH(V$4,0),L55&gt;=V$4),1,""))</f>
        <v/>
      </c>
      <c r="W55" s="26">
        <f>IF(OR(J55="",L55=""),"",IF(AND(J55&lt;=EOMONTH(W$4,0),L55&gt;=W$4),1,""))</f>
        <v/>
      </c>
      <c r="X55" s="26">
        <f>IF(OR(J55="",L55=""),"",IF(AND(J55&lt;=EOMONTH(X$4,0),L55&gt;=X$4),1,""))</f>
        <v/>
      </c>
      <c r="Y55" s="26">
        <f>IF(OR(J55="",L55=""),"",IF(AND(J55&lt;=EOMONTH(Y$4,0),L55&gt;=Y$4),1,""))</f>
        <v/>
      </c>
      <c r="Z55" s="26">
        <f>IF(OR(J55="",L55=""),"",IF(AND(J55&lt;=EOMONTH(Z$4,0),L55&gt;=Z$4),1,""))</f>
        <v/>
      </c>
      <c r="AA55" s="26">
        <f>IF(OR(J55="",L55=""),"",IF(AND(J55&lt;=EOMONTH(AA$4,0),L55&gt;=AA$4),1,""))</f>
        <v/>
      </c>
      <c r="AB55" s="26">
        <f>IF(OR(J55="",L55=""),"",IF(AND(J55&lt;=EOMONTH(AB$4,0),L55&gt;=AB$4),1,""))</f>
        <v/>
      </c>
      <c r="AC55" s="26">
        <f>IF(OR(J55="",L55=""),"",IF(AND(J55&lt;=EOMONTH(AC$4,0),L55&gt;=AC$4),1,""))</f>
        <v/>
      </c>
      <c r="AD55" s="26">
        <f>IF(OR(J55="",L55=""),"",IF(AND(J55&lt;=EOMONTH(AD$4,0),L55&gt;=AD$4),1,""))</f>
        <v/>
      </c>
      <c r="AE55" s="26">
        <f>IF(OR(J55="",L55=""),"",IF(AND(J55&lt;=EOMONTH(AE$4,0),L55&gt;=AE$4),1,""))</f>
        <v/>
      </c>
      <c r="AF55" s="26">
        <f>IF(OR(J55="",L55=""),"",IF(AND(J55&lt;=EOMONTH(AF$4,0),L55&gt;=AF$4),1,""))</f>
        <v/>
      </c>
      <c r="AG55" s="26">
        <f>IF(OR(J55="",L55=""),"",IF(AND(J55&lt;=EOMONTH(AG$4,0),L55&gt;=AG$4),1,""))</f>
        <v/>
      </c>
      <c r="AH55" s="26">
        <f>IF(OR(J55="",L55=""),"",IF(AND(J55&lt;=EOMONTH(AH$4,0),L55&gt;=AH$4),1,""))</f>
        <v/>
      </c>
      <c r="AI55" s="26">
        <f>IF(OR(J55="",L55=""),"",IF(AND(J55&lt;=EOMONTH(AI$4,0),L55&gt;=AI$4),1,""))</f>
        <v/>
      </c>
      <c r="AJ55" s="26">
        <f>IF(OR(J55="",L55=""),"",IF(AND(J55&lt;=EOMONTH(AJ$4,0),L55&gt;=AJ$4),1,""))</f>
        <v/>
      </c>
      <c r="AK55" s="26">
        <f>IF(OR(J55="",L55=""),"",IF(AND(J55&lt;=EOMONTH(AK$4,0),L55&gt;=AK$4),1,""))</f>
        <v/>
      </c>
      <c r="AL55" s="26">
        <f>IF(OR(J55="",L55=""),"",IF(AND(J55&lt;=EOMONTH(AL$4,0),L55&gt;=AL$4),1,""))</f>
        <v/>
      </c>
      <c r="AM55" s="26">
        <f>IF(OR(J55="",L55=""),"",IF(AND(J55&lt;=EOMONTH(AM$4,0),L55&gt;=AM$4),1,""))</f>
        <v/>
      </c>
      <c r="AN55" s="26">
        <f>IF(OR(J55="",L55=""),"",IF(AND(J55&lt;=EOMONTH(AN$4,0),L55&gt;=AN$4),1,""))</f>
        <v/>
      </c>
      <c r="AO55" s="26">
        <f>IF(OR(J55="",L55=""),"",IF(AND(J55&lt;=EOMONTH(AO$4,0),L55&gt;=AO$4),1,""))</f>
        <v/>
      </c>
      <c r="AP55" s="26">
        <f>IF(OR(J55="",L55=""),"",IF(AND(J55&lt;=EOMONTH(AP$4,0),L55&gt;=AP$4),1,""))</f>
        <v/>
      </c>
      <c r="AQ55" s="26">
        <f>IF(OR(J55="",L55=""),"",IF(AND(J55&lt;=EOMONTH(AQ$4,0),L55&gt;=AQ$4),1,""))</f>
        <v/>
      </c>
      <c r="AR55" s="26">
        <f>IF(OR(J55="",L55=""),"",IF(AND(J55&lt;=EOMONTH(AR$4,0),L55&gt;=AR$4),1,""))</f>
        <v/>
      </c>
      <c r="AS55" s="26">
        <f>IF(OR(J55="",L55=""),"",IF(AND(J55&lt;=EOMONTH(AS$4,0),L55&gt;=AS$4),1,""))</f>
        <v/>
      </c>
      <c r="AT55" s="26">
        <f>IF(OR(J55="",L55=""),"",IF(AND(J55&lt;=EOMONTH(AT$4,0),L55&gt;=AT$4),1,""))</f>
        <v/>
      </c>
      <c r="AU55" s="26">
        <f>IF(OR(J55="",L55=""),"",IF(AND(J55&lt;=EOMONTH(AU$4,0),L55&gt;=AU$4),1,""))</f>
        <v/>
      </c>
      <c r="AV55" s="26">
        <f>IF(OR(J55="",L55=""),"",IF(AND(J55&lt;=EOMONTH(AV$4,0),L55&gt;=AV$4),1,""))</f>
        <v/>
      </c>
      <c r="AW55" s="26">
        <f>IF(OR(J55="",L55=""),"",IF(AND(J55&lt;=EOMONTH(AW$4,0),L55&gt;=AW$4),1,""))</f>
        <v/>
      </c>
      <c r="AX55" s="26">
        <f>IF(OR(J55="",L55=""),"",IF(AND(J55&lt;=EOMONTH(AX$4,0),L55&gt;=AX$4),1,""))</f>
        <v/>
      </c>
      <c r="AY55" s="26">
        <f>IF(OR(J55="",L55=""),"",IF(AND(J55&lt;=EOMONTH(AY$4,0),L55&gt;=AY$4),1,""))</f>
        <v/>
      </c>
      <c r="AZ55" s="26">
        <f>IF(OR(J55="",L55=""),"",IF(AND(J55&lt;=EOMONTH(AZ$4,0),L55&gt;=AZ$4),1,""))</f>
        <v/>
      </c>
      <c r="BA55" s="26">
        <f>IF(OR(J55="",L55=""),"",IF(AND(J55&lt;=EOMONTH(BA$4,0),L55&gt;=BA$4),1,""))</f>
        <v/>
      </c>
      <c r="BB55" s="26">
        <f>IF(OR(J55="",L55=""),"",IF(AND(J55&lt;=EOMONTH(BB$4,0),L55&gt;=BB$4),1,""))</f>
        <v/>
      </c>
    </row>
    <row r="56">
      <c r="A56" s="27" t="n"/>
      <c r="B56" s="28" t="n"/>
      <c r="C56" s="29" t="n"/>
      <c r="D56" s="30">
        <f>IF(E56="","","CWA-"&amp;MID(E56,5,4))</f>
        <v/>
      </c>
      <c r="E56" s="29" t="n"/>
      <c r="F56" s="31" t="n"/>
      <c r="G56" s="29" t="n"/>
      <c r="H56" s="28" t="n"/>
      <c r="I56" s="29" t="n"/>
      <c r="J56" s="32" t="n"/>
      <c r="K56" s="28" t="n"/>
      <c r="L56" s="33">
        <f>IF(OR(J56="",K56=""),"",J56+7*K56-1)</f>
        <v/>
      </c>
      <c r="M56" s="33">
        <f>IF(J56="","",J56-7*$E$3)</f>
        <v/>
      </c>
      <c r="N56" s="33">
        <f>IF(J56="","",J56-7*$H$3)</f>
        <v/>
      </c>
      <c r="O56" s="33">
        <f>IF(J56="","",J56-1*$K$3)</f>
        <v/>
      </c>
      <c r="P56" s="30">
        <f>IF(OR(E56="",I56="",I56="—"),IF(E56="","","OK"),IFERROR(IF(INDEX($L$6:$L$155,MATCH(I56,$E$6:$E$155,0))&gt;=J56,"Conflicto con predecesor","OK"),"Predecesor no encontrado"))</f>
        <v/>
      </c>
      <c r="Q56" s="29" t="n"/>
      <c r="R56" s="31" t="n"/>
      <c r="S56" s="26">
        <f>IF(OR(J56="",L56=""),"",IF(AND(J56&lt;=EOMONTH(S$4,0),L56&gt;=S$4),1,""))</f>
        <v/>
      </c>
      <c r="T56" s="26">
        <f>IF(OR(J56="",L56=""),"",IF(AND(J56&lt;=EOMONTH(T$4,0),L56&gt;=T$4),1,""))</f>
        <v/>
      </c>
      <c r="U56" s="26">
        <f>IF(OR(J56="",L56=""),"",IF(AND(J56&lt;=EOMONTH(U$4,0),L56&gt;=U$4),1,""))</f>
        <v/>
      </c>
      <c r="V56" s="26">
        <f>IF(OR(J56="",L56=""),"",IF(AND(J56&lt;=EOMONTH(V$4,0),L56&gt;=V$4),1,""))</f>
        <v/>
      </c>
      <c r="W56" s="26">
        <f>IF(OR(J56="",L56=""),"",IF(AND(J56&lt;=EOMONTH(W$4,0),L56&gt;=W$4),1,""))</f>
        <v/>
      </c>
      <c r="X56" s="26">
        <f>IF(OR(J56="",L56=""),"",IF(AND(J56&lt;=EOMONTH(X$4,0),L56&gt;=X$4),1,""))</f>
        <v/>
      </c>
      <c r="Y56" s="26">
        <f>IF(OR(J56="",L56=""),"",IF(AND(J56&lt;=EOMONTH(Y$4,0),L56&gt;=Y$4),1,""))</f>
        <v/>
      </c>
      <c r="Z56" s="26">
        <f>IF(OR(J56="",L56=""),"",IF(AND(J56&lt;=EOMONTH(Z$4,0),L56&gt;=Z$4),1,""))</f>
        <v/>
      </c>
      <c r="AA56" s="26">
        <f>IF(OR(J56="",L56=""),"",IF(AND(J56&lt;=EOMONTH(AA$4,0),L56&gt;=AA$4),1,""))</f>
        <v/>
      </c>
      <c r="AB56" s="26">
        <f>IF(OR(J56="",L56=""),"",IF(AND(J56&lt;=EOMONTH(AB$4,0),L56&gt;=AB$4),1,""))</f>
        <v/>
      </c>
      <c r="AC56" s="26">
        <f>IF(OR(J56="",L56=""),"",IF(AND(J56&lt;=EOMONTH(AC$4,0),L56&gt;=AC$4),1,""))</f>
        <v/>
      </c>
      <c r="AD56" s="26">
        <f>IF(OR(J56="",L56=""),"",IF(AND(J56&lt;=EOMONTH(AD$4,0),L56&gt;=AD$4),1,""))</f>
        <v/>
      </c>
      <c r="AE56" s="26">
        <f>IF(OR(J56="",L56=""),"",IF(AND(J56&lt;=EOMONTH(AE$4,0),L56&gt;=AE$4),1,""))</f>
        <v/>
      </c>
      <c r="AF56" s="26">
        <f>IF(OR(J56="",L56=""),"",IF(AND(J56&lt;=EOMONTH(AF$4,0),L56&gt;=AF$4),1,""))</f>
        <v/>
      </c>
      <c r="AG56" s="26">
        <f>IF(OR(J56="",L56=""),"",IF(AND(J56&lt;=EOMONTH(AG$4,0),L56&gt;=AG$4),1,""))</f>
        <v/>
      </c>
      <c r="AH56" s="26">
        <f>IF(OR(J56="",L56=""),"",IF(AND(J56&lt;=EOMONTH(AH$4,0),L56&gt;=AH$4),1,""))</f>
        <v/>
      </c>
      <c r="AI56" s="26">
        <f>IF(OR(J56="",L56=""),"",IF(AND(J56&lt;=EOMONTH(AI$4,0),L56&gt;=AI$4),1,""))</f>
        <v/>
      </c>
      <c r="AJ56" s="26">
        <f>IF(OR(J56="",L56=""),"",IF(AND(J56&lt;=EOMONTH(AJ$4,0),L56&gt;=AJ$4),1,""))</f>
        <v/>
      </c>
      <c r="AK56" s="26">
        <f>IF(OR(J56="",L56=""),"",IF(AND(J56&lt;=EOMONTH(AK$4,0),L56&gt;=AK$4),1,""))</f>
        <v/>
      </c>
      <c r="AL56" s="26">
        <f>IF(OR(J56="",L56=""),"",IF(AND(J56&lt;=EOMONTH(AL$4,0),L56&gt;=AL$4),1,""))</f>
        <v/>
      </c>
      <c r="AM56" s="26">
        <f>IF(OR(J56="",L56=""),"",IF(AND(J56&lt;=EOMONTH(AM$4,0),L56&gt;=AM$4),1,""))</f>
        <v/>
      </c>
      <c r="AN56" s="26">
        <f>IF(OR(J56="",L56=""),"",IF(AND(J56&lt;=EOMONTH(AN$4,0),L56&gt;=AN$4),1,""))</f>
        <v/>
      </c>
      <c r="AO56" s="26">
        <f>IF(OR(J56="",L56=""),"",IF(AND(J56&lt;=EOMONTH(AO$4,0),L56&gt;=AO$4),1,""))</f>
        <v/>
      </c>
      <c r="AP56" s="26">
        <f>IF(OR(J56="",L56=""),"",IF(AND(J56&lt;=EOMONTH(AP$4,0),L56&gt;=AP$4),1,""))</f>
        <v/>
      </c>
      <c r="AQ56" s="26">
        <f>IF(OR(J56="",L56=""),"",IF(AND(J56&lt;=EOMONTH(AQ$4,0),L56&gt;=AQ$4),1,""))</f>
        <v/>
      </c>
      <c r="AR56" s="26">
        <f>IF(OR(J56="",L56=""),"",IF(AND(J56&lt;=EOMONTH(AR$4,0),L56&gt;=AR$4),1,""))</f>
        <v/>
      </c>
      <c r="AS56" s="26">
        <f>IF(OR(J56="",L56=""),"",IF(AND(J56&lt;=EOMONTH(AS$4,0),L56&gt;=AS$4),1,""))</f>
        <v/>
      </c>
      <c r="AT56" s="26">
        <f>IF(OR(J56="",L56=""),"",IF(AND(J56&lt;=EOMONTH(AT$4,0),L56&gt;=AT$4),1,""))</f>
        <v/>
      </c>
      <c r="AU56" s="26">
        <f>IF(OR(J56="",L56=""),"",IF(AND(J56&lt;=EOMONTH(AU$4,0),L56&gt;=AU$4),1,""))</f>
        <v/>
      </c>
      <c r="AV56" s="26">
        <f>IF(OR(J56="",L56=""),"",IF(AND(J56&lt;=EOMONTH(AV$4,0),L56&gt;=AV$4),1,""))</f>
        <v/>
      </c>
      <c r="AW56" s="26">
        <f>IF(OR(J56="",L56=""),"",IF(AND(J56&lt;=EOMONTH(AW$4,0),L56&gt;=AW$4),1,""))</f>
        <v/>
      </c>
      <c r="AX56" s="26">
        <f>IF(OR(J56="",L56=""),"",IF(AND(J56&lt;=EOMONTH(AX$4,0),L56&gt;=AX$4),1,""))</f>
        <v/>
      </c>
      <c r="AY56" s="26">
        <f>IF(OR(J56="",L56=""),"",IF(AND(J56&lt;=EOMONTH(AY$4,0),L56&gt;=AY$4),1,""))</f>
        <v/>
      </c>
      <c r="AZ56" s="26">
        <f>IF(OR(J56="",L56=""),"",IF(AND(J56&lt;=EOMONTH(AZ$4,0),L56&gt;=AZ$4),1,""))</f>
        <v/>
      </c>
      <c r="BA56" s="26">
        <f>IF(OR(J56="",L56=""),"",IF(AND(J56&lt;=EOMONTH(BA$4,0),L56&gt;=BA$4),1,""))</f>
        <v/>
      </c>
      <c r="BB56" s="26">
        <f>IF(OR(J56="",L56=""),"",IF(AND(J56&lt;=EOMONTH(BB$4,0),L56&gt;=BB$4),1,""))</f>
        <v/>
      </c>
    </row>
    <row r="57">
      <c r="A57" s="27" t="n"/>
      <c r="B57" s="28" t="n"/>
      <c r="C57" s="29" t="n"/>
      <c r="D57" s="30">
        <f>IF(E57="","","CWA-"&amp;MID(E57,5,4))</f>
        <v/>
      </c>
      <c r="E57" s="29" t="n"/>
      <c r="F57" s="31" t="n"/>
      <c r="G57" s="29" t="n"/>
      <c r="H57" s="28" t="n"/>
      <c r="I57" s="29" t="n"/>
      <c r="J57" s="32" t="n"/>
      <c r="K57" s="28" t="n"/>
      <c r="L57" s="33">
        <f>IF(OR(J57="",K57=""),"",J57+7*K57-1)</f>
        <v/>
      </c>
      <c r="M57" s="33">
        <f>IF(J57="","",J57-7*$E$3)</f>
        <v/>
      </c>
      <c r="N57" s="33">
        <f>IF(J57="","",J57-7*$H$3)</f>
        <v/>
      </c>
      <c r="O57" s="33">
        <f>IF(J57="","",J57-1*$K$3)</f>
        <v/>
      </c>
      <c r="P57" s="30">
        <f>IF(OR(E57="",I57="",I57="—"),IF(E57="","","OK"),IFERROR(IF(INDEX($L$6:$L$155,MATCH(I57,$E$6:$E$155,0))&gt;=J57,"Conflicto con predecesor","OK"),"Predecesor no encontrado"))</f>
        <v/>
      </c>
      <c r="Q57" s="29" t="n"/>
      <c r="R57" s="31" t="n"/>
      <c r="S57" s="26">
        <f>IF(OR(J57="",L57=""),"",IF(AND(J57&lt;=EOMONTH(S$4,0),L57&gt;=S$4),1,""))</f>
        <v/>
      </c>
      <c r="T57" s="26">
        <f>IF(OR(J57="",L57=""),"",IF(AND(J57&lt;=EOMONTH(T$4,0),L57&gt;=T$4),1,""))</f>
        <v/>
      </c>
      <c r="U57" s="26">
        <f>IF(OR(J57="",L57=""),"",IF(AND(J57&lt;=EOMONTH(U$4,0),L57&gt;=U$4),1,""))</f>
        <v/>
      </c>
      <c r="V57" s="26">
        <f>IF(OR(J57="",L57=""),"",IF(AND(J57&lt;=EOMONTH(V$4,0),L57&gt;=V$4),1,""))</f>
        <v/>
      </c>
      <c r="W57" s="26">
        <f>IF(OR(J57="",L57=""),"",IF(AND(J57&lt;=EOMONTH(W$4,0),L57&gt;=W$4),1,""))</f>
        <v/>
      </c>
      <c r="X57" s="26">
        <f>IF(OR(J57="",L57=""),"",IF(AND(J57&lt;=EOMONTH(X$4,0),L57&gt;=X$4),1,""))</f>
        <v/>
      </c>
      <c r="Y57" s="26">
        <f>IF(OR(J57="",L57=""),"",IF(AND(J57&lt;=EOMONTH(Y$4,0),L57&gt;=Y$4),1,""))</f>
        <v/>
      </c>
      <c r="Z57" s="26">
        <f>IF(OR(J57="",L57=""),"",IF(AND(J57&lt;=EOMONTH(Z$4,0),L57&gt;=Z$4),1,""))</f>
        <v/>
      </c>
      <c r="AA57" s="26">
        <f>IF(OR(J57="",L57=""),"",IF(AND(J57&lt;=EOMONTH(AA$4,0),L57&gt;=AA$4),1,""))</f>
        <v/>
      </c>
      <c r="AB57" s="26">
        <f>IF(OR(J57="",L57=""),"",IF(AND(J57&lt;=EOMONTH(AB$4,0),L57&gt;=AB$4),1,""))</f>
        <v/>
      </c>
      <c r="AC57" s="26">
        <f>IF(OR(J57="",L57=""),"",IF(AND(J57&lt;=EOMONTH(AC$4,0),L57&gt;=AC$4),1,""))</f>
        <v/>
      </c>
      <c r="AD57" s="26">
        <f>IF(OR(J57="",L57=""),"",IF(AND(J57&lt;=EOMONTH(AD$4,0),L57&gt;=AD$4),1,""))</f>
        <v/>
      </c>
      <c r="AE57" s="26">
        <f>IF(OR(J57="",L57=""),"",IF(AND(J57&lt;=EOMONTH(AE$4,0),L57&gt;=AE$4),1,""))</f>
        <v/>
      </c>
      <c r="AF57" s="26">
        <f>IF(OR(J57="",L57=""),"",IF(AND(J57&lt;=EOMONTH(AF$4,0),L57&gt;=AF$4),1,""))</f>
        <v/>
      </c>
      <c r="AG57" s="26">
        <f>IF(OR(J57="",L57=""),"",IF(AND(J57&lt;=EOMONTH(AG$4,0),L57&gt;=AG$4),1,""))</f>
        <v/>
      </c>
      <c r="AH57" s="26">
        <f>IF(OR(J57="",L57=""),"",IF(AND(J57&lt;=EOMONTH(AH$4,0),L57&gt;=AH$4),1,""))</f>
        <v/>
      </c>
      <c r="AI57" s="26">
        <f>IF(OR(J57="",L57=""),"",IF(AND(J57&lt;=EOMONTH(AI$4,0),L57&gt;=AI$4),1,""))</f>
        <v/>
      </c>
      <c r="AJ57" s="26">
        <f>IF(OR(J57="",L57=""),"",IF(AND(J57&lt;=EOMONTH(AJ$4,0),L57&gt;=AJ$4),1,""))</f>
        <v/>
      </c>
      <c r="AK57" s="26">
        <f>IF(OR(J57="",L57=""),"",IF(AND(J57&lt;=EOMONTH(AK$4,0),L57&gt;=AK$4),1,""))</f>
        <v/>
      </c>
      <c r="AL57" s="26">
        <f>IF(OR(J57="",L57=""),"",IF(AND(J57&lt;=EOMONTH(AL$4,0),L57&gt;=AL$4),1,""))</f>
        <v/>
      </c>
      <c r="AM57" s="26">
        <f>IF(OR(J57="",L57=""),"",IF(AND(J57&lt;=EOMONTH(AM$4,0),L57&gt;=AM$4),1,""))</f>
        <v/>
      </c>
      <c r="AN57" s="26">
        <f>IF(OR(J57="",L57=""),"",IF(AND(J57&lt;=EOMONTH(AN$4,0),L57&gt;=AN$4),1,""))</f>
        <v/>
      </c>
      <c r="AO57" s="26">
        <f>IF(OR(J57="",L57=""),"",IF(AND(J57&lt;=EOMONTH(AO$4,0),L57&gt;=AO$4),1,""))</f>
        <v/>
      </c>
      <c r="AP57" s="26">
        <f>IF(OR(J57="",L57=""),"",IF(AND(J57&lt;=EOMONTH(AP$4,0),L57&gt;=AP$4),1,""))</f>
        <v/>
      </c>
      <c r="AQ57" s="26">
        <f>IF(OR(J57="",L57=""),"",IF(AND(J57&lt;=EOMONTH(AQ$4,0),L57&gt;=AQ$4),1,""))</f>
        <v/>
      </c>
      <c r="AR57" s="26">
        <f>IF(OR(J57="",L57=""),"",IF(AND(J57&lt;=EOMONTH(AR$4,0),L57&gt;=AR$4),1,""))</f>
        <v/>
      </c>
      <c r="AS57" s="26">
        <f>IF(OR(J57="",L57=""),"",IF(AND(J57&lt;=EOMONTH(AS$4,0),L57&gt;=AS$4),1,""))</f>
        <v/>
      </c>
      <c r="AT57" s="26">
        <f>IF(OR(J57="",L57=""),"",IF(AND(J57&lt;=EOMONTH(AT$4,0),L57&gt;=AT$4),1,""))</f>
        <v/>
      </c>
      <c r="AU57" s="26">
        <f>IF(OR(J57="",L57=""),"",IF(AND(J57&lt;=EOMONTH(AU$4,0),L57&gt;=AU$4),1,""))</f>
        <v/>
      </c>
      <c r="AV57" s="26">
        <f>IF(OR(J57="",L57=""),"",IF(AND(J57&lt;=EOMONTH(AV$4,0),L57&gt;=AV$4),1,""))</f>
        <v/>
      </c>
      <c r="AW57" s="26">
        <f>IF(OR(J57="",L57=""),"",IF(AND(J57&lt;=EOMONTH(AW$4,0),L57&gt;=AW$4),1,""))</f>
        <v/>
      </c>
      <c r="AX57" s="26">
        <f>IF(OR(J57="",L57=""),"",IF(AND(J57&lt;=EOMONTH(AX$4,0),L57&gt;=AX$4),1,""))</f>
        <v/>
      </c>
      <c r="AY57" s="26">
        <f>IF(OR(J57="",L57=""),"",IF(AND(J57&lt;=EOMONTH(AY$4,0),L57&gt;=AY$4),1,""))</f>
        <v/>
      </c>
      <c r="AZ57" s="26">
        <f>IF(OR(J57="",L57=""),"",IF(AND(J57&lt;=EOMONTH(AZ$4,0),L57&gt;=AZ$4),1,""))</f>
        <v/>
      </c>
      <c r="BA57" s="26">
        <f>IF(OR(J57="",L57=""),"",IF(AND(J57&lt;=EOMONTH(BA$4,0),L57&gt;=BA$4),1,""))</f>
        <v/>
      </c>
      <c r="BB57" s="26">
        <f>IF(OR(J57="",L57=""),"",IF(AND(J57&lt;=EOMONTH(BB$4,0),L57&gt;=BB$4),1,""))</f>
        <v/>
      </c>
    </row>
    <row r="58">
      <c r="A58" s="27" t="n"/>
      <c r="B58" s="28" t="n"/>
      <c r="C58" s="29" t="n"/>
      <c r="D58" s="30">
        <f>IF(E58="","","CWA-"&amp;MID(E58,5,4))</f>
        <v/>
      </c>
      <c r="E58" s="29" t="n"/>
      <c r="F58" s="31" t="n"/>
      <c r="G58" s="29" t="n"/>
      <c r="H58" s="28" t="n"/>
      <c r="I58" s="29" t="n"/>
      <c r="J58" s="32" t="n"/>
      <c r="K58" s="28" t="n"/>
      <c r="L58" s="33">
        <f>IF(OR(J58="",K58=""),"",J58+7*K58-1)</f>
        <v/>
      </c>
      <c r="M58" s="33">
        <f>IF(J58="","",J58-7*$E$3)</f>
        <v/>
      </c>
      <c r="N58" s="33">
        <f>IF(J58="","",J58-7*$H$3)</f>
        <v/>
      </c>
      <c r="O58" s="33">
        <f>IF(J58="","",J58-1*$K$3)</f>
        <v/>
      </c>
      <c r="P58" s="30">
        <f>IF(OR(E58="",I58="",I58="—"),IF(E58="","","OK"),IFERROR(IF(INDEX($L$6:$L$155,MATCH(I58,$E$6:$E$155,0))&gt;=J58,"Conflicto con predecesor","OK"),"Predecesor no encontrado"))</f>
        <v/>
      </c>
      <c r="Q58" s="29" t="n"/>
      <c r="R58" s="31" t="n"/>
      <c r="S58" s="26">
        <f>IF(OR(J58="",L58=""),"",IF(AND(J58&lt;=EOMONTH(S$4,0),L58&gt;=S$4),1,""))</f>
        <v/>
      </c>
      <c r="T58" s="26">
        <f>IF(OR(J58="",L58=""),"",IF(AND(J58&lt;=EOMONTH(T$4,0),L58&gt;=T$4),1,""))</f>
        <v/>
      </c>
      <c r="U58" s="26">
        <f>IF(OR(J58="",L58=""),"",IF(AND(J58&lt;=EOMONTH(U$4,0),L58&gt;=U$4),1,""))</f>
        <v/>
      </c>
      <c r="V58" s="26">
        <f>IF(OR(J58="",L58=""),"",IF(AND(J58&lt;=EOMONTH(V$4,0),L58&gt;=V$4),1,""))</f>
        <v/>
      </c>
      <c r="W58" s="26">
        <f>IF(OR(J58="",L58=""),"",IF(AND(J58&lt;=EOMONTH(W$4,0),L58&gt;=W$4),1,""))</f>
        <v/>
      </c>
      <c r="X58" s="26">
        <f>IF(OR(J58="",L58=""),"",IF(AND(J58&lt;=EOMONTH(X$4,0),L58&gt;=X$4),1,""))</f>
        <v/>
      </c>
      <c r="Y58" s="26">
        <f>IF(OR(J58="",L58=""),"",IF(AND(J58&lt;=EOMONTH(Y$4,0),L58&gt;=Y$4),1,""))</f>
        <v/>
      </c>
      <c r="Z58" s="26">
        <f>IF(OR(J58="",L58=""),"",IF(AND(J58&lt;=EOMONTH(Z$4,0),L58&gt;=Z$4),1,""))</f>
        <v/>
      </c>
      <c r="AA58" s="26">
        <f>IF(OR(J58="",L58=""),"",IF(AND(J58&lt;=EOMONTH(AA$4,0),L58&gt;=AA$4),1,""))</f>
        <v/>
      </c>
      <c r="AB58" s="26">
        <f>IF(OR(J58="",L58=""),"",IF(AND(J58&lt;=EOMONTH(AB$4,0),L58&gt;=AB$4),1,""))</f>
        <v/>
      </c>
      <c r="AC58" s="26">
        <f>IF(OR(J58="",L58=""),"",IF(AND(J58&lt;=EOMONTH(AC$4,0),L58&gt;=AC$4),1,""))</f>
        <v/>
      </c>
      <c r="AD58" s="26">
        <f>IF(OR(J58="",L58=""),"",IF(AND(J58&lt;=EOMONTH(AD$4,0),L58&gt;=AD$4),1,""))</f>
        <v/>
      </c>
      <c r="AE58" s="26">
        <f>IF(OR(J58="",L58=""),"",IF(AND(J58&lt;=EOMONTH(AE$4,0),L58&gt;=AE$4),1,""))</f>
        <v/>
      </c>
      <c r="AF58" s="26">
        <f>IF(OR(J58="",L58=""),"",IF(AND(J58&lt;=EOMONTH(AF$4,0),L58&gt;=AF$4),1,""))</f>
        <v/>
      </c>
      <c r="AG58" s="26">
        <f>IF(OR(J58="",L58=""),"",IF(AND(J58&lt;=EOMONTH(AG$4,0),L58&gt;=AG$4),1,""))</f>
        <v/>
      </c>
      <c r="AH58" s="26">
        <f>IF(OR(J58="",L58=""),"",IF(AND(J58&lt;=EOMONTH(AH$4,0),L58&gt;=AH$4),1,""))</f>
        <v/>
      </c>
      <c r="AI58" s="26">
        <f>IF(OR(J58="",L58=""),"",IF(AND(J58&lt;=EOMONTH(AI$4,0),L58&gt;=AI$4),1,""))</f>
        <v/>
      </c>
      <c r="AJ58" s="26">
        <f>IF(OR(J58="",L58=""),"",IF(AND(J58&lt;=EOMONTH(AJ$4,0),L58&gt;=AJ$4),1,""))</f>
        <v/>
      </c>
      <c r="AK58" s="26">
        <f>IF(OR(J58="",L58=""),"",IF(AND(J58&lt;=EOMONTH(AK$4,0),L58&gt;=AK$4),1,""))</f>
        <v/>
      </c>
      <c r="AL58" s="26">
        <f>IF(OR(J58="",L58=""),"",IF(AND(J58&lt;=EOMONTH(AL$4,0),L58&gt;=AL$4),1,""))</f>
        <v/>
      </c>
      <c r="AM58" s="26">
        <f>IF(OR(J58="",L58=""),"",IF(AND(J58&lt;=EOMONTH(AM$4,0),L58&gt;=AM$4),1,""))</f>
        <v/>
      </c>
      <c r="AN58" s="26">
        <f>IF(OR(J58="",L58=""),"",IF(AND(J58&lt;=EOMONTH(AN$4,0),L58&gt;=AN$4),1,""))</f>
        <v/>
      </c>
      <c r="AO58" s="26">
        <f>IF(OR(J58="",L58=""),"",IF(AND(J58&lt;=EOMONTH(AO$4,0),L58&gt;=AO$4),1,""))</f>
        <v/>
      </c>
      <c r="AP58" s="26">
        <f>IF(OR(J58="",L58=""),"",IF(AND(J58&lt;=EOMONTH(AP$4,0),L58&gt;=AP$4),1,""))</f>
        <v/>
      </c>
      <c r="AQ58" s="26">
        <f>IF(OR(J58="",L58=""),"",IF(AND(J58&lt;=EOMONTH(AQ$4,0),L58&gt;=AQ$4),1,""))</f>
        <v/>
      </c>
      <c r="AR58" s="26">
        <f>IF(OR(J58="",L58=""),"",IF(AND(J58&lt;=EOMONTH(AR$4,0),L58&gt;=AR$4),1,""))</f>
        <v/>
      </c>
      <c r="AS58" s="26">
        <f>IF(OR(J58="",L58=""),"",IF(AND(J58&lt;=EOMONTH(AS$4,0),L58&gt;=AS$4),1,""))</f>
        <v/>
      </c>
      <c r="AT58" s="26">
        <f>IF(OR(J58="",L58=""),"",IF(AND(J58&lt;=EOMONTH(AT$4,0),L58&gt;=AT$4),1,""))</f>
        <v/>
      </c>
      <c r="AU58" s="26">
        <f>IF(OR(J58="",L58=""),"",IF(AND(J58&lt;=EOMONTH(AU$4,0),L58&gt;=AU$4),1,""))</f>
        <v/>
      </c>
      <c r="AV58" s="26">
        <f>IF(OR(J58="",L58=""),"",IF(AND(J58&lt;=EOMONTH(AV$4,0),L58&gt;=AV$4),1,""))</f>
        <v/>
      </c>
      <c r="AW58" s="26">
        <f>IF(OR(J58="",L58=""),"",IF(AND(J58&lt;=EOMONTH(AW$4,0),L58&gt;=AW$4),1,""))</f>
        <v/>
      </c>
      <c r="AX58" s="26">
        <f>IF(OR(J58="",L58=""),"",IF(AND(J58&lt;=EOMONTH(AX$4,0),L58&gt;=AX$4),1,""))</f>
        <v/>
      </c>
      <c r="AY58" s="26">
        <f>IF(OR(J58="",L58=""),"",IF(AND(J58&lt;=EOMONTH(AY$4,0),L58&gt;=AY$4),1,""))</f>
        <v/>
      </c>
      <c r="AZ58" s="26">
        <f>IF(OR(J58="",L58=""),"",IF(AND(J58&lt;=EOMONTH(AZ$4,0),L58&gt;=AZ$4),1,""))</f>
        <v/>
      </c>
      <c r="BA58" s="26">
        <f>IF(OR(J58="",L58=""),"",IF(AND(J58&lt;=EOMONTH(BA$4,0),L58&gt;=BA$4),1,""))</f>
        <v/>
      </c>
      <c r="BB58" s="26">
        <f>IF(OR(J58="",L58=""),"",IF(AND(J58&lt;=EOMONTH(BB$4,0),L58&gt;=BB$4),1,""))</f>
        <v/>
      </c>
    </row>
    <row r="59">
      <c r="A59" s="27" t="n"/>
      <c r="B59" s="28" t="n"/>
      <c r="C59" s="29" t="n"/>
      <c r="D59" s="30">
        <f>IF(E59="","","CWA-"&amp;MID(E59,5,4))</f>
        <v/>
      </c>
      <c r="E59" s="29" t="n"/>
      <c r="F59" s="31" t="n"/>
      <c r="G59" s="29" t="n"/>
      <c r="H59" s="28" t="n"/>
      <c r="I59" s="29" t="n"/>
      <c r="J59" s="32" t="n"/>
      <c r="K59" s="28" t="n"/>
      <c r="L59" s="33">
        <f>IF(OR(J59="",K59=""),"",J59+7*K59-1)</f>
        <v/>
      </c>
      <c r="M59" s="33">
        <f>IF(J59="","",J59-7*$E$3)</f>
        <v/>
      </c>
      <c r="N59" s="33">
        <f>IF(J59="","",J59-7*$H$3)</f>
        <v/>
      </c>
      <c r="O59" s="33">
        <f>IF(J59="","",J59-1*$K$3)</f>
        <v/>
      </c>
      <c r="P59" s="30">
        <f>IF(OR(E59="",I59="",I59="—"),IF(E59="","","OK"),IFERROR(IF(INDEX($L$6:$L$155,MATCH(I59,$E$6:$E$155,0))&gt;=J59,"Conflicto con predecesor","OK"),"Predecesor no encontrado"))</f>
        <v/>
      </c>
      <c r="Q59" s="29" t="n"/>
      <c r="R59" s="31" t="n"/>
      <c r="S59" s="26">
        <f>IF(OR(J59="",L59=""),"",IF(AND(J59&lt;=EOMONTH(S$4,0),L59&gt;=S$4),1,""))</f>
        <v/>
      </c>
      <c r="T59" s="26">
        <f>IF(OR(J59="",L59=""),"",IF(AND(J59&lt;=EOMONTH(T$4,0),L59&gt;=T$4),1,""))</f>
        <v/>
      </c>
      <c r="U59" s="26">
        <f>IF(OR(J59="",L59=""),"",IF(AND(J59&lt;=EOMONTH(U$4,0),L59&gt;=U$4),1,""))</f>
        <v/>
      </c>
      <c r="V59" s="26">
        <f>IF(OR(J59="",L59=""),"",IF(AND(J59&lt;=EOMONTH(V$4,0),L59&gt;=V$4),1,""))</f>
        <v/>
      </c>
      <c r="W59" s="26">
        <f>IF(OR(J59="",L59=""),"",IF(AND(J59&lt;=EOMONTH(W$4,0),L59&gt;=W$4),1,""))</f>
        <v/>
      </c>
      <c r="X59" s="26">
        <f>IF(OR(J59="",L59=""),"",IF(AND(J59&lt;=EOMONTH(X$4,0),L59&gt;=X$4),1,""))</f>
        <v/>
      </c>
      <c r="Y59" s="26">
        <f>IF(OR(J59="",L59=""),"",IF(AND(J59&lt;=EOMONTH(Y$4,0),L59&gt;=Y$4),1,""))</f>
        <v/>
      </c>
      <c r="Z59" s="26">
        <f>IF(OR(J59="",L59=""),"",IF(AND(J59&lt;=EOMONTH(Z$4,0),L59&gt;=Z$4),1,""))</f>
        <v/>
      </c>
      <c r="AA59" s="26">
        <f>IF(OR(J59="",L59=""),"",IF(AND(J59&lt;=EOMONTH(AA$4,0),L59&gt;=AA$4),1,""))</f>
        <v/>
      </c>
      <c r="AB59" s="26">
        <f>IF(OR(J59="",L59=""),"",IF(AND(J59&lt;=EOMONTH(AB$4,0),L59&gt;=AB$4),1,""))</f>
        <v/>
      </c>
      <c r="AC59" s="26">
        <f>IF(OR(J59="",L59=""),"",IF(AND(J59&lt;=EOMONTH(AC$4,0),L59&gt;=AC$4),1,""))</f>
        <v/>
      </c>
      <c r="AD59" s="26">
        <f>IF(OR(J59="",L59=""),"",IF(AND(J59&lt;=EOMONTH(AD$4,0),L59&gt;=AD$4),1,""))</f>
        <v/>
      </c>
      <c r="AE59" s="26">
        <f>IF(OR(J59="",L59=""),"",IF(AND(J59&lt;=EOMONTH(AE$4,0),L59&gt;=AE$4),1,""))</f>
        <v/>
      </c>
      <c r="AF59" s="26">
        <f>IF(OR(J59="",L59=""),"",IF(AND(J59&lt;=EOMONTH(AF$4,0),L59&gt;=AF$4),1,""))</f>
        <v/>
      </c>
      <c r="AG59" s="26">
        <f>IF(OR(J59="",L59=""),"",IF(AND(J59&lt;=EOMONTH(AG$4,0),L59&gt;=AG$4),1,""))</f>
        <v/>
      </c>
      <c r="AH59" s="26">
        <f>IF(OR(J59="",L59=""),"",IF(AND(J59&lt;=EOMONTH(AH$4,0),L59&gt;=AH$4),1,""))</f>
        <v/>
      </c>
      <c r="AI59" s="26">
        <f>IF(OR(J59="",L59=""),"",IF(AND(J59&lt;=EOMONTH(AI$4,0),L59&gt;=AI$4),1,""))</f>
        <v/>
      </c>
      <c r="AJ59" s="26">
        <f>IF(OR(J59="",L59=""),"",IF(AND(J59&lt;=EOMONTH(AJ$4,0),L59&gt;=AJ$4),1,""))</f>
        <v/>
      </c>
      <c r="AK59" s="26">
        <f>IF(OR(J59="",L59=""),"",IF(AND(J59&lt;=EOMONTH(AK$4,0),L59&gt;=AK$4),1,""))</f>
        <v/>
      </c>
      <c r="AL59" s="26">
        <f>IF(OR(J59="",L59=""),"",IF(AND(J59&lt;=EOMONTH(AL$4,0),L59&gt;=AL$4),1,""))</f>
        <v/>
      </c>
      <c r="AM59" s="26">
        <f>IF(OR(J59="",L59=""),"",IF(AND(J59&lt;=EOMONTH(AM$4,0),L59&gt;=AM$4),1,""))</f>
        <v/>
      </c>
      <c r="AN59" s="26">
        <f>IF(OR(J59="",L59=""),"",IF(AND(J59&lt;=EOMONTH(AN$4,0),L59&gt;=AN$4),1,""))</f>
        <v/>
      </c>
      <c r="AO59" s="26">
        <f>IF(OR(J59="",L59=""),"",IF(AND(J59&lt;=EOMONTH(AO$4,0),L59&gt;=AO$4),1,""))</f>
        <v/>
      </c>
      <c r="AP59" s="26">
        <f>IF(OR(J59="",L59=""),"",IF(AND(J59&lt;=EOMONTH(AP$4,0),L59&gt;=AP$4),1,""))</f>
        <v/>
      </c>
      <c r="AQ59" s="26">
        <f>IF(OR(J59="",L59=""),"",IF(AND(J59&lt;=EOMONTH(AQ$4,0),L59&gt;=AQ$4),1,""))</f>
        <v/>
      </c>
      <c r="AR59" s="26">
        <f>IF(OR(J59="",L59=""),"",IF(AND(J59&lt;=EOMONTH(AR$4,0),L59&gt;=AR$4),1,""))</f>
        <v/>
      </c>
      <c r="AS59" s="26">
        <f>IF(OR(J59="",L59=""),"",IF(AND(J59&lt;=EOMONTH(AS$4,0),L59&gt;=AS$4),1,""))</f>
        <v/>
      </c>
      <c r="AT59" s="26">
        <f>IF(OR(J59="",L59=""),"",IF(AND(J59&lt;=EOMONTH(AT$4,0),L59&gt;=AT$4),1,""))</f>
        <v/>
      </c>
      <c r="AU59" s="26">
        <f>IF(OR(J59="",L59=""),"",IF(AND(J59&lt;=EOMONTH(AU$4,0),L59&gt;=AU$4),1,""))</f>
        <v/>
      </c>
      <c r="AV59" s="26">
        <f>IF(OR(J59="",L59=""),"",IF(AND(J59&lt;=EOMONTH(AV$4,0),L59&gt;=AV$4),1,""))</f>
        <v/>
      </c>
      <c r="AW59" s="26">
        <f>IF(OR(J59="",L59=""),"",IF(AND(J59&lt;=EOMONTH(AW$4,0),L59&gt;=AW$4),1,""))</f>
        <v/>
      </c>
      <c r="AX59" s="26">
        <f>IF(OR(J59="",L59=""),"",IF(AND(J59&lt;=EOMONTH(AX$4,0),L59&gt;=AX$4),1,""))</f>
        <v/>
      </c>
      <c r="AY59" s="26">
        <f>IF(OR(J59="",L59=""),"",IF(AND(J59&lt;=EOMONTH(AY$4,0),L59&gt;=AY$4),1,""))</f>
        <v/>
      </c>
      <c r="AZ59" s="26">
        <f>IF(OR(J59="",L59=""),"",IF(AND(J59&lt;=EOMONTH(AZ$4,0),L59&gt;=AZ$4),1,""))</f>
        <v/>
      </c>
      <c r="BA59" s="26">
        <f>IF(OR(J59="",L59=""),"",IF(AND(J59&lt;=EOMONTH(BA$4,0),L59&gt;=BA$4),1,""))</f>
        <v/>
      </c>
      <c r="BB59" s="26">
        <f>IF(OR(J59="",L59=""),"",IF(AND(J59&lt;=EOMONTH(BB$4,0),L59&gt;=BB$4),1,""))</f>
        <v/>
      </c>
    </row>
    <row r="60">
      <c r="A60" s="27" t="n"/>
      <c r="B60" s="28" t="n"/>
      <c r="C60" s="29" t="n"/>
      <c r="D60" s="30">
        <f>IF(E60="","","CWA-"&amp;MID(E60,5,4))</f>
        <v/>
      </c>
      <c r="E60" s="29" t="n"/>
      <c r="F60" s="31" t="n"/>
      <c r="G60" s="29" t="n"/>
      <c r="H60" s="28" t="n"/>
      <c r="I60" s="29" t="n"/>
      <c r="J60" s="32" t="n"/>
      <c r="K60" s="28" t="n"/>
      <c r="L60" s="33">
        <f>IF(OR(J60="",K60=""),"",J60+7*K60-1)</f>
        <v/>
      </c>
      <c r="M60" s="33">
        <f>IF(J60="","",J60-7*$E$3)</f>
        <v/>
      </c>
      <c r="N60" s="33">
        <f>IF(J60="","",J60-7*$H$3)</f>
        <v/>
      </c>
      <c r="O60" s="33">
        <f>IF(J60="","",J60-1*$K$3)</f>
        <v/>
      </c>
      <c r="P60" s="30">
        <f>IF(OR(E60="",I60="",I60="—"),IF(E60="","","OK"),IFERROR(IF(INDEX($L$6:$L$155,MATCH(I60,$E$6:$E$155,0))&gt;=J60,"Conflicto con predecesor","OK"),"Predecesor no encontrado"))</f>
        <v/>
      </c>
      <c r="Q60" s="29" t="n"/>
      <c r="R60" s="31" t="n"/>
      <c r="S60" s="26">
        <f>IF(OR(J60="",L60=""),"",IF(AND(J60&lt;=EOMONTH(S$4,0),L60&gt;=S$4),1,""))</f>
        <v/>
      </c>
      <c r="T60" s="26">
        <f>IF(OR(J60="",L60=""),"",IF(AND(J60&lt;=EOMONTH(T$4,0),L60&gt;=T$4),1,""))</f>
        <v/>
      </c>
      <c r="U60" s="26">
        <f>IF(OR(J60="",L60=""),"",IF(AND(J60&lt;=EOMONTH(U$4,0),L60&gt;=U$4),1,""))</f>
        <v/>
      </c>
      <c r="V60" s="26">
        <f>IF(OR(J60="",L60=""),"",IF(AND(J60&lt;=EOMONTH(V$4,0),L60&gt;=V$4),1,""))</f>
        <v/>
      </c>
      <c r="W60" s="26">
        <f>IF(OR(J60="",L60=""),"",IF(AND(J60&lt;=EOMONTH(W$4,0),L60&gt;=W$4),1,""))</f>
        <v/>
      </c>
      <c r="X60" s="26">
        <f>IF(OR(J60="",L60=""),"",IF(AND(J60&lt;=EOMONTH(X$4,0),L60&gt;=X$4),1,""))</f>
        <v/>
      </c>
      <c r="Y60" s="26">
        <f>IF(OR(J60="",L60=""),"",IF(AND(J60&lt;=EOMONTH(Y$4,0),L60&gt;=Y$4),1,""))</f>
        <v/>
      </c>
      <c r="Z60" s="26">
        <f>IF(OR(J60="",L60=""),"",IF(AND(J60&lt;=EOMONTH(Z$4,0),L60&gt;=Z$4),1,""))</f>
        <v/>
      </c>
      <c r="AA60" s="26">
        <f>IF(OR(J60="",L60=""),"",IF(AND(J60&lt;=EOMONTH(AA$4,0),L60&gt;=AA$4),1,""))</f>
        <v/>
      </c>
      <c r="AB60" s="26">
        <f>IF(OR(J60="",L60=""),"",IF(AND(J60&lt;=EOMONTH(AB$4,0),L60&gt;=AB$4),1,""))</f>
        <v/>
      </c>
      <c r="AC60" s="26">
        <f>IF(OR(J60="",L60=""),"",IF(AND(J60&lt;=EOMONTH(AC$4,0),L60&gt;=AC$4),1,""))</f>
        <v/>
      </c>
      <c r="AD60" s="26">
        <f>IF(OR(J60="",L60=""),"",IF(AND(J60&lt;=EOMONTH(AD$4,0),L60&gt;=AD$4),1,""))</f>
        <v/>
      </c>
      <c r="AE60" s="26">
        <f>IF(OR(J60="",L60=""),"",IF(AND(J60&lt;=EOMONTH(AE$4,0),L60&gt;=AE$4),1,""))</f>
        <v/>
      </c>
      <c r="AF60" s="26">
        <f>IF(OR(J60="",L60=""),"",IF(AND(J60&lt;=EOMONTH(AF$4,0),L60&gt;=AF$4),1,""))</f>
        <v/>
      </c>
      <c r="AG60" s="26">
        <f>IF(OR(J60="",L60=""),"",IF(AND(J60&lt;=EOMONTH(AG$4,0),L60&gt;=AG$4),1,""))</f>
        <v/>
      </c>
      <c r="AH60" s="26">
        <f>IF(OR(J60="",L60=""),"",IF(AND(J60&lt;=EOMONTH(AH$4,0),L60&gt;=AH$4),1,""))</f>
        <v/>
      </c>
      <c r="AI60" s="26">
        <f>IF(OR(J60="",L60=""),"",IF(AND(J60&lt;=EOMONTH(AI$4,0),L60&gt;=AI$4),1,""))</f>
        <v/>
      </c>
      <c r="AJ60" s="26">
        <f>IF(OR(J60="",L60=""),"",IF(AND(J60&lt;=EOMONTH(AJ$4,0),L60&gt;=AJ$4),1,""))</f>
        <v/>
      </c>
      <c r="AK60" s="26">
        <f>IF(OR(J60="",L60=""),"",IF(AND(J60&lt;=EOMONTH(AK$4,0),L60&gt;=AK$4),1,""))</f>
        <v/>
      </c>
      <c r="AL60" s="26">
        <f>IF(OR(J60="",L60=""),"",IF(AND(J60&lt;=EOMONTH(AL$4,0),L60&gt;=AL$4),1,""))</f>
        <v/>
      </c>
      <c r="AM60" s="26">
        <f>IF(OR(J60="",L60=""),"",IF(AND(J60&lt;=EOMONTH(AM$4,0),L60&gt;=AM$4),1,""))</f>
        <v/>
      </c>
      <c r="AN60" s="26">
        <f>IF(OR(J60="",L60=""),"",IF(AND(J60&lt;=EOMONTH(AN$4,0),L60&gt;=AN$4),1,""))</f>
        <v/>
      </c>
      <c r="AO60" s="26">
        <f>IF(OR(J60="",L60=""),"",IF(AND(J60&lt;=EOMONTH(AO$4,0),L60&gt;=AO$4),1,""))</f>
        <v/>
      </c>
      <c r="AP60" s="26">
        <f>IF(OR(J60="",L60=""),"",IF(AND(J60&lt;=EOMONTH(AP$4,0),L60&gt;=AP$4),1,""))</f>
        <v/>
      </c>
      <c r="AQ60" s="26">
        <f>IF(OR(J60="",L60=""),"",IF(AND(J60&lt;=EOMONTH(AQ$4,0),L60&gt;=AQ$4),1,""))</f>
        <v/>
      </c>
      <c r="AR60" s="26">
        <f>IF(OR(J60="",L60=""),"",IF(AND(J60&lt;=EOMONTH(AR$4,0),L60&gt;=AR$4),1,""))</f>
        <v/>
      </c>
      <c r="AS60" s="26">
        <f>IF(OR(J60="",L60=""),"",IF(AND(J60&lt;=EOMONTH(AS$4,0),L60&gt;=AS$4),1,""))</f>
        <v/>
      </c>
      <c r="AT60" s="26">
        <f>IF(OR(J60="",L60=""),"",IF(AND(J60&lt;=EOMONTH(AT$4,0),L60&gt;=AT$4),1,""))</f>
        <v/>
      </c>
      <c r="AU60" s="26">
        <f>IF(OR(J60="",L60=""),"",IF(AND(J60&lt;=EOMONTH(AU$4,0),L60&gt;=AU$4),1,""))</f>
        <v/>
      </c>
      <c r="AV60" s="26">
        <f>IF(OR(J60="",L60=""),"",IF(AND(J60&lt;=EOMONTH(AV$4,0),L60&gt;=AV$4),1,""))</f>
        <v/>
      </c>
      <c r="AW60" s="26">
        <f>IF(OR(J60="",L60=""),"",IF(AND(J60&lt;=EOMONTH(AW$4,0),L60&gt;=AW$4),1,""))</f>
        <v/>
      </c>
      <c r="AX60" s="26">
        <f>IF(OR(J60="",L60=""),"",IF(AND(J60&lt;=EOMONTH(AX$4,0),L60&gt;=AX$4),1,""))</f>
        <v/>
      </c>
      <c r="AY60" s="26">
        <f>IF(OR(J60="",L60=""),"",IF(AND(J60&lt;=EOMONTH(AY$4,0),L60&gt;=AY$4),1,""))</f>
        <v/>
      </c>
      <c r="AZ60" s="26">
        <f>IF(OR(J60="",L60=""),"",IF(AND(J60&lt;=EOMONTH(AZ$4,0),L60&gt;=AZ$4),1,""))</f>
        <v/>
      </c>
      <c r="BA60" s="26">
        <f>IF(OR(J60="",L60=""),"",IF(AND(J60&lt;=EOMONTH(BA$4,0),L60&gt;=BA$4),1,""))</f>
        <v/>
      </c>
      <c r="BB60" s="26">
        <f>IF(OR(J60="",L60=""),"",IF(AND(J60&lt;=EOMONTH(BB$4,0),L60&gt;=BB$4),1,""))</f>
        <v/>
      </c>
    </row>
    <row r="61">
      <c r="A61" s="27" t="n"/>
      <c r="B61" s="28" t="n"/>
      <c r="C61" s="29" t="n"/>
      <c r="D61" s="30">
        <f>IF(E61="","","CWA-"&amp;MID(E61,5,4))</f>
        <v/>
      </c>
      <c r="E61" s="29" t="n"/>
      <c r="F61" s="31" t="n"/>
      <c r="G61" s="29" t="n"/>
      <c r="H61" s="28" t="n"/>
      <c r="I61" s="29" t="n"/>
      <c r="J61" s="32" t="n"/>
      <c r="K61" s="28" t="n"/>
      <c r="L61" s="33">
        <f>IF(OR(J61="",K61=""),"",J61+7*K61-1)</f>
        <v/>
      </c>
      <c r="M61" s="33">
        <f>IF(J61="","",J61-7*$E$3)</f>
        <v/>
      </c>
      <c r="N61" s="33">
        <f>IF(J61="","",J61-7*$H$3)</f>
        <v/>
      </c>
      <c r="O61" s="33">
        <f>IF(J61="","",J61-1*$K$3)</f>
        <v/>
      </c>
      <c r="P61" s="30">
        <f>IF(OR(E61="",I61="",I61="—"),IF(E61="","","OK"),IFERROR(IF(INDEX($L$6:$L$155,MATCH(I61,$E$6:$E$155,0))&gt;=J61,"Conflicto con predecesor","OK"),"Predecesor no encontrado"))</f>
        <v/>
      </c>
      <c r="Q61" s="29" t="n"/>
      <c r="R61" s="31" t="n"/>
      <c r="S61" s="26">
        <f>IF(OR(J61="",L61=""),"",IF(AND(J61&lt;=EOMONTH(S$4,0),L61&gt;=S$4),1,""))</f>
        <v/>
      </c>
      <c r="T61" s="26">
        <f>IF(OR(J61="",L61=""),"",IF(AND(J61&lt;=EOMONTH(T$4,0),L61&gt;=T$4),1,""))</f>
        <v/>
      </c>
      <c r="U61" s="26">
        <f>IF(OR(J61="",L61=""),"",IF(AND(J61&lt;=EOMONTH(U$4,0),L61&gt;=U$4),1,""))</f>
        <v/>
      </c>
      <c r="V61" s="26">
        <f>IF(OR(J61="",L61=""),"",IF(AND(J61&lt;=EOMONTH(V$4,0),L61&gt;=V$4),1,""))</f>
        <v/>
      </c>
      <c r="W61" s="26">
        <f>IF(OR(J61="",L61=""),"",IF(AND(J61&lt;=EOMONTH(W$4,0),L61&gt;=W$4),1,""))</f>
        <v/>
      </c>
      <c r="X61" s="26">
        <f>IF(OR(J61="",L61=""),"",IF(AND(J61&lt;=EOMONTH(X$4,0),L61&gt;=X$4),1,""))</f>
        <v/>
      </c>
      <c r="Y61" s="26">
        <f>IF(OR(J61="",L61=""),"",IF(AND(J61&lt;=EOMONTH(Y$4,0),L61&gt;=Y$4),1,""))</f>
        <v/>
      </c>
      <c r="Z61" s="26">
        <f>IF(OR(J61="",L61=""),"",IF(AND(J61&lt;=EOMONTH(Z$4,0),L61&gt;=Z$4),1,""))</f>
        <v/>
      </c>
      <c r="AA61" s="26">
        <f>IF(OR(J61="",L61=""),"",IF(AND(J61&lt;=EOMONTH(AA$4,0),L61&gt;=AA$4),1,""))</f>
        <v/>
      </c>
      <c r="AB61" s="26">
        <f>IF(OR(J61="",L61=""),"",IF(AND(J61&lt;=EOMONTH(AB$4,0),L61&gt;=AB$4),1,""))</f>
        <v/>
      </c>
      <c r="AC61" s="26">
        <f>IF(OR(J61="",L61=""),"",IF(AND(J61&lt;=EOMONTH(AC$4,0),L61&gt;=AC$4),1,""))</f>
        <v/>
      </c>
      <c r="AD61" s="26">
        <f>IF(OR(J61="",L61=""),"",IF(AND(J61&lt;=EOMONTH(AD$4,0),L61&gt;=AD$4),1,""))</f>
        <v/>
      </c>
      <c r="AE61" s="26">
        <f>IF(OR(J61="",L61=""),"",IF(AND(J61&lt;=EOMONTH(AE$4,0),L61&gt;=AE$4),1,""))</f>
        <v/>
      </c>
      <c r="AF61" s="26">
        <f>IF(OR(J61="",L61=""),"",IF(AND(J61&lt;=EOMONTH(AF$4,0),L61&gt;=AF$4),1,""))</f>
        <v/>
      </c>
      <c r="AG61" s="26">
        <f>IF(OR(J61="",L61=""),"",IF(AND(J61&lt;=EOMONTH(AG$4,0),L61&gt;=AG$4),1,""))</f>
        <v/>
      </c>
      <c r="AH61" s="26">
        <f>IF(OR(J61="",L61=""),"",IF(AND(J61&lt;=EOMONTH(AH$4,0),L61&gt;=AH$4),1,""))</f>
        <v/>
      </c>
      <c r="AI61" s="26">
        <f>IF(OR(J61="",L61=""),"",IF(AND(J61&lt;=EOMONTH(AI$4,0),L61&gt;=AI$4),1,""))</f>
        <v/>
      </c>
      <c r="AJ61" s="26">
        <f>IF(OR(J61="",L61=""),"",IF(AND(J61&lt;=EOMONTH(AJ$4,0),L61&gt;=AJ$4),1,""))</f>
        <v/>
      </c>
      <c r="AK61" s="26">
        <f>IF(OR(J61="",L61=""),"",IF(AND(J61&lt;=EOMONTH(AK$4,0),L61&gt;=AK$4),1,""))</f>
        <v/>
      </c>
      <c r="AL61" s="26">
        <f>IF(OR(J61="",L61=""),"",IF(AND(J61&lt;=EOMONTH(AL$4,0),L61&gt;=AL$4),1,""))</f>
        <v/>
      </c>
      <c r="AM61" s="26">
        <f>IF(OR(J61="",L61=""),"",IF(AND(J61&lt;=EOMONTH(AM$4,0),L61&gt;=AM$4),1,""))</f>
        <v/>
      </c>
      <c r="AN61" s="26">
        <f>IF(OR(J61="",L61=""),"",IF(AND(J61&lt;=EOMONTH(AN$4,0),L61&gt;=AN$4),1,""))</f>
        <v/>
      </c>
      <c r="AO61" s="26">
        <f>IF(OR(J61="",L61=""),"",IF(AND(J61&lt;=EOMONTH(AO$4,0),L61&gt;=AO$4),1,""))</f>
        <v/>
      </c>
      <c r="AP61" s="26">
        <f>IF(OR(J61="",L61=""),"",IF(AND(J61&lt;=EOMONTH(AP$4,0),L61&gt;=AP$4),1,""))</f>
        <v/>
      </c>
      <c r="AQ61" s="26">
        <f>IF(OR(J61="",L61=""),"",IF(AND(J61&lt;=EOMONTH(AQ$4,0),L61&gt;=AQ$4),1,""))</f>
        <v/>
      </c>
      <c r="AR61" s="26">
        <f>IF(OR(J61="",L61=""),"",IF(AND(J61&lt;=EOMONTH(AR$4,0),L61&gt;=AR$4),1,""))</f>
        <v/>
      </c>
      <c r="AS61" s="26">
        <f>IF(OR(J61="",L61=""),"",IF(AND(J61&lt;=EOMONTH(AS$4,0),L61&gt;=AS$4),1,""))</f>
        <v/>
      </c>
      <c r="AT61" s="26">
        <f>IF(OR(J61="",L61=""),"",IF(AND(J61&lt;=EOMONTH(AT$4,0),L61&gt;=AT$4),1,""))</f>
        <v/>
      </c>
      <c r="AU61" s="26">
        <f>IF(OR(J61="",L61=""),"",IF(AND(J61&lt;=EOMONTH(AU$4,0),L61&gt;=AU$4),1,""))</f>
        <v/>
      </c>
      <c r="AV61" s="26">
        <f>IF(OR(J61="",L61=""),"",IF(AND(J61&lt;=EOMONTH(AV$4,0),L61&gt;=AV$4),1,""))</f>
        <v/>
      </c>
      <c r="AW61" s="26">
        <f>IF(OR(J61="",L61=""),"",IF(AND(J61&lt;=EOMONTH(AW$4,0),L61&gt;=AW$4),1,""))</f>
        <v/>
      </c>
      <c r="AX61" s="26">
        <f>IF(OR(J61="",L61=""),"",IF(AND(J61&lt;=EOMONTH(AX$4,0),L61&gt;=AX$4),1,""))</f>
        <v/>
      </c>
      <c r="AY61" s="26">
        <f>IF(OR(J61="",L61=""),"",IF(AND(J61&lt;=EOMONTH(AY$4,0),L61&gt;=AY$4),1,""))</f>
        <v/>
      </c>
      <c r="AZ61" s="26">
        <f>IF(OR(J61="",L61=""),"",IF(AND(J61&lt;=EOMONTH(AZ$4,0),L61&gt;=AZ$4),1,""))</f>
        <v/>
      </c>
      <c r="BA61" s="26">
        <f>IF(OR(J61="",L61=""),"",IF(AND(J61&lt;=EOMONTH(BA$4,0),L61&gt;=BA$4),1,""))</f>
        <v/>
      </c>
      <c r="BB61" s="26">
        <f>IF(OR(J61="",L61=""),"",IF(AND(J61&lt;=EOMONTH(BB$4,0),L61&gt;=BB$4),1,""))</f>
        <v/>
      </c>
    </row>
    <row r="62">
      <c r="A62" s="27" t="n"/>
      <c r="B62" s="28" t="n"/>
      <c r="C62" s="29" t="n"/>
      <c r="D62" s="30">
        <f>IF(E62="","","CWA-"&amp;MID(E62,5,4))</f>
        <v/>
      </c>
      <c r="E62" s="29" t="n"/>
      <c r="F62" s="31" t="n"/>
      <c r="G62" s="29" t="n"/>
      <c r="H62" s="28" t="n"/>
      <c r="I62" s="29" t="n"/>
      <c r="J62" s="32" t="n"/>
      <c r="K62" s="28" t="n"/>
      <c r="L62" s="33">
        <f>IF(OR(J62="",K62=""),"",J62+7*K62-1)</f>
        <v/>
      </c>
      <c r="M62" s="33">
        <f>IF(J62="","",J62-7*$E$3)</f>
        <v/>
      </c>
      <c r="N62" s="33">
        <f>IF(J62="","",J62-7*$H$3)</f>
        <v/>
      </c>
      <c r="O62" s="33">
        <f>IF(J62="","",J62-1*$K$3)</f>
        <v/>
      </c>
      <c r="P62" s="30">
        <f>IF(OR(E62="",I62="",I62="—"),IF(E62="","","OK"),IFERROR(IF(INDEX($L$6:$L$155,MATCH(I62,$E$6:$E$155,0))&gt;=J62,"Conflicto con predecesor","OK"),"Predecesor no encontrado"))</f>
        <v/>
      </c>
      <c r="Q62" s="29" t="n"/>
      <c r="R62" s="31" t="n"/>
      <c r="S62" s="26">
        <f>IF(OR(J62="",L62=""),"",IF(AND(J62&lt;=EOMONTH(S$4,0),L62&gt;=S$4),1,""))</f>
        <v/>
      </c>
      <c r="T62" s="26">
        <f>IF(OR(J62="",L62=""),"",IF(AND(J62&lt;=EOMONTH(T$4,0),L62&gt;=T$4),1,""))</f>
        <v/>
      </c>
      <c r="U62" s="26">
        <f>IF(OR(J62="",L62=""),"",IF(AND(J62&lt;=EOMONTH(U$4,0),L62&gt;=U$4),1,""))</f>
        <v/>
      </c>
      <c r="V62" s="26">
        <f>IF(OR(J62="",L62=""),"",IF(AND(J62&lt;=EOMONTH(V$4,0),L62&gt;=V$4),1,""))</f>
        <v/>
      </c>
      <c r="W62" s="26">
        <f>IF(OR(J62="",L62=""),"",IF(AND(J62&lt;=EOMONTH(W$4,0),L62&gt;=W$4),1,""))</f>
        <v/>
      </c>
      <c r="X62" s="26">
        <f>IF(OR(J62="",L62=""),"",IF(AND(J62&lt;=EOMONTH(X$4,0),L62&gt;=X$4),1,""))</f>
        <v/>
      </c>
      <c r="Y62" s="26">
        <f>IF(OR(J62="",L62=""),"",IF(AND(J62&lt;=EOMONTH(Y$4,0),L62&gt;=Y$4),1,""))</f>
        <v/>
      </c>
      <c r="Z62" s="26">
        <f>IF(OR(J62="",L62=""),"",IF(AND(J62&lt;=EOMONTH(Z$4,0),L62&gt;=Z$4),1,""))</f>
        <v/>
      </c>
      <c r="AA62" s="26">
        <f>IF(OR(J62="",L62=""),"",IF(AND(J62&lt;=EOMONTH(AA$4,0),L62&gt;=AA$4),1,""))</f>
        <v/>
      </c>
      <c r="AB62" s="26">
        <f>IF(OR(J62="",L62=""),"",IF(AND(J62&lt;=EOMONTH(AB$4,0),L62&gt;=AB$4),1,""))</f>
        <v/>
      </c>
      <c r="AC62" s="26">
        <f>IF(OR(J62="",L62=""),"",IF(AND(J62&lt;=EOMONTH(AC$4,0),L62&gt;=AC$4),1,""))</f>
        <v/>
      </c>
      <c r="AD62" s="26">
        <f>IF(OR(J62="",L62=""),"",IF(AND(J62&lt;=EOMONTH(AD$4,0),L62&gt;=AD$4),1,""))</f>
        <v/>
      </c>
      <c r="AE62" s="26">
        <f>IF(OR(J62="",L62=""),"",IF(AND(J62&lt;=EOMONTH(AE$4,0),L62&gt;=AE$4),1,""))</f>
        <v/>
      </c>
      <c r="AF62" s="26">
        <f>IF(OR(J62="",L62=""),"",IF(AND(J62&lt;=EOMONTH(AF$4,0),L62&gt;=AF$4),1,""))</f>
        <v/>
      </c>
      <c r="AG62" s="26">
        <f>IF(OR(J62="",L62=""),"",IF(AND(J62&lt;=EOMONTH(AG$4,0),L62&gt;=AG$4),1,""))</f>
        <v/>
      </c>
      <c r="AH62" s="26">
        <f>IF(OR(J62="",L62=""),"",IF(AND(J62&lt;=EOMONTH(AH$4,0),L62&gt;=AH$4),1,""))</f>
        <v/>
      </c>
      <c r="AI62" s="26">
        <f>IF(OR(J62="",L62=""),"",IF(AND(J62&lt;=EOMONTH(AI$4,0),L62&gt;=AI$4),1,""))</f>
        <v/>
      </c>
      <c r="AJ62" s="26">
        <f>IF(OR(J62="",L62=""),"",IF(AND(J62&lt;=EOMONTH(AJ$4,0),L62&gt;=AJ$4),1,""))</f>
        <v/>
      </c>
      <c r="AK62" s="26">
        <f>IF(OR(J62="",L62=""),"",IF(AND(J62&lt;=EOMONTH(AK$4,0),L62&gt;=AK$4),1,""))</f>
        <v/>
      </c>
      <c r="AL62" s="26">
        <f>IF(OR(J62="",L62=""),"",IF(AND(J62&lt;=EOMONTH(AL$4,0),L62&gt;=AL$4),1,""))</f>
        <v/>
      </c>
      <c r="AM62" s="26">
        <f>IF(OR(J62="",L62=""),"",IF(AND(J62&lt;=EOMONTH(AM$4,0),L62&gt;=AM$4),1,""))</f>
        <v/>
      </c>
      <c r="AN62" s="26">
        <f>IF(OR(J62="",L62=""),"",IF(AND(J62&lt;=EOMONTH(AN$4,0),L62&gt;=AN$4),1,""))</f>
        <v/>
      </c>
      <c r="AO62" s="26">
        <f>IF(OR(J62="",L62=""),"",IF(AND(J62&lt;=EOMONTH(AO$4,0),L62&gt;=AO$4),1,""))</f>
        <v/>
      </c>
      <c r="AP62" s="26">
        <f>IF(OR(J62="",L62=""),"",IF(AND(J62&lt;=EOMONTH(AP$4,0),L62&gt;=AP$4),1,""))</f>
        <v/>
      </c>
      <c r="AQ62" s="26">
        <f>IF(OR(J62="",L62=""),"",IF(AND(J62&lt;=EOMONTH(AQ$4,0),L62&gt;=AQ$4),1,""))</f>
        <v/>
      </c>
      <c r="AR62" s="26">
        <f>IF(OR(J62="",L62=""),"",IF(AND(J62&lt;=EOMONTH(AR$4,0),L62&gt;=AR$4),1,""))</f>
        <v/>
      </c>
      <c r="AS62" s="26">
        <f>IF(OR(J62="",L62=""),"",IF(AND(J62&lt;=EOMONTH(AS$4,0),L62&gt;=AS$4),1,""))</f>
        <v/>
      </c>
      <c r="AT62" s="26">
        <f>IF(OR(J62="",L62=""),"",IF(AND(J62&lt;=EOMONTH(AT$4,0),L62&gt;=AT$4),1,""))</f>
        <v/>
      </c>
      <c r="AU62" s="26">
        <f>IF(OR(J62="",L62=""),"",IF(AND(J62&lt;=EOMONTH(AU$4,0),L62&gt;=AU$4),1,""))</f>
        <v/>
      </c>
      <c r="AV62" s="26">
        <f>IF(OR(J62="",L62=""),"",IF(AND(J62&lt;=EOMONTH(AV$4,0),L62&gt;=AV$4),1,""))</f>
        <v/>
      </c>
      <c r="AW62" s="26">
        <f>IF(OR(J62="",L62=""),"",IF(AND(J62&lt;=EOMONTH(AW$4,0),L62&gt;=AW$4),1,""))</f>
        <v/>
      </c>
      <c r="AX62" s="26">
        <f>IF(OR(J62="",L62=""),"",IF(AND(J62&lt;=EOMONTH(AX$4,0),L62&gt;=AX$4),1,""))</f>
        <v/>
      </c>
      <c r="AY62" s="26">
        <f>IF(OR(J62="",L62=""),"",IF(AND(J62&lt;=EOMONTH(AY$4,0),L62&gt;=AY$4),1,""))</f>
        <v/>
      </c>
      <c r="AZ62" s="26">
        <f>IF(OR(J62="",L62=""),"",IF(AND(J62&lt;=EOMONTH(AZ$4,0),L62&gt;=AZ$4),1,""))</f>
        <v/>
      </c>
      <c r="BA62" s="26">
        <f>IF(OR(J62="",L62=""),"",IF(AND(J62&lt;=EOMONTH(BA$4,0),L62&gt;=BA$4),1,""))</f>
        <v/>
      </c>
      <c r="BB62" s="26">
        <f>IF(OR(J62="",L62=""),"",IF(AND(J62&lt;=EOMONTH(BB$4,0),L62&gt;=BB$4),1,""))</f>
        <v/>
      </c>
    </row>
    <row r="63">
      <c r="A63" s="27" t="n"/>
      <c r="B63" s="28" t="n"/>
      <c r="C63" s="29" t="n"/>
      <c r="D63" s="30">
        <f>IF(E63="","","CWA-"&amp;MID(E63,5,4))</f>
        <v/>
      </c>
      <c r="E63" s="29" t="n"/>
      <c r="F63" s="31" t="n"/>
      <c r="G63" s="29" t="n"/>
      <c r="H63" s="28" t="n"/>
      <c r="I63" s="29" t="n"/>
      <c r="J63" s="32" t="n"/>
      <c r="K63" s="28" t="n"/>
      <c r="L63" s="33">
        <f>IF(OR(J63="",K63=""),"",J63+7*K63-1)</f>
        <v/>
      </c>
      <c r="M63" s="33">
        <f>IF(J63="","",J63-7*$E$3)</f>
        <v/>
      </c>
      <c r="N63" s="33">
        <f>IF(J63="","",J63-7*$H$3)</f>
        <v/>
      </c>
      <c r="O63" s="33">
        <f>IF(J63="","",J63-1*$K$3)</f>
        <v/>
      </c>
      <c r="P63" s="30">
        <f>IF(OR(E63="",I63="",I63="—"),IF(E63="","","OK"),IFERROR(IF(INDEX($L$6:$L$155,MATCH(I63,$E$6:$E$155,0))&gt;=J63,"Conflicto con predecesor","OK"),"Predecesor no encontrado"))</f>
        <v/>
      </c>
      <c r="Q63" s="29" t="n"/>
      <c r="R63" s="31" t="n"/>
      <c r="S63" s="26">
        <f>IF(OR(J63="",L63=""),"",IF(AND(J63&lt;=EOMONTH(S$4,0),L63&gt;=S$4),1,""))</f>
        <v/>
      </c>
      <c r="T63" s="26">
        <f>IF(OR(J63="",L63=""),"",IF(AND(J63&lt;=EOMONTH(T$4,0),L63&gt;=T$4),1,""))</f>
        <v/>
      </c>
      <c r="U63" s="26">
        <f>IF(OR(J63="",L63=""),"",IF(AND(J63&lt;=EOMONTH(U$4,0),L63&gt;=U$4),1,""))</f>
        <v/>
      </c>
      <c r="V63" s="26">
        <f>IF(OR(J63="",L63=""),"",IF(AND(J63&lt;=EOMONTH(V$4,0),L63&gt;=V$4),1,""))</f>
        <v/>
      </c>
      <c r="W63" s="26">
        <f>IF(OR(J63="",L63=""),"",IF(AND(J63&lt;=EOMONTH(W$4,0),L63&gt;=W$4),1,""))</f>
        <v/>
      </c>
      <c r="X63" s="26">
        <f>IF(OR(J63="",L63=""),"",IF(AND(J63&lt;=EOMONTH(X$4,0),L63&gt;=X$4),1,""))</f>
        <v/>
      </c>
      <c r="Y63" s="26">
        <f>IF(OR(J63="",L63=""),"",IF(AND(J63&lt;=EOMONTH(Y$4,0),L63&gt;=Y$4),1,""))</f>
        <v/>
      </c>
      <c r="Z63" s="26">
        <f>IF(OR(J63="",L63=""),"",IF(AND(J63&lt;=EOMONTH(Z$4,0),L63&gt;=Z$4),1,""))</f>
        <v/>
      </c>
      <c r="AA63" s="26">
        <f>IF(OR(J63="",L63=""),"",IF(AND(J63&lt;=EOMONTH(AA$4,0),L63&gt;=AA$4),1,""))</f>
        <v/>
      </c>
      <c r="AB63" s="26">
        <f>IF(OR(J63="",L63=""),"",IF(AND(J63&lt;=EOMONTH(AB$4,0),L63&gt;=AB$4),1,""))</f>
        <v/>
      </c>
      <c r="AC63" s="26">
        <f>IF(OR(J63="",L63=""),"",IF(AND(J63&lt;=EOMONTH(AC$4,0),L63&gt;=AC$4),1,""))</f>
        <v/>
      </c>
      <c r="AD63" s="26">
        <f>IF(OR(J63="",L63=""),"",IF(AND(J63&lt;=EOMONTH(AD$4,0),L63&gt;=AD$4),1,""))</f>
        <v/>
      </c>
      <c r="AE63" s="26">
        <f>IF(OR(J63="",L63=""),"",IF(AND(J63&lt;=EOMONTH(AE$4,0),L63&gt;=AE$4),1,""))</f>
        <v/>
      </c>
      <c r="AF63" s="26">
        <f>IF(OR(J63="",L63=""),"",IF(AND(J63&lt;=EOMONTH(AF$4,0),L63&gt;=AF$4),1,""))</f>
        <v/>
      </c>
      <c r="AG63" s="26">
        <f>IF(OR(J63="",L63=""),"",IF(AND(J63&lt;=EOMONTH(AG$4,0),L63&gt;=AG$4),1,""))</f>
        <v/>
      </c>
      <c r="AH63" s="26">
        <f>IF(OR(J63="",L63=""),"",IF(AND(J63&lt;=EOMONTH(AH$4,0),L63&gt;=AH$4),1,""))</f>
        <v/>
      </c>
      <c r="AI63" s="26">
        <f>IF(OR(J63="",L63=""),"",IF(AND(J63&lt;=EOMONTH(AI$4,0),L63&gt;=AI$4),1,""))</f>
        <v/>
      </c>
      <c r="AJ63" s="26">
        <f>IF(OR(J63="",L63=""),"",IF(AND(J63&lt;=EOMONTH(AJ$4,0),L63&gt;=AJ$4),1,""))</f>
        <v/>
      </c>
      <c r="AK63" s="26">
        <f>IF(OR(J63="",L63=""),"",IF(AND(J63&lt;=EOMONTH(AK$4,0),L63&gt;=AK$4),1,""))</f>
        <v/>
      </c>
      <c r="AL63" s="26">
        <f>IF(OR(J63="",L63=""),"",IF(AND(J63&lt;=EOMONTH(AL$4,0),L63&gt;=AL$4),1,""))</f>
        <v/>
      </c>
      <c r="AM63" s="26">
        <f>IF(OR(J63="",L63=""),"",IF(AND(J63&lt;=EOMONTH(AM$4,0),L63&gt;=AM$4),1,""))</f>
        <v/>
      </c>
      <c r="AN63" s="26">
        <f>IF(OR(J63="",L63=""),"",IF(AND(J63&lt;=EOMONTH(AN$4,0),L63&gt;=AN$4),1,""))</f>
        <v/>
      </c>
      <c r="AO63" s="26">
        <f>IF(OR(J63="",L63=""),"",IF(AND(J63&lt;=EOMONTH(AO$4,0),L63&gt;=AO$4),1,""))</f>
        <v/>
      </c>
      <c r="AP63" s="26">
        <f>IF(OR(J63="",L63=""),"",IF(AND(J63&lt;=EOMONTH(AP$4,0),L63&gt;=AP$4),1,""))</f>
        <v/>
      </c>
      <c r="AQ63" s="26">
        <f>IF(OR(J63="",L63=""),"",IF(AND(J63&lt;=EOMONTH(AQ$4,0),L63&gt;=AQ$4),1,""))</f>
        <v/>
      </c>
      <c r="AR63" s="26">
        <f>IF(OR(J63="",L63=""),"",IF(AND(J63&lt;=EOMONTH(AR$4,0),L63&gt;=AR$4),1,""))</f>
        <v/>
      </c>
      <c r="AS63" s="26">
        <f>IF(OR(J63="",L63=""),"",IF(AND(J63&lt;=EOMONTH(AS$4,0),L63&gt;=AS$4),1,""))</f>
        <v/>
      </c>
      <c r="AT63" s="26">
        <f>IF(OR(J63="",L63=""),"",IF(AND(J63&lt;=EOMONTH(AT$4,0),L63&gt;=AT$4),1,""))</f>
        <v/>
      </c>
      <c r="AU63" s="26">
        <f>IF(OR(J63="",L63=""),"",IF(AND(J63&lt;=EOMONTH(AU$4,0),L63&gt;=AU$4),1,""))</f>
        <v/>
      </c>
      <c r="AV63" s="26">
        <f>IF(OR(J63="",L63=""),"",IF(AND(J63&lt;=EOMONTH(AV$4,0),L63&gt;=AV$4),1,""))</f>
        <v/>
      </c>
      <c r="AW63" s="26">
        <f>IF(OR(J63="",L63=""),"",IF(AND(J63&lt;=EOMONTH(AW$4,0),L63&gt;=AW$4),1,""))</f>
        <v/>
      </c>
      <c r="AX63" s="26">
        <f>IF(OR(J63="",L63=""),"",IF(AND(J63&lt;=EOMONTH(AX$4,0),L63&gt;=AX$4),1,""))</f>
        <v/>
      </c>
      <c r="AY63" s="26">
        <f>IF(OR(J63="",L63=""),"",IF(AND(J63&lt;=EOMONTH(AY$4,0),L63&gt;=AY$4),1,""))</f>
        <v/>
      </c>
      <c r="AZ63" s="26">
        <f>IF(OR(J63="",L63=""),"",IF(AND(J63&lt;=EOMONTH(AZ$4,0),L63&gt;=AZ$4),1,""))</f>
        <v/>
      </c>
      <c r="BA63" s="26">
        <f>IF(OR(J63="",L63=""),"",IF(AND(J63&lt;=EOMONTH(BA$4,0),L63&gt;=BA$4),1,""))</f>
        <v/>
      </c>
      <c r="BB63" s="26">
        <f>IF(OR(J63="",L63=""),"",IF(AND(J63&lt;=EOMONTH(BB$4,0),L63&gt;=BB$4),1,""))</f>
        <v/>
      </c>
    </row>
    <row r="64">
      <c r="A64" s="27" t="n"/>
      <c r="B64" s="28" t="n"/>
      <c r="C64" s="29" t="n"/>
      <c r="D64" s="30">
        <f>IF(E64="","","CWA-"&amp;MID(E64,5,4))</f>
        <v/>
      </c>
      <c r="E64" s="29" t="n"/>
      <c r="F64" s="31" t="n"/>
      <c r="G64" s="29" t="n"/>
      <c r="H64" s="28" t="n"/>
      <c r="I64" s="29" t="n"/>
      <c r="J64" s="32" t="n"/>
      <c r="K64" s="28" t="n"/>
      <c r="L64" s="33">
        <f>IF(OR(J64="",K64=""),"",J64+7*K64-1)</f>
        <v/>
      </c>
      <c r="M64" s="33">
        <f>IF(J64="","",J64-7*$E$3)</f>
        <v/>
      </c>
      <c r="N64" s="33">
        <f>IF(J64="","",J64-7*$H$3)</f>
        <v/>
      </c>
      <c r="O64" s="33">
        <f>IF(J64="","",J64-1*$K$3)</f>
        <v/>
      </c>
      <c r="P64" s="30">
        <f>IF(OR(E64="",I64="",I64="—"),IF(E64="","","OK"),IFERROR(IF(INDEX($L$6:$L$155,MATCH(I64,$E$6:$E$155,0))&gt;=J64,"Conflicto con predecesor","OK"),"Predecesor no encontrado"))</f>
        <v/>
      </c>
      <c r="Q64" s="29" t="n"/>
      <c r="R64" s="31" t="n"/>
      <c r="S64" s="26">
        <f>IF(OR(J64="",L64=""),"",IF(AND(J64&lt;=EOMONTH(S$4,0),L64&gt;=S$4),1,""))</f>
        <v/>
      </c>
      <c r="T64" s="26">
        <f>IF(OR(J64="",L64=""),"",IF(AND(J64&lt;=EOMONTH(T$4,0),L64&gt;=T$4),1,""))</f>
        <v/>
      </c>
      <c r="U64" s="26">
        <f>IF(OR(J64="",L64=""),"",IF(AND(J64&lt;=EOMONTH(U$4,0),L64&gt;=U$4),1,""))</f>
        <v/>
      </c>
      <c r="V64" s="26">
        <f>IF(OR(J64="",L64=""),"",IF(AND(J64&lt;=EOMONTH(V$4,0),L64&gt;=V$4),1,""))</f>
        <v/>
      </c>
      <c r="W64" s="26">
        <f>IF(OR(J64="",L64=""),"",IF(AND(J64&lt;=EOMONTH(W$4,0),L64&gt;=W$4),1,""))</f>
        <v/>
      </c>
      <c r="X64" s="26">
        <f>IF(OR(J64="",L64=""),"",IF(AND(J64&lt;=EOMONTH(X$4,0),L64&gt;=X$4),1,""))</f>
        <v/>
      </c>
      <c r="Y64" s="26">
        <f>IF(OR(J64="",L64=""),"",IF(AND(J64&lt;=EOMONTH(Y$4,0),L64&gt;=Y$4),1,""))</f>
        <v/>
      </c>
      <c r="Z64" s="26">
        <f>IF(OR(J64="",L64=""),"",IF(AND(J64&lt;=EOMONTH(Z$4,0),L64&gt;=Z$4),1,""))</f>
        <v/>
      </c>
      <c r="AA64" s="26">
        <f>IF(OR(J64="",L64=""),"",IF(AND(J64&lt;=EOMONTH(AA$4,0),L64&gt;=AA$4),1,""))</f>
        <v/>
      </c>
      <c r="AB64" s="26">
        <f>IF(OR(J64="",L64=""),"",IF(AND(J64&lt;=EOMONTH(AB$4,0),L64&gt;=AB$4),1,""))</f>
        <v/>
      </c>
      <c r="AC64" s="26">
        <f>IF(OR(J64="",L64=""),"",IF(AND(J64&lt;=EOMONTH(AC$4,0),L64&gt;=AC$4),1,""))</f>
        <v/>
      </c>
      <c r="AD64" s="26">
        <f>IF(OR(J64="",L64=""),"",IF(AND(J64&lt;=EOMONTH(AD$4,0),L64&gt;=AD$4),1,""))</f>
        <v/>
      </c>
      <c r="AE64" s="26">
        <f>IF(OR(J64="",L64=""),"",IF(AND(J64&lt;=EOMONTH(AE$4,0),L64&gt;=AE$4),1,""))</f>
        <v/>
      </c>
      <c r="AF64" s="26">
        <f>IF(OR(J64="",L64=""),"",IF(AND(J64&lt;=EOMONTH(AF$4,0),L64&gt;=AF$4),1,""))</f>
        <v/>
      </c>
      <c r="AG64" s="26">
        <f>IF(OR(J64="",L64=""),"",IF(AND(J64&lt;=EOMONTH(AG$4,0),L64&gt;=AG$4),1,""))</f>
        <v/>
      </c>
      <c r="AH64" s="26">
        <f>IF(OR(J64="",L64=""),"",IF(AND(J64&lt;=EOMONTH(AH$4,0),L64&gt;=AH$4),1,""))</f>
        <v/>
      </c>
      <c r="AI64" s="26">
        <f>IF(OR(J64="",L64=""),"",IF(AND(J64&lt;=EOMONTH(AI$4,0),L64&gt;=AI$4),1,""))</f>
        <v/>
      </c>
      <c r="AJ64" s="26">
        <f>IF(OR(J64="",L64=""),"",IF(AND(J64&lt;=EOMONTH(AJ$4,0),L64&gt;=AJ$4),1,""))</f>
        <v/>
      </c>
      <c r="AK64" s="26">
        <f>IF(OR(J64="",L64=""),"",IF(AND(J64&lt;=EOMONTH(AK$4,0),L64&gt;=AK$4),1,""))</f>
        <v/>
      </c>
      <c r="AL64" s="26">
        <f>IF(OR(J64="",L64=""),"",IF(AND(J64&lt;=EOMONTH(AL$4,0),L64&gt;=AL$4),1,""))</f>
        <v/>
      </c>
      <c r="AM64" s="26">
        <f>IF(OR(J64="",L64=""),"",IF(AND(J64&lt;=EOMONTH(AM$4,0),L64&gt;=AM$4),1,""))</f>
        <v/>
      </c>
      <c r="AN64" s="26">
        <f>IF(OR(J64="",L64=""),"",IF(AND(J64&lt;=EOMONTH(AN$4,0),L64&gt;=AN$4),1,""))</f>
        <v/>
      </c>
      <c r="AO64" s="26">
        <f>IF(OR(J64="",L64=""),"",IF(AND(J64&lt;=EOMONTH(AO$4,0),L64&gt;=AO$4),1,""))</f>
        <v/>
      </c>
      <c r="AP64" s="26">
        <f>IF(OR(J64="",L64=""),"",IF(AND(J64&lt;=EOMONTH(AP$4,0),L64&gt;=AP$4),1,""))</f>
        <v/>
      </c>
      <c r="AQ64" s="26">
        <f>IF(OR(J64="",L64=""),"",IF(AND(J64&lt;=EOMONTH(AQ$4,0),L64&gt;=AQ$4),1,""))</f>
        <v/>
      </c>
      <c r="AR64" s="26">
        <f>IF(OR(J64="",L64=""),"",IF(AND(J64&lt;=EOMONTH(AR$4,0),L64&gt;=AR$4),1,""))</f>
        <v/>
      </c>
      <c r="AS64" s="26">
        <f>IF(OR(J64="",L64=""),"",IF(AND(J64&lt;=EOMONTH(AS$4,0),L64&gt;=AS$4),1,""))</f>
        <v/>
      </c>
      <c r="AT64" s="26">
        <f>IF(OR(J64="",L64=""),"",IF(AND(J64&lt;=EOMONTH(AT$4,0),L64&gt;=AT$4),1,""))</f>
        <v/>
      </c>
      <c r="AU64" s="26">
        <f>IF(OR(J64="",L64=""),"",IF(AND(J64&lt;=EOMONTH(AU$4,0),L64&gt;=AU$4),1,""))</f>
        <v/>
      </c>
      <c r="AV64" s="26">
        <f>IF(OR(J64="",L64=""),"",IF(AND(J64&lt;=EOMONTH(AV$4,0),L64&gt;=AV$4),1,""))</f>
        <v/>
      </c>
      <c r="AW64" s="26">
        <f>IF(OR(J64="",L64=""),"",IF(AND(J64&lt;=EOMONTH(AW$4,0),L64&gt;=AW$4),1,""))</f>
        <v/>
      </c>
      <c r="AX64" s="26">
        <f>IF(OR(J64="",L64=""),"",IF(AND(J64&lt;=EOMONTH(AX$4,0),L64&gt;=AX$4),1,""))</f>
        <v/>
      </c>
      <c r="AY64" s="26">
        <f>IF(OR(J64="",L64=""),"",IF(AND(J64&lt;=EOMONTH(AY$4,0),L64&gt;=AY$4),1,""))</f>
        <v/>
      </c>
      <c r="AZ64" s="26">
        <f>IF(OR(J64="",L64=""),"",IF(AND(J64&lt;=EOMONTH(AZ$4,0),L64&gt;=AZ$4),1,""))</f>
        <v/>
      </c>
      <c r="BA64" s="26">
        <f>IF(OR(J64="",L64=""),"",IF(AND(J64&lt;=EOMONTH(BA$4,0),L64&gt;=BA$4),1,""))</f>
        <v/>
      </c>
      <c r="BB64" s="26">
        <f>IF(OR(J64="",L64=""),"",IF(AND(J64&lt;=EOMONTH(BB$4,0),L64&gt;=BB$4),1,""))</f>
        <v/>
      </c>
    </row>
    <row r="65">
      <c r="A65" s="27" t="n"/>
      <c r="B65" s="28" t="n"/>
      <c r="C65" s="29" t="n"/>
      <c r="D65" s="30">
        <f>IF(E65="","","CWA-"&amp;MID(E65,5,4))</f>
        <v/>
      </c>
      <c r="E65" s="29" t="n"/>
      <c r="F65" s="31" t="n"/>
      <c r="G65" s="29" t="n"/>
      <c r="H65" s="28" t="n"/>
      <c r="I65" s="29" t="n"/>
      <c r="J65" s="32" t="n"/>
      <c r="K65" s="28" t="n"/>
      <c r="L65" s="33">
        <f>IF(OR(J65="",K65=""),"",J65+7*K65-1)</f>
        <v/>
      </c>
      <c r="M65" s="33">
        <f>IF(J65="","",J65-7*$E$3)</f>
        <v/>
      </c>
      <c r="N65" s="33">
        <f>IF(J65="","",J65-7*$H$3)</f>
        <v/>
      </c>
      <c r="O65" s="33">
        <f>IF(J65="","",J65-1*$K$3)</f>
        <v/>
      </c>
      <c r="P65" s="30">
        <f>IF(OR(E65="",I65="",I65="—"),IF(E65="","","OK"),IFERROR(IF(INDEX($L$6:$L$155,MATCH(I65,$E$6:$E$155,0))&gt;=J65,"Conflicto con predecesor","OK"),"Predecesor no encontrado"))</f>
        <v/>
      </c>
      <c r="Q65" s="29" t="n"/>
      <c r="R65" s="31" t="n"/>
      <c r="S65" s="26">
        <f>IF(OR(J65="",L65=""),"",IF(AND(J65&lt;=EOMONTH(S$4,0),L65&gt;=S$4),1,""))</f>
        <v/>
      </c>
      <c r="T65" s="26">
        <f>IF(OR(J65="",L65=""),"",IF(AND(J65&lt;=EOMONTH(T$4,0),L65&gt;=T$4),1,""))</f>
        <v/>
      </c>
      <c r="U65" s="26">
        <f>IF(OR(J65="",L65=""),"",IF(AND(J65&lt;=EOMONTH(U$4,0),L65&gt;=U$4),1,""))</f>
        <v/>
      </c>
      <c r="V65" s="26">
        <f>IF(OR(J65="",L65=""),"",IF(AND(J65&lt;=EOMONTH(V$4,0),L65&gt;=V$4),1,""))</f>
        <v/>
      </c>
      <c r="W65" s="26">
        <f>IF(OR(J65="",L65=""),"",IF(AND(J65&lt;=EOMONTH(W$4,0),L65&gt;=W$4),1,""))</f>
        <v/>
      </c>
      <c r="X65" s="26">
        <f>IF(OR(J65="",L65=""),"",IF(AND(J65&lt;=EOMONTH(X$4,0),L65&gt;=X$4),1,""))</f>
        <v/>
      </c>
      <c r="Y65" s="26">
        <f>IF(OR(J65="",L65=""),"",IF(AND(J65&lt;=EOMONTH(Y$4,0),L65&gt;=Y$4),1,""))</f>
        <v/>
      </c>
      <c r="Z65" s="26">
        <f>IF(OR(J65="",L65=""),"",IF(AND(J65&lt;=EOMONTH(Z$4,0),L65&gt;=Z$4),1,""))</f>
        <v/>
      </c>
      <c r="AA65" s="26">
        <f>IF(OR(J65="",L65=""),"",IF(AND(J65&lt;=EOMONTH(AA$4,0),L65&gt;=AA$4),1,""))</f>
        <v/>
      </c>
      <c r="AB65" s="26">
        <f>IF(OR(J65="",L65=""),"",IF(AND(J65&lt;=EOMONTH(AB$4,0),L65&gt;=AB$4),1,""))</f>
        <v/>
      </c>
      <c r="AC65" s="26">
        <f>IF(OR(J65="",L65=""),"",IF(AND(J65&lt;=EOMONTH(AC$4,0),L65&gt;=AC$4),1,""))</f>
        <v/>
      </c>
      <c r="AD65" s="26">
        <f>IF(OR(J65="",L65=""),"",IF(AND(J65&lt;=EOMONTH(AD$4,0),L65&gt;=AD$4),1,""))</f>
        <v/>
      </c>
      <c r="AE65" s="26">
        <f>IF(OR(J65="",L65=""),"",IF(AND(J65&lt;=EOMONTH(AE$4,0),L65&gt;=AE$4),1,""))</f>
        <v/>
      </c>
      <c r="AF65" s="26">
        <f>IF(OR(J65="",L65=""),"",IF(AND(J65&lt;=EOMONTH(AF$4,0),L65&gt;=AF$4),1,""))</f>
        <v/>
      </c>
      <c r="AG65" s="26">
        <f>IF(OR(J65="",L65=""),"",IF(AND(J65&lt;=EOMONTH(AG$4,0),L65&gt;=AG$4),1,""))</f>
        <v/>
      </c>
      <c r="AH65" s="26">
        <f>IF(OR(J65="",L65=""),"",IF(AND(J65&lt;=EOMONTH(AH$4,0),L65&gt;=AH$4),1,""))</f>
        <v/>
      </c>
      <c r="AI65" s="26">
        <f>IF(OR(J65="",L65=""),"",IF(AND(J65&lt;=EOMONTH(AI$4,0),L65&gt;=AI$4),1,""))</f>
        <v/>
      </c>
      <c r="AJ65" s="26">
        <f>IF(OR(J65="",L65=""),"",IF(AND(J65&lt;=EOMONTH(AJ$4,0),L65&gt;=AJ$4),1,""))</f>
        <v/>
      </c>
      <c r="AK65" s="26">
        <f>IF(OR(J65="",L65=""),"",IF(AND(J65&lt;=EOMONTH(AK$4,0),L65&gt;=AK$4),1,""))</f>
        <v/>
      </c>
      <c r="AL65" s="26">
        <f>IF(OR(J65="",L65=""),"",IF(AND(J65&lt;=EOMONTH(AL$4,0),L65&gt;=AL$4),1,""))</f>
        <v/>
      </c>
      <c r="AM65" s="26">
        <f>IF(OR(J65="",L65=""),"",IF(AND(J65&lt;=EOMONTH(AM$4,0),L65&gt;=AM$4),1,""))</f>
        <v/>
      </c>
      <c r="AN65" s="26">
        <f>IF(OR(J65="",L65=""),"",IF(AND(J65&lt;=EOMONTH(AN$4,0),L65&gt;=AN$4),1,""))</f>
        <v/>
      </c>
      <c r="AO65" s="26">
        <f>IF(OR(J65="",L65=""),"",IF(AND(J65&lt;=EOMONTH(AO$4,0),L65&gt;=AO$4),1,""))</f>
        <v/>
      </c>
      <c r="AP65" s="26">
        <f>IF(OR(J65="",L65=""),"",IF(AND(J65&lt;=EOMONTH(AP$4,0),L65&gt;=AP$4),1,""))</f>
        <v/>
      </c>
      <c r="AQ65" s="26">
        <f>IF(OR(J65="",L65=""),"",IF(AND(J65&lt;=EOMONTH(AQ$4,0),L65&gt;=AQ$4),1,""))</f>
        <v/>
      </c>
      <c r="AR65" s="26">
        <f>IF(OR(J65="",L65=""),"",IF(AND(J65&lt;=EOMONTH(AR$4,0),L65&gt;=AR$4),1,""))</f>
        <v/>
      </c>
      <c r="AS65" s="26">
        <f>IF(OR(J65="",L65=""),"",IF(AND(J65&lt;=EOMONTH(AS$4,0),L65&gt;=AS$4),1,""))</f>
        <v/>
      </c>
      <c r="AT65" s="26">
        <f>IF(OR(J65="",L65=""),"",IF(AND(J65&lt;=EOMONTH(AT$4,0),L65&gt;=AT$4),1,""))</f>
        <v/>
      </c>
      <c r="AU65" s="26">
        <f>IF(OR(J65="",L65=""),"",IF(AND(J65&lt;=EOMONTH(AU$4,0),L65&gt;=AU$4),1,""))</f>
        <v/>
      </c>
      <c r="AV65" s="26">
        <f>IF(OR(J65="",L65=""),"",IF(AND(J65&lt;=EOMONTH(AV$4,0),L65&gt;=AV$4),1,""))</f>
        <v/>
      </c>
      <c r="AW65" s="26">
        <f>IF(OR(J65="",L65=""),"",IF(AND(J65&lt;=EOMONTH(AW$4,0),L65&gt;=AW$4),1,""))</f>
        <v/>
      </c>
      <c r="AX65" s="26">
        <f>IF(OR(J65="",L65=""),"",IF(AND(J65&lt;=EOMONTH(AX$4,0),L65&gt;=AX$4),1,""))</f>
        <v/>
      </c>
      <c r="AY65" s="26">
        <f>IF(OR(J65="",L65=""),"",IF(AND(J65&lt;=EOMONTH(AY$4,0),L65&gt;=AY$4),1,""))</f>
        <v/>
      </c>
      <c r="AZ65" s="26">
        <f>IF(OR(J65="",L65=""),"",IF(AND(J65&lt;=EOMONTH(AZ$4,0),L65&gt;=AZ$4),1,""))</f>
        <v/>
      </c>
      <c r="BA65" s="26">
        <f>IF(OR(J65="",L65=""),"",IF(AND(J65&lt;=EOMONTH(BA$4,0),L65&gt;=BA$4),1,""))</f>
        <v/>
      </c>
      <c r="BB65" s="26">
        <f>IF(OR(J65="",L65=""),"",IF(AND(J65&lt;=EOMONTH(BB$4,0),L65&gt;=BB$4),1,""))</f>
        <v/>
      </c>
    </row>
    <row r="66">
      <c r="A66" s="27" t="n"/>
      <c r="B66" s="28" t="n"/>
      <c r="C66" s="29" t="n"/>
      <c r="D66" s="30">
        <f>IF(E66="","","CWA-"&amp;MID(E66,5,4))</f>
        <v/>
      </c>
      <c r="E66" s="29" t="n"/>
      <c r="F66" s="31" t="n"/>
      <c r="G66" s="29" t="n"/>
      <c r="H66" s="28" t="n"/>
      <c r="I66" s="29" t="n"/>
      <c r="J66" s="32" t="n"/>
      <c r="K66" s="28" t="n"/>
      <c r="L66" s="33">
        <f>IF(OR(J66="",K66=""),"",J66+7*K66-1)</f>
        <v/>
      </c>
      <c r="M66" s="33">
        <f>IF(J66="","",J66-7*$E$3)</f>
        <v/>
      </c>
      <c r="N66" s="33">
        <f>IF(J66="","",J66-7*$H$3)</f>
        <v/>
      </c>
      <c r="O66" s="33">
        <f>IF(J66="","",J66-1*$K$3)</f>
        <v/>
      </c>
      <c r="P66" s="30">
        <f>IF(OR(E66="",I66="",I66="—"),IF(E66="","","OK"),IFERROR(IF(INDEX($L$6:$L$155,MATCH(I66,$E$6:$E$155,0))&gt;=J66,"Conflicto con predecesor","OK"),"Predecesor no encontrado"))</f>
        <v/>
      </c>
      <c r="Q66" s="29" t="n"/>
      <c r="R66" s="31" t="n"/>
      <c r="S66" s="26">
        <f>IF(OR(J66="",L66=""),"",IF(AND(J66&lt;=EOMONTH(S$4,0),L66&gt;=S$4),1,""))</f>
        <v/>
      </c>
      <c r="T66" s="26">
        <f>IF(OR(J66="",L66=""),"",IF(AND(J66&lt;=EOMONTH(T$4,0),L66&gt;=T$4),1,""))</f>
        <v/>
      </c>
      <c r="U66" s="26">
        <f>IF(OR(J66="",L66=""),"",IF(AND(J66&lt;=EOMONTH(U$4,0),L66&gt;=U$4),1,""))</f>
        <v/>
      </c>
      <c r="V66" s="26">
        <f>IF(OR(J66="",L66=""),"",IF(AND(J66&lt;=EOMONTH(V$4,0),L66&gt;=V$4),1,""))</f>
        <v/>
      </c>
      <c r="W66" s="26">
        <f>IF(OR(J66="",L66=""),"",IF(AND(J66&lt;=EOMONTH(W$4,0),L66&gt;=W$4),1,""))</f>
        <v/>
      </c>
      <c r="X66" s="26">
        <f>IF(OR(J66="",L66=""),"",IF(AND(J66&lt;=EOMONTH(X$4,0),L66&gt;=X$4),1,""))</f>
        <v/>
      </c>
      <c r="Y66" s="26">
        <f>IF(OR(J66="",L66=""),"",IF(AND(J66&lt;=EOMONTH(Y$4,0),L66&gt;=Y$4),1,""))</f>
        <v/>
      </c>
      <c r="Z66" s="26">
        <f>IF(OR(J66="",L66=""),"",IF(AND(J66&lt;=EOMONTH(Z$4,0),L66&gt;=Z$4),1,""))</f>
        <v/>
      </c>
      <c r="AA66" s="26">
        <f>IF(OR(J66="",L66=""),"",IF(AND(J66&lt;=EOMONTH(AA$4,0),L66&gt;=AA$4),1,""))</f>
        <v/>
      </c>
      <c r="AB66" s="26">
        <f>IF(OR(J66="",L66=""),"",IF(AND(J66&lt;=EOMONTH(AB$4,0),L66&gt;=AB$4),1,""))</f>
        <v/>
      </c>
      <c r="AC66" s="26">
        <f>IF(OR(J66="",L66=""),"",IF(AND(J66&lt;=EOMONTH(AC$4,0),L66&gt;=AC$4),1,""))</f>
        <v/>
      </c>
      <c r="AD66" s="26">
        <f>IF(OR(J66="",L66=""),"",IF(AND(J66&lt;=EOMONTH(AD$4,0),L66&gt;=AD$4),1,""))</f>
        <v/>
      </c>
      <c r="AE66" s="26">
        <f>IF(OR(J66="",L66=""),"",IF(AND(J66&lt;=EOMONTH(AE$4,0),L66&gt;=AE$4),1,""))</f>
        <v/>
      </c>
      <c r="AF66" s="26">
        <f>IF(OR(J66="",L66=""),"",IF(AND(J66&lt;=EOMONTH(AF$4,0),L66&gt;=AF$4),1,""))</f>
        <v/>
      </c>
      <c r="AG66" s="26">
        <f>IF(OR(J66="",L66=""),"",IF(AND(J66&lt;=EOMONTH(AG$4,0),L66&gt;=AG$4),1,""))</f>
        <v/>
      </c>
      <c r="AH66" s="26">
        <f>IF(OR(J66="",L66=""),"",IF(AND(J66&lt;=EOMONTH(AH$4,0),L66&gt;=AH$4),1,""))</f>
        <v/>
      </c>
      <c r="AI66" s="26">
        <f>IF(OR(J66="",L66=""),"",IF(AND(J66&lt;=EOMONTH(AI$4,0),L66&gt;=AI$4),1,""))</f>
        <v/>
      </c>
      <c r="AJ66" s="26">
        <f>IF(OR(J66="",L66=""),"",IF(AND(J66&lt;=EOMONTH(AJ$4,0),L66&gt;=AJ$4),1,""))</f>
        <v/>
      </c>
      <c r="AK66" s="26">
        <f>IF(OR(J66="",L66=""),"",IF(AND(J66&lt;=EOMONTH(AK$4,0),L66&gt;=AK$4),1,""))</f>
        <v/>
      </c>
      <c r="AL66" s="26">
        <f>IF(OR(J66="",L66=""),"",IF(AND(J66&lt;=EOMONTH(AL$4,0),L66&gt;=AL$4),1,""))</f>
        <v/>
      </c>
      <c r="AM66" s="26">
        <f>IF(OR(J66="",L66=""),"",IF(AND(J66&lt;=EOMONTH(AM$4,0),L66&gt;=AM$4),1,""))</f>
        <v/>
      </c>
      <c r="AN66" s="26">
        <f>IF(OR(J66="",L66=""),"",IF(AND(J66&lt;=EOMONTH(AN$4,0),L66&gt;=AN$4),1,""))</f>
        <v/>
      </c>
      <c r="AO66" s="26">
        <f>IF(OR(J66="",L66=""),"",IF(AND(J66&lt;=EOMONTH(AO$4,0),L66&gt;=AO$4),1,""))</f>
        <v/>
      </c>
      <c r="AP66" s="26">
        <f>IF(OR(J66="",L66=""),"",IF(AND(J66&lt;=EOMONTH(AP$4,0),L66&gt;=AP$4),1,""))</f>
        <v/>
      </c>
      <c r="AQ66" s="26">
        <f>IF(OR(J66="",L66=""),"",IF(AND(J66&lt;=EOMONTH(AQ$4,0),L66&gt;=AQ$4),1,""))</f>
        <v/>
      </c>
      <c r="AR66" s="26">
        <f>IF(OR(J66="",L66=""),"",IF(AND(J66&lt;=EOMONTH(AR$4,0),L66&gt;=AR$4),1,""))</f>
        <v/>
      </c>
      <c r="AS66" s="26">
        <f>IF(OR(J66="",L66=""),"",IF(AND(J66&lt;=EOMONTH(AS$4,0),L66&gt;=AS$4),1,""))</f>
        <v/>
      </c>
      <c r="AT66" s="26">
        <f>IF(OR(J66="",L66=""),"",IF(AND(J66&lt;=EOMONTH(AT$4,0),L66&gt;=AT$4),1,""))</f>
        <v/>
      </c>
      <c r="AU66" s="26">
        <f>IF(OR(J66="",L66=""),"",IF(AND(J66&lt;=EOMONTH(AU$4,0),L66&gt;=AU$4),1,""))</f>
        <v/>
      </c>
      <c r="AV66" s="26">
        <f>IF(OR(J66="",L66=""),"",IF(AND(J66&lt;=EOMONTH(AV$4,0),L66&gt;=AV$4),1,""))</f>
        <v/>
      </c>
      <c r="AW66" s="26">
        <f>IF(OR(J66="",L66=""),"",IF(AND(J66&lt;=EOMONTH(AW$4,0),L66&gt;=AW$4),1,""))</f>
        <v/>
      </c>
      <c r="AX66" s="26">
        <f>IF(OR(J66="",L66=""),"",IF(AND(J66&lt;=EOMONTH(AX$4,0),L66&gt;=AX$4),1,""))</f>
        <v/>
      </c>
      <c r="AY66" s="26">
        <f>IF(OR(J66="",L66=""),"",IF(AND(J66&lt;=EOMONTH(AY$4,0),L66&gt;=AY$4),1,""))</f>
        <v/>
      </c>
      <c r="AZ66" s="26">
        <f>IF(OR(J66="",L66=""),"",IF(AND(J66&lt;=EOMONTH(AZ$4,0),L66&gt;=AZ$4),1,""))</f>
        <v/>
      </c>
      <c r="BA66" s="26">
        <f>IF(OR(J66="",L66=""),"",IF(AND(J66&lt;=EOMONTH(BA$4,0),L66&gt;=BA$4),1,""))</f>
        <v/>
      </c>
      <c r="BB66" s="26">
        <f>IF(OR(J66="",L66=""),"",IF(AND(J66&lt;=EOMONTH(BB$4,0),L66&gt;=BB$4),1,""))</f>
        <v/>
      </c>
    </row>
    <row r="67">
      <c r="A67" s="27" t="n"/>
      <c r="B67" s="28" t="n"/>
      <c r="C67" s="29" t="n"/>
      <c r="D67" s="30">
        <f>IF(E67="","","CWA-"&amp;MID(E67,5,4))</f>
        <v/>
      </c>
      <c r="E67" s="29" t="n"/>
      <c r="F67" s="31" t="n"/>
      <c r="G67" s="29" t="n"/>
      <c r="H67" s="28" t="n"/>
      <c r="I67" s="29" t="n"/>
      <c r="J67" s="32" t="n"/>
      <c r="K67" s="28" t="n"/>
      <c r="L67" s="33">
        <f>IF(OR(J67="",K67=""),"",J67+7*K67-1)</f>
        <v/>
      </c>
      <c r="M67" s="33">
        <f>IF(J67="","",J67-7*$E$3)</f>
        <v/>
      </c>
      <c r="N67" s="33">
        <f>IF(J67="","",J67-7*$H$3)</f>
        <v/>
      </c>
      <c r="O67" s="33">
        <f>IF(J67="","",J67-1*$K$3)</f>
        <v/>
      </c>
      <c r="P67" s="30">
        <f>IF(OR(E67="",I67="",I67="—"),IF(E67="","","OK"),IFERROR(IF(INDEX($L$6:$L$155,MATCH(I67,$E$6:$E$155,0))&gt;=J67,"Conflicto con predecesor","OK"),"Predecesor no encontrado"))</f>
        <v/>
      </c>
      <c r="Q67" s="29" t="n"/>
      <c r="R67" s="31" t="n"/>
      <c r="S67" s="26">
        <f>IF(OR(J67="",L67=""),"",IF(AND(J67&lt;=EOMONTH(S$4,0),L67&gt;=S$4),1,""))</f>
        <v/>
      </c>
      <c r="T67" s="26">
        <f>IF(OR(J67="",L67=""),"",IF(AND(J67&lt;=EOMONTH(T$4,0),L67&gt;=T$4),1,""))</f>
        <v/>
      </c>
      <c r="U67" s="26">
        <f>IF(OR(J67="",L67=""),"",IF(AND(J67&lt;=EOMONTH(U$4,0),L67&gt;=U$4),1,""))</f>
        <v/>
      </c>
      <c r="V67" s="26">
        <f>IF(OR(J67="",L67=""),"",IF(AND(J67&lt;=EOMONTH(V$4,0),L67&gt;=V$4),1,""))</f>
        <v/>
      </c>
      <c r="W67" s="26">
        <f>IF(OR(J67="",L67=""),"",IF(AND(J67&lt;=EOMONTH(W$4,0),L67&gt;=W$4),1,""))</f>
        <v/>
      </c>
      <c r="X67" s="26">
        <f>IF(OR(J67="",L67=""),"",IF(AND(J67&lt;=EOMONTH(X$4,0),L67&gt;=X$4),1,""))</f>
        <v/>
      </c>
      <c r="Y67" s="26">
        <f>IF(OR(J67="",L67=""),"",IF(AND(J67&lt;=EOMONTH(Y$4,0),L67&gt;=Y$4),1,""))</f>
        <v/>
      </c>
      <c r="Z67" s="26">
        <f>IF(OR(J67="",L67=""),"",IF(AND(J67&lt;=EOMONTH(Z$4,0),L67&gt;=Z$4),1,""))</f>
        <v/>
      </c>
      <c r="AA67" s="26">
        <f>IF(OR(J67="",L67=""),"",IF(AND(J67&lt;=EOMONTH(AA$4,0),L67&gt;=AA$4),1,""))</f>
        <v/>
      </c>
      <c r="AB67" s="26">
        <f>IF(OR(J67="",L67=""),"",IF(AND(J67&lt;=EOMONTH(AB$4,0),L67&gt;=AB$4),1,""))</f>
        <v/>
      </c>
      <c r="AC67" s="26">
        <f>IF(OR(J67="",L67=""),"",IF(AND(J67&lt;=EOMONTH(AC$4,0),L67&gt;=AC$4),1,""))</f>
        <v/>
      </c>
      <c r="AD67" s="26">
        <f>IF(OR(J67="",L67=""),"",IF(AND(J67&lt;=EOMONTH(AD$4,0),L67&gt;=AD$4),1,""))</f>
        <v/>
      </c>
      <c r="AE67" s="26">
        <f>IF(OR(J67="",L67=""),"",IF(AND(J67&lt;=EOMONTH(AE$4,0),L67&gt;=AE$4),1,""))</f>
        <v/>
      </c>
      <c r="AF67" s="26">
        <f>IF(OR(J67="",L67=""),"",IF(AND(J67&lt;=EOMONTH(AF$4,0),L67&gt;=AF$4),1,""))</f>
        <v/>
      </c>
      <c r="AG67" s="26">
        <f>IF(OR(J67="",L67=""),"",IF(AND(J67&lt;=EOMONTH(AG$4,0),L67&gt;=AG$4),1,""))</f>
        <v/>
      </c>
      <c r="AH67" s="26">
        <f>IF(OR(J67="",L67=""),"",IF(AND(J67&lt;=EOMONTH(AH$4,0),L67&gt;=AH$4),1,""))</f>
        <v/>
      </c>
      <c r="AI67" s="26">
        <f>IF(OR(J67="",L67=""),"",IF(AND(J67&lt;=EOMONTH(AI$4,0),L67&gt;=AI$4),1,""))</f>
        <v/>
      </c>
      <c r="AJ67" s="26">
        <f>IF(OR(J67="",L67=""),"",IF(AND(J67&lt;=EOMONTH(AJ$4,0),L67&gt;=AJ$4),1,""))</f>
        <v/>
      </c>
      <c r="AK67" s="26">
        <f>IF(OR(J67="",L67=""),"",IF(AND(J67&lt;=EOMONTH(AK$4,0),L67&gt;=AK$4),1,""))</f>
        <v/>
      </c>
      <c r="AL67" s="26">
        <f>IF(OR(J67="",L67=""),"",IF(AND(J67&lt;=EOMONTH(AL$4,0),L67&gt;=AL$4),1,""))</f>
        <v/>
      </c>
      <c r="AM67" s="26">
        <f>IF(OR(J67="",L67=""),"",IF(AND(J67&lt;=EOMONTH(AM$4,0),L67&gt;=AM$4),1,""))</f>
        <v/>
      </c>
      <c r="AN67" s="26">
        <f>IF(OR(J67="",L67=""),"",IF(AND(J67&lt;=EOMONTH(AN$4,0),L67&gt;=AN$4),1,""))</f>
        <v/>
      </c>
      <c r="AO67" s="26">
        <f>IF(OR(J67="",L67=""),"",IF(AND(J67&lt;=EOMONTH(AO$4,0),L67&gt;=AO$4),1,""))</f>
        <v/>
      </c>
      <c r="AP67" s="26">
        <f>IF(OR(J67="",L67=""),"",IF(AND(J67&lt;=EOMONTH(AP$4,0),L67&gt;=AP$4),1,""))</f>
        <v/>
      </c>
      <c r="AQ67" s="26">
        <f>IF(OR(J67="",L67=""),"",IF(AND(J67&lt;=EOMONTH(AQ$4,0),L67&gt;=AQ$4),1,""))</f>
        <v/>
      </c>
      <c r="AR67" s="26">
        <f>IF(OR(J67="",L67=""),"",IF(AND(J67&lt;=EOMONTH(AR$4,0),L67&gt;=AR$4),1,""))</f>
        <v/>
      </c>
      <c r="AS67" s="26">
        <f>IF(OR(J67="",L67=""),"",IF(AND(J67&lt;=EOMONTH(AS$4,0),L67&gt;=AS$4),1,""))</f>
        <v/>
      </c>
      <c r="AT67" s="26">
        <f>IF(OR(J67="",L67=""),"",IF(AND(J67&lt;=EOMONTH(AT$4,0),L67&gt;=AT$4),1,""))</f>
        <v/>
      </c>
      <c r="AU67" s="26">
        <f>IF(OR(J67="",L67=""),"",IF(AND(J67&lt;=EOMONTH(AU$4,0),L67&gt;=AU$4),1,""))</f>
        <v/>
      </c>
      <c r="AV67" s="26">
        <f>IF(OR(J67="",L67=""),"",IF(AND(J67&lt;=EOMONTH(AV$4,0),L67&gt;=AV$4),1,""))</f>
        <v/>
      </c>
      <c r="AW67" s="26">
        <f>IF(OR(J67="",L67=""),"",IF(AND(J67&lt;=EOMONTH(AW$4,0),L67&gt;=AW$4),1,""))</f>
        <v/>
      </c>
      <c r="AX67" s="26">
        <f>IF(OR(J67="",L67=""),"",IF(AND(J67&lt;=EOMONTH(AX$4,0),L67&gt;=AX$4),1,""))</f>
        <v/>
      </c>
      <c r="AY67" s="26">
        <f>IF(OR(J67="",L67=""),"",IF(AND(J67&lt;=EOMONTH(AY$4,0),L67&gt;=AY$4),1,""))</f>
        <v/>
      </c>
      <c r="AZ67" s="26">
        <f>IF(OR(J67="",L67=""),"",IF(AND(J67&lt;=EOMONTH(AZ$4,0),L67&gt;=AZ$4),1,""))</f>
        <v/>
      </c>
      <c r="BA67" s="26">
        <f>IF(OR(J67="",L67=""),"",IF(AND(J67&lt;=EOMONTH(BA$4,0),L67&gt;=BA$4),1,""))</f>
        <v/>
      </c>
      <c r="BB67" s="26">
        <f>IF(OR(J67="",L67=""),"",IF(AND(J67&lt;=EOMONTH(BB$4,0),L67&gt;=BB$4),1,""))</f>
        <v/>
      </c>
    </row>
    <row r="68">
      <c r="A68" s="27" t="n"/>
      <c r="B68" s="28" t="n"/>
      <c r="C68" s="29" t="n"/>
      <c r="D68" s="30">
        <f>IF(E68="","","CWA-"&amp;MID(E68,5,4))</f>
        <v/>
      </c>
      <c r="E68" s="29" t="n"/>
      <c r="F68" s="31" t="n"/>
      <c r="G68" s="29" t="n"/>
      <c r="H68" s="28" t="n"/>
      <c r="I68" s="29" t="n"/>
      <c r="J68" s="32" t="n"/>
      <c r="K68" s="28" t="n"/>
      <c r="L68" s="33">
        <f>IF(OR(J68="",K68=""),"",J68+7*K68-1)</f>
        <v/>
      </c>
      <c r="M68" s="33">
        <f>IF(J68="","",J68-7*$E$3)</f>
        <v/>
      </c>
      <c r="N68" s="33">
        <f>IF(J68="","",J68-7*$H$3)</f>
        <v/>
      </c>
      <c r="O68" s="33">
        <f>IF(J68="","",J68-1*$K$3)</f>
        <v/>
      </c>
      <c r="P68" s="30">
        <f>IF(OR(E68="",I68="",I68="—"),IF(E68="","","OK"),IFERROR(IF(INDEX($L$6:$L$155,MATCH(I68,$E$6:$E$155,0))&gt;=J68,"Conflicto con predecesor","OK"),"Predecesor no encontrado"))</f>
        <v/>
      </c>
      <c r="Q68" s="29" t="n"/>
      <c r="R68" s="31" t="n"/>
      <c r="S68" s="26">
        <f>IF(OR(J68="",L68=""),"",IF(AND(J68&lt;=EOMONTH(S$4,0),L68&gt;=S$4),1,""))</f>
        <v/>
      </c>
      <c r="T68" s="26">
        <f>IF(OR(J68="",L68=""),"",IF(AND(J68&lt;=EOMONTH(T$4,0),L68&gt;=T$4),1,""))</f>
        <v/>
      </c>
      <c r="U68" s="26">
        <f>IF(OR(J68="",L68=""),"",IF(AND(J68&lt;=EOMONTH(U$4,0),L68&gt;=U$4),1,""))</f>
        <v/>
      </c>
      <c r="V68" s="26">
        <f>IF(OR(J68="",L68=""),"",IF(AND(J68&lt;=EOMONTH(V$4,0),L68&gt;=V$4),1,""))</f>
        <v/>
      </c>
      <c r="W68" s="26">
        <f>IF(OR(J68="",L68=""),"",IF(AND(J68&lt;=EOMONTH(W$4,0),L68&gt;=W$4),1,""))</f>
        <v/>
      </c>
      <c r="X68" s="26">
        <f>IF(OR(J68="",L68=""),"",IF(AND(J68&lt;=EOMONTH(X$4,0),L68&gt;=X$4),1,""))</f>
        <v/>
      </c>
      <c r="Y68" s="26">
        <f>IF(OR(J68="",L68=""),"",IF(AND(J68&lt;=EOMONTH(Y$4,0),L68&gt;=Y$4),1,""))</f>
        <v/>
      </c>
      <c r="Z68" s="26">
        <f>IF(OR(J68="",L68=""),"",IF(AND(J68&lt;=EOMONTH(Z$4,0),L68&gt;=Z$4),1,""))</f>
        <v/>
      </c>
      <c r="AA68" s="26">
        <f>IF(OR(J68="",L68=""),"",IF(AND(J68&lt;=EOMONTH(AA$4,0),L68&gt;=AA$4),1,""))</f>
        <v/>
      </c>
      <c r="AB68" s="26">
        <f>IF(OR(J68="",L68=""),"",IF(AND(J68&lt;=EOMONTH(AB$4,0),L68&gt;=AB$4),1,""))</f>
        <v/>
      </c>
      <c r="AC68" s="26">
        <f>IF(OR(J68="",L68=""),"",IF(AND(J68&lt;=EOMONTH(AC$4,0),L68&gt;=AC$4),1,""))</f>
        <v/>
      </c>
      <c r="AD68" s="26">
        <f>IF(OR(J68="",L68=""),"",IF(AND(J68&lt;=EOMONTH(AD$4,0),L68&gt;=AD$4),1,""))</f>
        <v/>
      </c>
      <c r="AE68" s="26">
        <f>IF(OR(J68="",L68=""),"",IF(AND(J68&lt;=EOMONTH(AE$4,0),L68&gt;=AE$4),1,""))</f>
        <v/>
      </c>
      <c r="AF68" s="26">
        <f>IF(OR(J68="",L68=""),"",IF(AND(J68&lt;=EOMONTH(AF$4,0),L68&gt;=AF$4),1,""))</f>
        <v/>
      </c>
      <c r="AG68" s="26">
        <f>IF(OR(J68="",L68=""),"",IF(AND(J68&lt;=EOMONTH(AG$4,0),L68&gt;=AG$4),1,""))</f>
        <v/>
      </c>
      <c r="AH68" s="26">
        <f>IF(OR(J68="",L68=""),"",IF(AND(J68&lt;=EOMONTH(AH$4,0),L68&gt;=AH$4),1,""))</f>
        <v/>
      </c>
      <c r="AI68" s="26">
        <f>IF(OR(J68="",L68=""),"",IF(AND(J68&lt;=EOMONTH(AI$4,0),L68&gt;=AI$4),1,""))</f>
        <v/>
      </c>
      <c r="AJ68" s="26">
        <f>IF(OR(J68="",L68=""),"",IF(AND(J68&lt;=EOMONTH(AJ$4,0),L68&gt;=AJ$4),1,""))</f>
        <v/>
      </c>
      <c r="AK68" s="26">
        <f>IF(OR(J68="",L68=""),"",IF(AND(J68&lt;=EOMONTH(AK$4,0),L68&gt;=AK$4),1,""))</f>
        <v/>
      </c>
      <c r="AL68" s="26">
        <f>IF(OR(J68="",L68=""),"",IF(AND(J68&lt;=EOMONTH(AL$4,0),L68&gt;=AL$4),1,""))</f>
        <v/>
      </c>
      <c r="AM68" s="26">
        <f>IF(OR(J68="",L68=""),"",IF(AND(J68&lt;=EOMONTH(AM$4,0),L68&gt;=AM$4),1,""))</f>
        <v/>
      </c>
      <c r="AN68" s="26">
        <f>IF(OR(J68="",L68=""),"",IF(AND(J68&lt;=EOMONTH(AN$4,0),L68&gt;=AN$4),1,""))</f>
        <v/>
      </c>
      <c r="AO68" s="26">
        <f>IF(OR(J68="",L68=""),"",IF(AND(J68&lt;=EOMONTH(AO$4,0),L68&gt;=AO$4),1,""))</f>
        <v/>
      </c>
      <c r="AP68" s="26">
        <f>IF(OR(J68="",L68=""),"",IF(AND(J68&lt;=EOMONTH(AP$4,0),L68&gt;=AP$4),1,""))</f>
        <v/>
      </c>
      <c r="AQ68" s="26">
        <f>IF(OR(J68="",L68=""),"",IF(AND(J68&lt;=EOMONTH(AQ$4,0),L68&gt;=AQ$4),1,""))</f>
        <v/>
      </c>
      <c r="AR68" s="26">
        <f>IF(OR(J68="",L68=""),"",IF(AND(J68&lt;=EOMONTH(AR$4,0),L68&gt;=AR$4),1,""))</f>
        <v/>
      </c>
      <c r="AS68" s="26">
        <f>IF(OR(J68="",L68=""),"",IF(AND(J68&lt;=EOMONTH(AS$4,0),L68&gt;=AS$4),1,""))</f>
        <v/>
      </c>
      <c r="AT68" s="26">
        <f>IF(OR(J68="",L68=""),"",IF(AND(J68&lt;=EOMONTH(AT$4,0),L68&gt;=AT$4),1,""))</f>
        <v/>
      </c>
      <c r="AU68" s="26">
        <f>IF(OR(J68="",L68=""),"",IF(AND(J68&lt;=EOMONTH(AU$4,0),L68&gt;=AU$4),1,""))</f>
        <v/>
      </c>
      <c r="AV68" s="26">
        <f>IF(OR(J68="",L68=""),"",IF(AND(J68&lt;=EOMONTH(AV$4,0),L68&gt;=AV$4),1,""))</f>
        <v/>
      </c>
      <c r="AW68" s="26">
        <f>IF(OR(J68="",L68=""),"",IF(AND(J68&lt;=EOMONTH(AW$4,0),L68&gt;=AW$4),1,""))</f>
        <v/>
      </c>
      <c r="AX68" s="26">
        <f>IF(OR(J68="",L68=""),"",IF(AND(J68&lt;=EOMONTH(AX$4,0),L68&gt;=AX$4),1,""))</f>
        <v/>
      </c>
      <c r="AY68" s="26">
        <f>IF(OR(J68="",L68=""),"",IF(AND(J68&lt;=EOMONTH(AY$4,0),L68&gt;=AY$4),1,""))</f>
        <v/>
      </c>
      <c r="AZ68" s="26">
        <f>IF(OR(J68="",L68=""),"",IF(AND(J68&lt;=EOMONTH(AZ$4,0),L68&gt;=AZ$4),1,""))</f>
        <v/>
      </c>
      <c r="BA68" s="26">
        <f>IF(OR(J68="",L68=""),"",IF(AND(J68&lt;=EOMONTH(BA$4,0),L68&gt;=BA$4),1,""))</f>
        <v/>
      </c>
      <c r="BB68" s="26">
        <f>IF(OR(J68="",L68=""),"",IF(AND(J68&lt;=EOMONTH(BB$4,0),L68&gt;=BB$4),1,""))</f>
        <v/>
      </c>
    </row>
    <row r="69">
      <c r="A69" s="27" t="n"/>
      <c r="B69" s="28" t="n"/>
      <c r="C69" s="29" t="n"/>
      <c r="D69" s="30">
        <f>IF(E69="","","CWA-"&amp;MID(E69,5,4))</f>
        <v/>
      </c>
      <c r="E69" s="29" t="n"/>
      <c r="F69" s="31" t="n"/>
      <c r="G69" s="29" t="n"/>
      <c r="H69" s="28" t="n"/>
      <c r="I69" s="29" t="n"/>
      <c r="J69" s="32" t="n"/>
      <c r="K69" s="28" t="n"/>
      <c r="L69" s="33">
        <f>IF(OR(J69="",K69=""),"",J69+7*K69-1)</f>
        <v/>
      </c>
      <c r="M69" s="33">
        <f>IF(J69="","",J69-7*$E$3)</f>
        <v/>
      </c>
      <c r="N69" s="33">
        <f>IF(J69="","",J69-7*$H$3)</f>
        <v/>
      </c>
      <c r="O69" s="33">
        <f>IF(J69="","",J69-1*$K$3)</f>
        <v/>
      </c>
      <c r="P69" s="30">
        <f>IF(OR(E69="",I69="",I69="—"),IF(E69="","","OK"),IFERROR(IF(INDEX($L$6:$L$155,MATCH(I69,$E$6:$E$155,0))&gt;=J69,"Conflicto con predecesor","OK"),"Predecesor no encontrado"))</f>
        <v/>
      </c>
      <c r="Q69" s="29" t="n"/>
      <c r="R69" s="31" t="n"/>
      <c r="S69" s="26">
        <f>IF(OR(J69="",L69=""),"",IF(AND(J69&lt;=EOMONTH(S$4,0),L69&gt;=S$4),1,""))</f>
        <v/>
      </c>
      <c r="T69" s="26">
        <f>IF(OR(J69="",L69=""),"",IF(AND(J69&lt;=EOMONTH(T$4,0),L69&gt;=T$4),1,""))</f>
        <v/>
      </c>
      <c r="U69" s="26">
        <f>IF(OR(J69="",L69=""),"",IF(AND(J69&lt;=EOMONTH(U$4,0),L69&gt;=U$4),1,""))</f>
        <v/>
      </c>
      <c r="V69" s="26">
        <f>IF(OR(J69="",L69=""),"",IF(AND(J69&lt;=EOMONTH(V$4,0),L69&gt;=V$4),1,""))</f>
        <v/>
      </c>
      <c r="W69" s="26">
        <f>IF(OR(J69="",L69=""),"",IF(AND(J69&lt;=EOMONTH(W$4,0),L69&gt;=W$4),1,""))</f>
        <v/>
      </c>
      <c r="X69" s="26">
        <f>IF(OR(J69="",L69=""),"",IF(AND(J69&lt;=EOMONTH(X$4,0),L69&gt;=X$4),1,""))</f>
        <v/>
      </c>
      <c r="Y69" s="26">
        <f>IF(OR(J69="",L69=""),"",IF(AND(J69&lt;=EOMONTH(Y$4,0),L69&gt;=Y$4),1,""))</f>
        <v/>
      </c>
      <c r="Z69" s="26">
        <f>IF(OR(J69="",L69=""),"",IF(AND(J69&lt;=EOMONTH(Z$4,0),L69&gt;=Z$4),1,""))</f>
        <v/>
      </c>
      <c r="AA69" s="26">
        <f>IF(OR(J69="",L69=""),"",IF(AND(J69&lt;=EOMONTH(AA$4,0),L69&gt;=AA$4),1,""))</f>
        <v/>
      </c>
      <c r="AB69" s="26">
        <f>IF(OR(J69="",L69=""),"",IF(AND(J69&lt;=EOMONTH(AB$4,0),L69&gt;=AB$4),1,""))</f>
        <v/>
      </c>
      <c r="AC69" s="26">
        <f>IF(OR(J69="",L69=""),"",IF(AND(J69&lt;=EOMONTH(AC$4,0),L69&gt;=AC$4),1,""))</f>
        <v/>
      </c>
      <c r="AD69" s="26">
        <f>IF(OR(J69="",L69=""),"",IF(AND(J69&lt;=EOMONTH(AD$4,0),L69&gt;=AD$4),1,""))</f>
        <v/>
      </c>
      <c r="AE69" s="26">
        <f>IF(OR(J69="",L69=""),"",IF(AND(J69&lt;=EOMONTH(AE$4,0),L69&gt;=AE$4),1,""))</f>
        <v/>
      </c>
      <c r="AF69" s="26">
        <f>IF(OR(J69="",L69=""),"",IF(AND(J69&lt;=EOMONTH(AF$4,0),L69&gt;=AF$4),1,""))</f>
        <v/>
      </c>
      <c r="AG69" s="26">
        <f>IF(OR(J69="",L69=""),"",IF(AND(J69&lt;=EOMONTH(AG$4,0),L69&gt;=AG$4),1,""))</f>
        <v/>
      </c>
      <c r="AH69" s="26">
        <f>IF(OR(J69="",L69=""),"",IF(AND(J69&lt;=EOMONTH(AH$4,0),L69&gt;=AH$4),1,""))</f>
        <v/>
      </c>
      <c r="AI69" s="26">
        <f>IF(OR(J69="",L69=""),"",IF(AND(J69&lt;=EOMONTH(AI$4,0),L69&gt;=AI$4),1,""))</f>
        <v/>
      </c>
      <c r="AJ69" s="26">
        <f>IF(OR(J69="",L69=""),"",IF(AND(J69&lt;=EOMONTH(AJ$4,0),L69&gt;=AJ$4),1,""))</f>
        <v/>
      </c>
      <c r="AK69" s="26">
        <f>IF(OR(J69="",L69=""),"",IF(AND(J69&lt;=EOMONTH(AK$4,0),L69&gt;=AK$4),1,""))</f>
        <v/>
      </c>
      <c r="AL69" s="26">
        <f>IF(OR(J69="",L69=""),"",IF(AND(J69&lt;=EOMONTH(AL$4,0),L69&gt;=AL$4),1,""))</f>
        <v/>
      </c>
      <c r="AM69" s="26">
        <f>IF(OR(J69="",L69=""),"",IF(AND(J69&lt;=EOMONTH(AM$4,0),L69&gt;=AM$4),1,""))</f>
        <v/>
      </c>
      <c r="AN69" s="26">
        <f>IF(OR(J69="",L69=""),"",IF(AND(J69&lt;=EOMONTH(AN$4,0),L69&gt;=AN$4),1,""))</f>
        <v/>
      </c>
      <c r="AO69" s="26">
        <f>IF(OR(J69="",L69=""),"",IF(AND(J69&lt;=EOMONTH(AO$4,0),L69&gt;=AO$4),1,""))</f>
        <v/>
      </c>
      <c r="AP69" s="26">
        <f>IF(OR(J69="",L69=""),"",IF(AND(J69&lt;=EOMONTH(AP$4,0),L69&gt;=AP$4),1,""))</f>
        <v/>
      </c>
      <c r="AQ69" s="26">
        <f>IF(OR(J69="",L69=""),"",IF(AND(J69&lt;=EOMONTH(AQ$4,0),L69&gt;=AQ$4),1,""))</f>
        <v/>
      </c>
      <c r="AR69" s="26">
        <f>IF(OR(J69="",L69=""),"",IF(AND(J69&lt;=EOMONTH(AR$4,0),L69&gt;=AR$4),1,""))</f>
        <v/>
      </c>
      <c r="AS69" s="26">
        <f>IF(OR(J69="",L69=""),"",IF(AND(J69&lt;=EOMONTH(AS$4,0),L69&gt;=AS$4),1,""))</f>
        <v/>
      </c>
      <c r="AT69" s="26">
        <f>IF(OR(J69="",L69=""),"",IF(AND(J69&lt;=EOMONTH(AT$4,0),L69&gt;=AT$4),1,""))</f>
        <v/>
      </c>
      <c r="AU69" s="26">
        <f>IF(OR(J69="",L69=""),"",IF(AND(J69&lt;=EOMONTH(AU$4,0),L69&gt;=AU$4),1,""))</f>
        <v/>
      </c>
      <c r="AV69" s="26">
        <f>IF(OR(J69="",L69=""),"",IF(AND(J69&lt;=EOMONTH(AV$4,0),L69&gt;=AV$4),1,""))</f>
        <v/>
      </c>
      <c r="AW69" s="26">
        <f>IF(OR(J69="",L69=""),"",IF(AND(J69&lt;=EOMONTH(AW$4,0),L69&gt;=AW$4),1,""))</f>
        <v/>
      </c>
      <c r="AX69" s="26">
        <f>IF(OR(J69="",L69=""),"",IF(AND(J69&lt;=EOMONTH(AX$4,0),L69&gt;=AX$4),1,""))</f>
        <v/>
      </c>
      <c r="AY69" s="26">
        <f>IF(OR(J69="",L69=""),"",IF(AND(J69&lt;=EOMONTH(AY$4,0),L69&gt;=AY$4),1,""))</f>
        <v/>
      </c>
      <c r="AZ69" s="26">
        <f>IF(OR(J69="",L69=""),"",IF(AND(J69&lt;=EOMONTH(AZ$4,0),L69&gt;=AZ$4),1,""))</f>
        <v/>
      </c>
      <c r="BA69" s="26">
        <f>IF(OR(J69="",L69=""),"",IF(AND(J69&lt;=EOMONTH(BA$4,0),L69&gt;=BA$4),1,""))</f>
        <v/>
      </c>
      <c r="BB69" s="26">
        <f>IF(OR(J69="",L69=""),"",IF(AND(J69&lt;=EOMONTH(BB$4,0),L69&gt;=BB$4),1,""))</f>
        <v/>
      </c>
    </row>
    <row r="70">
      <c r="A70" s="27" t="n"/>
      <c r="B70" s="28" t="n"/>
      <c r="C70" s="29" t="n"/>
      <c r="D70" s="30">
        <f>IF(E70="","","CWA-"&amp;MID(E70,5,4))</f>
        <v/>
      </c>
      <c r="E70" s="29" t="n"/>
      <c r="F70" s="31" t="n"/>
      <c r="G70" s="29" t="n"/>
      <c r="H70" s="28" t="n"/>
      <c r="I70" s="29" t="n"/>
      <c r="J70" s="32" t="n"/>
      <c r="K70" s="28" t="n"/>
      <c r="L70" s="33">
        <f>IF(OR(J70="",K70=""),"",J70+7*K70-1)</f>
        <v/>
      </c>
      <c r="M70" s="33">
        <f>IF(J70="","",J70-7*$E$3)</f>
        <v/>
      </c>
      <c r="N70" s="33">
        <f>IF(J70="","",J70-7*$H$3)</f>
        <v/>
      </c>
      <c r="O70" s="33">
        <f>IF(J70="","",J70-1*$K$3)</f>
        <v/>
      </c>
      <c r="P70" s="30">
        <f>IF(OR(E70="",I70="",I70="—"),IF(E70="","","OK"),IFERROR(IF(INDEX($L$6:$L$155,MATCH(I70,$E$6:$E$155,0))&gt;=J70,"Conflicto con predecesor","OK"),"Predecesor no encontrado"))</f>
        <v/>
      </c>
      <c r="Q70" s="29" t="n"/>
      <c r="R70" s="31" t="n"/>
      <c r="S70" s="26">
        <f>IF(OR(J70="",L70=""),"",IF(AND(J70&lt;=EOMONTH(S$4,0),L70&gt;=S$4),1,""))</f>
        <v/>
      </c>
      <c r="T70" s="26">
        <f>IF(OR(J70="",L70=""),"",IF(AND(J70&lt;=EOMONTH(T$4,0),L70&gt;=T$4),1,""))</f>
        <v/>
      </c>
      <c r="U70" s="26">
        <f>IF(OR(J70="",L70=""),"",IF(AND(J70&lt;=EOMONTH(U$4,0),L70&gt;=U$4),1,""))</f>
        <v/>
      </c>
      <c r="V70" s="26">
        <f>IF(OR(J70="",L70=""),"",IF(AND(J70&lt;=EOMONTH(V$4,0),L70&gt;=V$4),1,""))</f>
        <v/>
      </c>
      <c r="W70" s="26">
        <f>IF(OR(J70="",L70=""),"",IF(AND(J70&lt;=EOMONTH(W$4,0),L70&gt;=W$4),1,""))</f>
        <v/>
      </c>
      <c r="X70" s="26">
        <f>IF(OR(J70="",L70=""),"",IF(AND(J70&lt;=EOMONTH(X$4,0),L70&gt;=X$4),1,""))</f>
        <v/>
      </c>
      <c r="Y70" s="26">
        <f>IF(OR(J70="",L70=""),"",IF(AND(J70&lt;=EOMONTH(Y$4,0),L70&gt;=Y$4),1,""))</f>
        <v/>
      </c>
      <c r="Z70" s="26">
        <f>IF(OR(J70="",L70=""),"",IF(AND(J70&lt;=EOMONTH(Z$4,0),L70&gt;=Z$4),1,""))</f>
        <v/>
      </c>
      <c r="AA70" s="26">
        <f>IF(OR(J70="",L70=""),"",IF(AND(J70&lt;=EOMONTH(AA$4,0),L70&gt;=AA$4),1,""))</f>
        <v/>
      </c>
      <c r="AB70" s="26">
        <f>IF(OR(J70="",L70=""),"",IF(AND(J70&lt;=EOMONTH(AB$4,0),L70&gt;=AB$4),1,""))</f>
        <v/>
      </c>
      <c r="AC70" s="26">
        <f>IF(OR(J70="",L70=""),"",IF(AND(J70&lt;=EOMONTH(AC$4,0),L70&gt;=AC$4),1,""))</f>
        <v/>
      </c>
      <c r="AD70" s="26">
        <f>IF(OR(J70="",L70=""),"",IF(AND(J70&lt;=EOMONTH(AD$4,0),L70&gt;=AD$4),1,""))</f>
        <v/>
      </c>
      <c r="AE70" s="26">
        <f>IF(OR(J70="",L70=""),"",IF(AND(J70&lt;=EOMONTH(AE$4,0),L70&gt;=AE$4),1,""))</f>
        <v/>
      </c>
      <c r="AF70" s="26">
        <f>IF(OR(J70="",L70=""),"",IF(AND(J70&lt;=EOMONTH(AF$4,0),L70&gt;=AF$4),1,""))</f>
        <v/>
      </c>
      <c r="AG70" s="26">
        <f>IF(OR(J70="",L70=""),"",IF(AND(J70&lt;=EOMONTH(AG$4,0),L70&gt;=AG$4),1,""))</f>
        <v/>
      </c>
      <c r="AH70" s="26">
        <f>IF(OR(J70="",L70=""),"",IF(AND(J70&lt;=EOMONTH(AH$4,0),L70&gt;=AH$4),1,""))</f>
        <v/>
      </c>
      <c r="AI70" s="26">
        <f>IF(OR(J70="",L70=""),"",IF(AND(J70&lt;=EOMONTH(AI$4,0),L70&gt;=AI$4),1,""))</f>
        <v/>
      </c>
      <c r="AJ70" s="26">
        <f>IF(OR(J70="",L70=""),"",IF(AND(J70&lt;=EOMONTH(AJ$4,0),L70&gt;=AJ$4),1,""))</f>
        <v/>
      </c>
      <c r="AK70" s="26">
        <f>IF(OR(J70="",L70=""),"",IF(AND(J70&lt;=EOMONTH(AK$4,0),L70&gt;=AK$4),1,""))</f>
        <v/>
      </c>
      <c r="AL70" s="26">
        <f>IF(OR(J70="",L70=""),"",IF(AND(J70&lt;=EOMONTH(AL$4,0),L70&gt;=AL$4),1,""))</f>
        <v/>
      </c>
      <c r="AM70" s="26">
        <f>IF(OR(J70="",L70=""),"",IF(AND(J70&lt;=EOMONTH(AM$4,0),L70&gt;=AM$4),1,""))</f>
        <v/>
      </c>
      <c r="AN70" s="26">
        <f>IF(OR(J70="",L70=""),"",IF(AND(J70&lt;=EOMONTH(AN$4,0),L70&gt;=AN$4),1,""))</f>
        <v/>
      </c>
      <c r="AO70" s="26">
        <f>IF(OR(J70="",L70=""),"",IF(AND(J70&lt;=EOMONTH(AO$4,0),L70&gt;=AO$4),1,""))</f>
        <v/>
      </c>
      <c r="AP70" s="26">
        <f>IF(OR(J70="",L70=""),"",IF(AND(J70&lt;=EOMONTH(AP$4,0),L70&gt;=AP$4),1,""))</f>
        <v/>
      </c>
      <c r="AQ70" s="26">
        <f>IF(OR(J70="",L70=""),"",IF(AND(J70&lt;=EOMONTH(AQ$4,0),L70&gt;=AQ$4),1,""))</f>
        <v/>
      </c>
      <c r="AR70" s="26">
        <f>IF(OR(J70="",L70=""),"",IF(AND(J70&lt;=EOMONTH(AR$4,0),L70&gt;=AR$4),1,""))</f>
        <v/>
      </c>
      <c r="AS70" s="26">
        <f>IF(OR(J70="",L70=""),"",IF(AND(J70&lt;=EOMONTH(AS$4,0),L70&gt;=AS$4),1,""))</f>
        <v/>
      </c>
      <c r="AT70" s="26">
        <f>IF(OR(J70="",L70=""),"",IF(AND(J70&lt;=EOMONTH(AT$4,0),L70&gt;=AT$4),1,""))</f>
        <v/>
      </c>
      <c r="AU70" s="26">
        <f>IF(OR(J70="",L70=""),"",IF(AND(J70&lt;=EOMONTH(AU$4,0),L70&gt;=AU$4),1,""))</f>
        <v/>
      </c>
      <c r="AV70" s="26">
        <f>IF(OR(J70="",L70=""),"",IF(AND(J70&lt;=EOMONTH(AV$4,0),L70&gt;=AV$4),1,""))</f>
        <v/>
      </c>
      <c r="AW70" s="26">
        <f>IF(OR(J70="",L70=""),"",IF(AND(J70&lt;=EOMONTH(AW$4,0),L70&gt;=AW$4),1,""))</f>
        <v/>
      </c>
      <c r="AX70" s="26">
        <f>IF(OR(J70="",L70=""),"",IF(AND(J70&lt;=EOMONTH(AX$4,0),L70&gt;=AX$4),1,""))</f>
        <v/>
      </c>
      <c r="AY70" s="26">
        <f>IF(OR(J70="",L70=""),"",IF(AND(J70&lt;=EOMONTH(AY$4,0),L70&gt;=AY$4),1,""))</f>
        <v/>
      </c>
      <c r="AZ70" s="26">
        <f>IF(OR(J70="",L70=""),"",IF(AND(J70&lt;=EOMONTH(AZ$4,0),L70&gt;=AZ$4),1,""))</f>
        <v/>
      </c>
      <c r="BA70" s="26">
        <f>IF(OR(J70="",L70=""),"",IF(AND(J70&lt;=EOMONTH(BA$4,0),L70&gt;=BA$4),1,""))</f>
        <v/>
      </c>
      <c r="BB70" s="26">
        <f>IF(OR(J70="",L70=""),"",IF(AND(J70&lt;=EOMONTH(BB$4,0),L70&gt;=BB$4),1,""))</f>
        <v/>
      </c>
    </row>
    <row r="71">
      <c r="A71" s="27" t="n"/>
      <c r="B71" s="28" t="n"/>
      <c r="C71" s="29" t="n"/>
      <c r="D71" s="30">
        <f>IF(E71="","","CWA-"&amp;MID(E71,5,4))</f>
        <v/>
      </c>
      <c r="E71" s="29" t="n"/>
      <c r="F71" s="31" t="n"/>
      <c r="G71" s="29" t="n"/>
      <c r="H71" s="28" t="n"/>
      <c r="I71" s="29" t="n"/>
      <c r="J71" s="32" t="n"/>
      <c r="K71" s="28" t="n"/>
      <c r="L71" s="33">
        <f>IF(OR(J71="",K71=""),"",J71+7*K71-1)</f>
        <v/>
      </c>
      <c r="M71" s="33">
        <f>IF(J71="","",J71-7*$E$3)</f>
        <v/>
      </c>
      <c r="N71" s="33">
        <f>IF(J71="","",J71-7*$H$3)</f>
        <v/>
      </c>
      <c r="O71" s="33">
        <f>IF(J71="","",J71-1*$K$3)</f>
        <v/>
      </c>
      <c r="P71" s="30">
        <f>IF(OR(E71="",I71="",I71="—"),IF(E71="","","OK"),IFERROR(IF(INDEX($L$6:$L$155,MATCH(I71,$E$6:$E$155,0))&gt;=J71,"Conflicto con predecesor","OK"),"Predecesor no encontrado"))</f>
        <v/>
      </c>
      <c r="Q71" s="29" t="n"/>
      <c r="R71" s="31" t="n"/>
      <c r="S71" s="26">
        <f>IF(OR(J71="",L71=""),"",IF(AND(J71&lt;=EOMONTH(S$4,0),L71&gt;=S$4),1,""))</f>
        <v/>
      </c>
      <c r="T71" s="26">
        <f>IF(OR(J71="",L71=""),"",IF(AND(J71&lt;=EOMONTH(T$4,0),L71&gt;=T$4),1,""))</f>
        <v/>
      </c>
      <c r="U71" s="26">
        <f>IF(OR(J71="",L71=""),"",IF(AND(J71&lt;=EOMONTH(U$4,0),L71&gt;=U$4),1,""))</f>
        <v/>
      </c>
      <c r="V71" s="26">
        <f>IF(OR(J71="",L71=""),"",IF(AND(J71&lt;=EOMONTH(V$4,0),L71&gt;=V$4),1,""))</f>
        <v/>
      </c>
      <c r="W71" s="26">
        <f>IF(OR(J71="",L71=""),"",IF(AND(J71&lt;=EOMONTH(W$4,0),L71&gt;=W$4),1,""))</f>
        <v/>
      </c>
      <c r="X71" s="26">
        <f>IF(OR(J71="",L71=""),"",IF(AND(J71&lt;=EOMONTH(X$4,0),L71&gt;=X$4),1,""))</f>
        <v/>
      </c>
      <c r="Y71" s="26">
        <f>IF(OR(J71="",L71=""),"",IF(AND(J71&lt;=EOMONTH(Y$4,0),L71&gt;=Y$4),1,""))</f>
        <v/>
      </c>
      <c r="Z71" s="26">
        <f>IF(OR(J71="",L71=""),"",IF(AND(J71&lt;=EOMONTH(Z$4,0),L71&gt;=Z$4),1,""))</f>
        <v/>
      </c>
      <c r="AA71" s="26">
        <f>IF(OR(J71="",L71=""),"",IF(AND(J71&lt;=EOMONTH(AA$4,0),L71&gt;=AA$4),1,""))</f>
        <v/>
      </c>
      <c r="AB71" s="26">
        <f>IF(OR(J71="",L71=""),"",IF(AND(J71&lt;=EOMONTH(AB$4,0),L71&gt;=AB$4),1,""))</f>
        <v/>
      </c>
      <c r="AC71" s="26">
        <f>IF(OR(J71="",L71=""),"",IF(AND(J71&lt;=EOMONTH(AC$4,0),L71&gt;=AC$4),1,""))</f>
        <v/>
      </c>
      <c r="AD71" s="26">
        <f>IF(OR(J71="",L71=""),"",IF(AND(J71&lt;=EOMONTH(AD$4,0),L71&gt;=AD$4),1,""))</f>
        <v/>
      </c>
      <c r="AE71" s="26">
        <f>IF(OR(J71="",L71=""),"",IF(AND(J71&lt;=EOMONTH(AE$4,0),L71&gt;=AE$4),1,""))</f>
        <v/>
      </c>
      <c r="AF71" s="26">
        <f>IF(OR(J71="",L71=""),"",IF(AND(J71&lt;=EOMONTH(AF$4,0),L71&gt;=AF$4),1,""))</f>
        <v/>
      </c>
      <c r="AG71" s="26">
        <f>IF(OR(J71="",L71=""),"",IF(AND(J71&lt;=EOMONTH(AG$4,0),L71&gt;=AG$4),1,""))</f>
        <v/>
      </c>
      <c r="AH71" s="26">
        <f>IF(OR(J71="",L71=""),"",IF(AND(J71&lt;=EOMONTH(AH$4,0),L71&gt;=AH$4),1,""))</f>
        <v/>
      </c>
      <c r="AI71" s="26">
        <f>IF(OR(J71="",L71=""),"",IF(AND(J71&lt;=EOMONTH(AI$4,0),L71&gt;=AI$4),1,""))</f>
        <v/>
      </c>
      <c r="AJ71" s="26">
        <f>IF(OR(J71="",L71=""),"",IF(AND(J71&lt;=EOMONTH(AJ$4,0),L71&gt;=AJ$4),1,""))</f>
        <v/>
      </c>
      <c r="AK71" s="26">
        <f>IF(OR(J71="",L71=""),"",IF(AND(J71&lt;=EOMONTH(AK$4,0),L71&gt;=AK$4),1,""))</f>
        <v/>
      </c>
      <c r="AL71" s="26">
        <f>IF(OR(J71="",L71=""),"",IF(AND(J71&lt;=EOMONTH(AL$4,0),L71&gt;=AL$4),1,""))</f>
        <v/>
      </c>
      <c r="AM71" s="26">
        <f>IF(OR(J71="",L71=""),"",IF(AND(J71&lt;=EOMONTH(AM$4,0),L71&gt;=AM$4),1,""))</f>
        <v/>
      </c>
      <c r="AN71" s="26">
        <f>IF(OR(J71="",L71=""),"",IF(AND(J71&lt;=EOMONTH(AN$4,0),L71&gt;=AN$4),1,""))</f>
        <v/>
      </c>
      <c r="AO71" s="26">
        <f>IF(OR(J71="",L71=""),"",IF(AND(J71&lt;=EOMONTH(AO$4,0),L71&gt;=AO$4),1,""))</f>
        <v/>
      </c>
      <c r="AP71" s="26">
        <f>IF(OR(J71="",L71=""),"",IF(AND(J71&lt;=EOMONTH(AP$4,0),L71&gt;=AP$4),1,""))</f>
        <v/>
      </c>
      <c r="AQ71" s="26">
        <f>IF(OR(J71="",L71=""),"",IF(AND(J71&lt;=EOMONTH(AQ$4,0),L71&gt;=AQ$4),1,""))</f>
        <v/>
      </c>
      <c r="AR71" s="26">
        <f>IF(OR(J71="",L71=""),"",IF(AND(J71&lt;=EOMONTH(AR$4,0),L71&gt;=AR$4),1,""))</f>
        <v/>
      </c>
      <c r="AS71" s="26">
        <f>IF(OR(J71="",L71=""),"",IF(AND(J71&lt;=EOMONTH(AS$4,0),L71&gt;=AS$4),1,""))</f>
        <v/>
      </c>
      <c r="AT71" s="26">
        <f>IF(OR(J71="",L71=""),"",IF(AND(J71&lt;=EOMONTH(AT$4,0),L71&gt;=AT$4),1,""))</f>
        <v/>
      </c>
      <c r="AU71" s="26">
        <f>IF(OR(J71="",L71=""),"",IF(AND(J71&lt;=EOMONTH(AU$4,0),L71&gt;=AU$4),1,""))</f>
        <v/>
      </c>
      <c r="AV71" s="26">
        <f>IF(OR(J71="",L71=""),"",IF(AND(J71&lt;=EOMONTH(AV$4,0),L71&gt;=AV$4),1,""))</f>
        <v/>
      </c>
      <c r="AW71" s="26">
        <f>IF(OR(J71="",L71=""),"",IF(AND(J71&lt;=EOMONTH(AW$4,0),L71&gt;=AW$4),1,""))</f>
        <v/>
      </c>
      <c r="AX71" s="26">
        <f>IF(OR(J71="",L71=""),"",IF(AND(J71&lt;=EOMONTH(AX$4,0),L71&gt;=AX$4),1,""))</f>
        <v/>
      </c>
      <c r="AY71" s="26">
        <f>IF(OR(J71="",L71=""),"",IF(AND(J71&lt;=EOMONTH(AY$4,0),L71&gt;=AY$4),1,""))</f>
        <v/>
      </c>
      <c r="AZ71" s="26">
        <f>IF(OR(J71="",L71=""),"",IF(AND(J71&lt;=EOMONTH(AZ$4,0),L71&gt;=AZ$4),1,""))</f>
        <v/>
      </c>
      <c r="BA71" s="26">
        <f>IF(OR(J71="",L71=""),"",IF(AND(J71&lt;=EOMONTH(BA$4,0),L71&gt;=BA$4),1,""))</f>
        <v/>
      </c>
      <c r="BB71" s="26">
        <f>IF(OR(J71="",L71=""),"",IF(AND(J71&lt;=EOMONTH(BB$4,0),L71&gt;=BB$4),1,""))</f>
        <v/>
      </c>
    </row>
    <row r="72">
      <c r="A72" s="27" t="n"/>
      <c r="B72" s="28" t="n"/>
      <c r="C72" s="29" t="n"/>
      <c r="D72" s="30">
        <f>IF(E72="","","CWA-"&amp;MID(E72,5,4))</f>
        <v/>
      </c>
      <c r="E72" s="29" t="n"/>
      <c r="F72" s="31" t="n"/>
      <c r="G72" s="29" t="n"/>
      <c r="H72" s="28" t="n"/>
      <c r="I72" s="29" t="n"/>
      <c r="J72" s="32" t="n"/>
      <c r="K72" s="28" t="n"/>
      <c r="L72" s="33">
        <f>IF(OR(J72="",K72=""),"",J72+7*K72-1)</f>
        <v/>
      </c>
      <c r="M72" s="33">
        <f>IF(J72="","",J72-7*$E$3)</f>
        <v/>
      </c>
      <c r="N72" s="33">
        <f>IF(J72="","",J72-7*$H$3)</f>
        <v/>
      </c>
      <c r="O72" s="33">
        <f>IF(J72="","",J72-1*$K$3)</f>
        <v/>
      </c>
      <c r="P72" s="30">
        <f>IF(OR(E72="",I72="",I72="—"),IF(E72="","","OK"),IFERROR(IF(INDEX($L$6:$L$155,MATCH(I72,$E$6:$E$155,0))&gt;=J72,"Conflicto con predecesor","OK"),"Predecesor no encontrado"))</f>
        <v/>
      </c>
      <c r="Q72" s="29" t="n"/>
      <c r="R72" s="31" t="n"/>
      <c r="S72" s="26">
        <f>IF(OR(J72="",L72=""),"",IF(AND(J72&lt;=EOMONTH(S$4,0),L72&gt;=S$4),1,""))</f>
        <v/>
      </c>
      <c r="T72" s="26">
        <f>IF(OR(J72="",L72=""),"",IF(AND(J72&lt;=EOMONTH(T$4,0),L72&gt;=T$4),1,""))</f>
        <v/>
      </c>
      <c r="U72" s="26">
        <f>IF(OR(J72="",L72=""),"",IF(AND(J72&lt;=EOMONTH(U$4,0),L72&gt;=U$4),1,""))</f>
        <v/>
      </c>
      <c r="V72" s="26">
        <f>IF(OR(J72="",L72=""),"",IF(AND(J72&lt;=EOMONTH(V$4,0),L72&gt;=V$4),1,""))</f>
        <v/>
      </c>
      <c r="W72" s="26">
        <f>IF(OR(J72="",L72=""),"",IF(AND(J72&lt;=EOMONTH(W$4,0),L72&gt;=W$4),1,""))</f>
        <v/>
      </c>
      <c r="X72" s="26">
        <f>IF(OR(J72="",L72=""),"",IF(AND(J72&lt;=EOMONTH(X$4,0),L72&gt;=X$4),1,""))</f>
        <v/>
      </c>
      <c r="Y72" s="26">
        <f>IF(OR(J72="",L72=""),"",IF(AND(J72&lt;=EOMONTH(Y$4,0),L72&gt;=Y$4),1,""))</f>
        <v/>
      </c>
      <c r="Z72" s="26">
        <f>IF(OR(J72="",L72=""),"",IF(AND(J72&lt;=EOMONTH(Z$4,0),L72&gt;=Z$4),1,""))</f>
        <v/>
      </c>
      <c r="AA72" s="26">
        <f>IF(OR(J72="",L72=""),"",IF(AND(J72&lt;=EOMONTH(AA$4,0),L72&gt;=AA$4),1,""))</f>
        <v/>
      </c>
      <c r="AB72" s="26">
        <f>IF(OR(J72="",L72=""),"",IF(AND(J72&lt;=EOMONTH(AB$4,0),L72&gt;=AB$4),1,""))</f>
        <v/>
      </c>
      <c r="AC72" s="26">
        <f>IF(OR(J72="",L72=""),"",IF(AND(J72&lt;=EOMONTH(AC$4,0),L72&gt;=AC$4),1,""))</f>
        <v/>
      </c>
      <c r="AD72" s="26">
        <f>IF(OR(J72="",L72=""),"",IF(AND(J72&lt;=EOMONTH(AD$4,0),L72&gt;=AD$4),1,""))</f>
        <v/>
      </c>
      <c r="AE72" s="26">
        <f>IF(OR(J72="",L72=""),"",IF(AND(J72&lt;=EOMONTH(AE$4,0),L72&gt;=AE$4),1,""))</f>
        <v/>
      </c>
      <c r="AF72" s="26">
        <f>IF(OR(J72="",L72=""),"",IF(AND(J72&lt;=EOMONTH(AF$4,0),L72&gt;=AF$4),1,""))</f>
        <v/>
      </c>
      <c r="AG72" s="26">
        <f>IF(OR(J72="",L72=""),"",IF(AND(J72&lt;=EOMONTH(AG$4,0),L72&gt;=AG$4),1,""))</f>
        <v/>
      </c>
      <c r="AH72" s="26">
        <f>IF(OR(J72="",L72=""),"",IF(AND(J72&lt;=EOMONTH(AH$4,0),L72&gt;=AH$4),1,""))</f>
        <v/>
      </c>
      <c r="AI72" s="26">
        <f>IF(OR(J72="",L72=""),"",IF(AND(J72&lt;=EOMONTH(AI$4,0),L72&gt;=AI$4),1,""))</f>
        <v/>
      </c>
      <c r="AJ72" s="26">
        <f>IF(OR(J72="",L72=""),"",IF(AND(J72&lt;=EOMONTH(AJ$4,0),L72&gt;=AJ$4),1,""))</f>
        <v/>
      </c>
      <c r="AK72" s="26">
        <f>IF(OR(J72="",L72=""),"",IF(AND(J72&lt;=EOMONTH(AK$4,0),L72&gt;=AK$4),1,""))</f>
        <v/>
      </c>
      <c r="AL72" s="26">
        <f>IF(OR(J72="",L72=""),"",IF(AND(J72&lt;=EOMONTH(AL$4,0),L72&gt;=AL$4),1,""))</f>
        <v/>
      </c>
      <c r="AM72" s="26">
        <f>IF(OR(J72="",L72=""),"",IF(AND(J72&lt;=EOMONTH(AM$4,0),L72&gt;=AM$4),1,""))</f>
        <v/>
      </c>
      <c r="AN72" s="26">
        <f>IF(OR(J72="",L72=""),"",IF(AND(J72&lt;=EOMONTH(AN$4,0),L72&gt;=AN$4),1,""))</f>
        <v/>
      </c>
      <c r="AO72" s="26">
        <f>IF(OR(J72="",L72=""),"",IF(AND(J72&lt;=EOMONTH(AO$4,0),L72&gt;=AO$4),1,""))</f>
        <v/>
      </c>
      <c r="AP72" s="26">
        <f>IF(OR(J72="",L72=""),"",IF(AND(J72&lt;=EOMONTH(AP$4,0),L72&gt;=AP$4),1,""))</f>
        <v/>
      </c>
      <c r="AQ72" s="26">
        <f>IF(OR(J72="",L72=""),"",IF(AND(J72&lt;=EOMONTH(AQ$4,0),L72&gt;=AQ$4),1,""))</f>
        <v/>
      </c>
      <c r="AR72" s="26">
        <f>IF(OR(J72="",L72=""),"",IF(AND(J72&lt;=EOMONTH(AR$4,0),L72&gt;=AR$4),1,""))</f>
        <v/>
      </c>
      <c r="AS72" s="26">
        <f>IF(OR(J72="",L72=""),"",IF(AND(J72&lt;=EOMONTH(AS$4,0),L72&gt;=AS$4),1,""))</f>
        <v/>
      </c>
      <c r="AT72" s="26">
        <f>IF(OR(J72="",L72=""),"",IF(AND(J72&lt;=EOMONTH(AT$4,0),L72&gt;=AT$4),1,""))</f>
        <v/>
      </c>
      <c r="AU72" s="26">
        <f>IF(OR(J72="",L72=""),"",IF(AND(J72&lt;=EOMONTH(AU$4,0),L72&gt;=AU$4),1,""))</f>
        <v/>
      </c>
      <c r="AV72" s="26">
        <f>IF(OR(J72="",L72=""),"",IF(AND(J72&lt;=EOMONTH(AV$4,0),L72&gt;=AV$4),1,""))</f>
        <v/>
      </c>
      <c r="AW72" s="26">
        <f>IF(OR(J72="",L72=""),"",IF(AND(J72&lt;=EOMONTH(AW$4,0),L72&gt;=AW$4),1,""))</f>
        <v/>
      </c>
      <c r="AX72" s="26">
        <f>IF(OR(J72="",L72=""),"",IF(AND(J72&lt;=EOMONTH(AX$4,0),L72&gt;=AX$4),1,""))</f>
        <v/>
      </c>
      <c r="AY72" s="26">
        <f>IF(OR(J72="",L72=""),"",IF(AND(J72&lt;=EOMONTH(AY$4,0),L72&gt;=AY$4),1,""))</f>
        <v/>
      </c>
      <c r="AZ72" s="26">
        <f>IF(OR(J72="",L72=""),"",IF(AND(J72&lt;=EOMONTH(AZ$4,0),L72&gt;=AZ$4),1,""))</f>
        <v/>
      </c>
      <c r="BA72" s="26">
        <f>IF(OR(J72="",L72=""),"",IF(AND(J72&lt;=EOMONTH(BA$4,0),L72&gt;=BA$4),1,""))</f>
        <v/>
      </c>
      <c r="BB72" s="26">
        <f>IF(OR(J72="",L72=""),"",IF(AND(J72&lt;=EOMONTH(BB$4,0),L72&gt;=BB$4),1,""))</f>
        <v/>
      </c>
    </row>
    <row r="73">
      <c r="A73" s="27" t="n"/>
      <c r="B73" s="28" t="n"/>
      <c r="C73" s="29" t="n"/>
      <c r="D73" s="30">
        <f>IF(E73="","","CWA-"&amp;MID(E73,5,4))</f>
        <v/>
      </c>
      <c r="E73" s="29" t="n"/>
      <c r="F73" s="31" t="n"/>
      <c r="G73" s="29" t="n"/>
      <c r="H73" s="28" t="n"/>
      <c r="I73" s="29" t="n"/>
      <c r="J73" s="32" t="n"/>
      <c r="K73" s="28" t="n"/>
      <c r="L73" s="33">
        <f>IF(OR(J73="",K73=""),"",J73+7*K73-1)</f>
        <v/>
      </c>
      <c r="M73" s="33">
        <f>IF(J73="","",J73-7*$E$3)</f>
        <v/>
      </c>
      <c r="N73" s="33">
        <f>IF(J73="","",J73-7*$H$3)</f>
        <v/>
      </c>
      <c r="O73" s="33">
        <f>IF(J73="","",J73-1*$K$3)</f>
        <v/>
      </c>
      <c r="P73" s="30">
        <f>IF(OR(E73="",I73="",I73="—"),IF(E73="","","OK"),IFERROR(IF(INDEX($L$6:$L$155,MATCH(I73,$E$6:$E$155,0))&gt;=J73,"Conflicto con predecesor","OK"),"Predecesor no encontrado"))</f>
        <v/>
      </c>
      <c r="Q73" s="29" t="n"/>
      <c r="R73" s="31" t="n"/>
      <c r="S73" s="26">
        <f>IF(OR(J73="",L73=""),"",IF(AND(J73&lt;=EOMONTH(S$4,0),L73&gt;=S$4),1,""))</f>
        <v/>
      </c>
      <c r="T73" s="26">
        <f>IF(OR(J73="",L73=""),"",IF(AND(J73&lt;=EOMONTH(T$4,0),L73&gt;=T$4),1,""))</f>
        <v/>
      </c>
      <c r="U73" s="26">
        <f>IF(OR(J73="",L73=""),"",IF(AND(J73&lt;=EOMONTH(U$4,0),L73&gt;=U$4),1,""))</f>
        <v/>
      </c>
      <c r="V73" s="26">
        <f>IF(OR(J73="",L73=""),"",IF(AND(J73&lt;=EOMONTH(V$4,0),L73&gt;=V$4),1,""))</f>
        <v/>
      </c>
      <c r="W73" s="26">
        <f>IF(OR(J73="",L73=""),"",IF(AND(J73&lt;=EOMONTH(W$4,0),L73&gt;=W$4),1,""))</f>
        <v/>
      </c>
      <c r="X73" s="26">
        <f>IF(OR(J73="",L73=""),"",IF(AND(J73&lt;=EOMONTH(X$4,0),L73&gt;=X$4),1,""))</f>
        <v/>
      </c>
      <c r="Y73" s="26">
        <f>IF(OR(J73="",L73=""),"",IF(AND(J73&lt;=EOMONTH(Y$4,0),L73&gt;=Y$4),1,""))</f>
        <v/>
      </c>
      <c r="Z73" s="26">
        <f>IF(OR(J73="",L73=""),"",IF(AND(J73&lt;=EOMONTH(Z$4,0),L73&gt;=Z$4),1,""))</f>
        <v/>
      </c>
      <c r="AA73" s="26">
        <f>IF(OR(J73="",L73=""),"",IF(AND(J73&lt;=EOMONTH(AA$4,0),L73&gt;=AA$4),1,""))</f>
        <v/>
      </c>
      <c r="AB73" s="26">
        <f>IF(OR(J73="",L73=""),"",IF(AND(J73&lt;=EOMONTH(AB$4,0),L73&gt;=AB$4),1,""))</f>
        <v/>
      </c>
      <c r="AC73" s="26">
        <f>IF(OR(J73="",L73=""),"",IF(AND(J73&lt;=EOMONTH(AC$4,0),L73&gt;=AC$4),1,""))</f>
        <v/>
      </c>
      <c r="AD73" s="26">
        <f>IF(OR(J73="",L73=""),"",IF(AND(J73&lt;=EOMONTH(AD$4,0),L73&gt;=AD$4),1,""))</f>
        <v/>
      </c>
      <c r="AE73" s="26">
        <f>IF(OR(J73="",L73=""),"",IF(AND(J73&lt;=EOMONTH(AE$4,0),L73&gt;=AE$4),1,""))</f>
        <v/>
      </c>
      <c r="AF73" s="26">
        <f>IF(OR(J73="",L73=""),"",IF(AND(J73&lt;=EOMONTH(AF$4,0),L73&gt;=AF$4),1,""))</f>
        <v/>
      </c>
      <c r="AG73" s="26">
        <f>IF(OR(J73="",L73=""),"",IF(AND(J73&lt;=EOMONTH(AG$4,0),L73&gt;=AG$4),1,""))</f>
        <v/>
      </c>
      <c r="AH73" s="26">
        <f>IF(OR(J73="",L73=""),"",IF(AND(J73&lt;=EOMONTH(AH$4,0),L73&gt;=AH$4),1,""))</f>
        <v/>
      </c>
      <c r="AI73" s="26">
        <f>IF(OR(J73="",L73=""),"",IF(AND(J73&lt;=EOMONTH(AI$4,0),L73&gt;=AI$4),1,""))</f>
        <v/>
      </c>
      <c r="AJ73" s="26">
        <f>IF(OR(J73="",L73=""),"",IF(AND(J73&lt;=EOMONTH(AJ$4,0),L73&gt;=AJ$4),1,""))</f>
        <v/>
      </c>
      <c r="AK73" s="26">
        <f>IF(OR(J73="",L73=""),"",IF(AND(J73&lt;=EOMONTH(AK$4,0),L73&gt;=AK$4),1,""))</f>
        <v/>
      </c>
      <c r="AL73" s="26">
        <f>IF(OR(J73="",L73=""),"",IF(AND(J73&lt;=EOMONTH(AL$4,0),L73&gt;=AL$4),1,""))</f>
        <v/>
      </c>
      <c r="AM73" s="26">
        <f>IF(OR(J73="",L73=""),"",IF(AND(J73&lt;=EOMONTH(AM$4,0),L73&gt;=AM$4),1,""))</f>
        <v/>
      </c>
      <c r="AN73" s="26">
        <f>IF(OR(J73="",L73=""),"",IF(AND(J73&lt;=EOMONTH(AN$4,0),L73&gt;=AN$4),1,""))</f>
        <v/>
      </c>
      <c r="AO73" s="26">
        <f>IF(OR(J73="",L73=""),"",IF(AND(J73&lt;=EOMONTH(AO$4,0),L73&gt;=AO$4),1,""))</f>
        <v/>
      </c>
      <c r="AP73" s="26">
        <f>IF(OR(J73="",L73=""),"",IF(AND(J73&lt;=EOMONTH(AP$4,0),L73&gt;=AP$4),1,""))</f>
        <v/>
      </c>
      <c r="AQ73" s="26">
        <f>IF(OR(J73="",L73=""),"",IF(AND(J73&lt;=EOMONTH(AQ$4,0),L73&gt;=AQ$4),1,""))</f>
        <v/>
      </c>
      <c r="AR73" s="26">
        <f>IF(OR(J73="",L73=""),"",IF(AND(J73&lt;=EOMONTH(AR$4,0),L73&gt;=AR$4),1,""))</f>
        <v/>
      </c>
      <c r="AS73" s="26">
        <f>IF(OR(J73="",L73=""),"",IF(AND(J73&lt;=EOMONTH(AS$4,0),L73&gt;=AS$4),1,""))</f>
        <v/>
      </c>
      <c r="AT73" s="26">
        <f>IF(OR(J73="",L73=""),"",IF(AND(J73&lt;=EOMONTH(AT$4,0),L73&gt;=AT$4),1,""))</f>
        <v/>
      </c>
      <c r="AU73" s="26">
        <f>IF(OR(J73="",L73=""),"",IF(AND(J73&lt;=EOMONTH(AU$4,0),L73&gt;=AU$4),1,""))</f>
        <v/>
      </c>
      <c r="AV73" s="26">
        <f>IF(OR(J73="",L73=""),"",IF(AND(J73&lt;=EOMONTH(AV$4,0),L73&gt;=AV$4),1,""))</f>
        <v/>
      </c>
      <c r="AW73" s="26">
        <f>IF(OR(J73="",L73=""),"",IF(AND(J73&lt;=EOMONTH(AW$4,0),L73&gt;=AW$4),1,""))</f>
        <v/>
      </c>
      <c r="AX73" s="26">
        <f>IF(OR(J73="",L73=""),"",IF(AND(J73&lt;=EOMONTH(AX$4,0),L73&gt;=AX$4),1,""))</f>
        <v/>
      </c>
      <c r="AY73" s="26">
        <f>IF(OR(J73="",L73=""),"",IF(AND(J73&lt;=EOMONTH(AY$4,0),L73&gt;=AY$4),1,""))</f>
        <v/>
      </c>
      <c r="AZ73" s="26">
        <f>IF(OR(J73="",L73=""),"",IF(AND(J73&lt;=EOMONTH(AZ$4,0),L73&gt;=AZ$4),1,""))</f>
        <v/>
      </c>
      <c r="BA73" s="26">
        <f>IF(OR(J73="",L73=""),"",IF(AND(J73&lt;=EOMONTH(BA$4,0),L73&gt;=BA$4),1,""))</f>
        <v/>
      </c>
      <c r="BB73" s="26">
        <f>IF(OR(J73="",L73=""),"",IF(AND(J73&lt;=EOMONTH(BB$4,0),L73&gt;=BB$4),1,""))</f>
        <v/>
      </c>
    </row>
    <row r="74">
      <c r="A74" s="27" t="n"/>
      <c r="B74" s="28" t="n"/>
      <c r="C74" s="29" t="n"/>
      <c r="D74" s="30">
        <f>IF(E74="","","CWA-"&amp;MID(E74,5,4))</f>
        <v/>
      </c>
      <c r="E74" s="29" t="n"/>
      <c r="F74" s="31" t="n"/>
      <c r="G74" s="29" t="n"/>
      <c r="H74" s="28" t="n"/>
      <c r="I74" s="29" t="n"/>
      <c r="J74" s="32" t="n"/>
      <c r="K74" s="28" t="n"/>
      <c r="L74" s="33">
        <f>IF(OR(J74="",K74=""),"",J74+7*K74-1)</f>
        <v/>
      </c>
      <c r="M74" s="33">
        <f>IF(J74="","",J74-7*$E$3)</f>
        <v/>
      </c>
      <c r="N74" s="33">
        <f>IF(J74="","",J74-7*$H$3)</f>
        <v/>
      </c>
      <c r="O74" s="33">
        <f>IF(J74="","",J74-1*$K$3)</f>
        <v/>
      </c>
      <c r="P74" s="30">
        <f>IF(OR(E74="",I74="",I74="—"),IF(E74="","","OK"),IFERROR(IF(INDEX($L$6:$L$155,MATCH(I74,$E$6:$E$155,0))&gt;=J74,"Conflicto con predecesor","OK"),"Predecesor no encontrado"))</f>
        <v/>
      </c>
      <c r="Q74" s="29" t="n"/>
      <c r="R74" s="31" t="n"/>
      <c r="S74" s="26">
        <f>IF(OR(J74="",L74=""),"",IF(AND(J74&lt;=EOMONTH(S$4,0),L74&gt;=S$4),1,""))</f>
        <v/>
      </c>
      <c r="T74" s="26">
        <f>IF(OR(J74="",L74=""),"",IF(AND(J74&lt;=EOMONTH(T$4,0),L74&gt;=T$4),1,""))</f>
        <v/>
      </c>
      <c r="U74" s="26">
        <f>IF(OR(J74="",L74=""),"",IF(AND(J74&lt;=EOMONTH(U$4,0),L74&gt;=U$4),1,""))</f>
        <v/>
      </c>
      <c r="V74" s="26">
        <f>IF(OR(J74="",L74=""),"",IF(AND(J74&lt;=EOMONTH(V$4,0),L74&gt;=V$4),1,""))</f>
        <v/>
      </c>
      <c r="W74" s="26">
        <f>IF(OR(J74="",L74=""),"",IF(AND(J74&lt;=EOMONTH(W$4,0),L74&gt;=W$4),1,""))</f>
        <v/>
      </c>
      <c r="X74" s="26">
        <f>IF(OR(J74="",L74=""),"",IF(AND(J74&lt;=EOMONTH(X$4,0),L74&gt;=X$4),1,""))</f>
        <v/>
      </c>
      <c r="Y74" s="26">
        <f>IF(OR(J74="",L74=""),"",IF(AND(J74&lt;=EOMONTH(Y$4,0),L74&gt;=Y$4),1,""))</f>
        <v/>
      </c>
      <c r="Z74" s="26">
        <f>IF(OR(J74="",L74=""),"",IF(AND(J74&lt;=EOMONTH(Z$4,0),L74&gt;=Z$4),1,""))</f>
        <v/>
      </c>
      <c r="AA74" s="26">
        <f>IF(OR(J74="",L74=""),"",IF(AND(J74&lt;=EOMONTH(AA$4,0),L74&gt;=AA$4),1,""))</f>
        <v/>
      </c>
      <c r="AB74" s="26">
        <f>IF(OR(J74="",L74=""),"",IF(AND(J74&lt;=EOMONTH(AB$4,0),L74&gt;=AB$4),1,""))</f>
        <v/>
      </c>
      <c r="AC74" s="26">
        <f>IF(OR(J74="",L74=""),"",IF(AND(J74&lt;=EOMONTH(AC$4,0),L74&gt;=AC$4),1,""))</f>
        <v/>
      </c>
      <c r="AD74" s="26">
        <f>IF(OR(J74="",L74=""),"",IF(AND(J74&lt;=EOMONTH(AD$4,0),L74&gt;=AD$4),1,""))</f>
        <v/>
      </c>
      <c r="AE74" s="26">
        <f>IF(OR(J74="",L74=""),"",IF(AND(J74&lt;=EOMONTH(AE$4,0),L74&gt;=AE$4),1,""))</f>
        <v/>
      </c>
      <c r="AF74" s="26">
        <f>IF(OR(J74="",L74=""),"",IF(AND(J74&lt;=EOMONTH(AF$4,0),L74&gt;=AF$4),1,""))</f>
        <v/>
      </c>
      <c r="AG74" s="26">
        <f>IF(OR(J74="",L74=""),"",IF(AND(J74&lt;=EOMONTH(AG$4,0),L74&gt;=AG$4),1,""))</f>
        <v/>
      </c>
      <c r="AH74" s="26">
        <f>IF(OR(J74="",L74=""),"",IF(AND(J74&lt;=EOMONTH(AH$4,0),L74&gt;=AH$4),1,""))</f>
        <v/>
      </c>
      <c r="AI74" s="26">
        <f>IF(OR(J74="",L74=""),"",IF(AND(J74&lt;=EOMONTH(AI$4,0),L74&gt;=AI$4),1,""))</f>
        <v/>
      </c>
      <c r="AJ74" s="26">
        <f>IF(OR(J74="",L74=""),"",IF(AND(J74&lt;=EOMONTH(AJ$4,0),L74&gt;=AJ$4),1,""))</f>
        <v/>
      </c>
      <c r="AK74" s="26">
        <f>IF(OR(J74="",L74=""),"",IF(AND(J74&lt;=EOMONTH(AK$4,0),L74&gt;=AK$4),1,""))</f>
        <v/>
      </c>
      <c r="AL74" s="26">
        <f>IF(OR(J74="",L74=""),"",IF(AND(J74&lt;=EOMONTH(AL$4,0),L74&gt;=AL$4),1,""))</f>
        <v/>
      </c>
      <c r="AM74" s="26">
        <f>IF(OR(J74="",L74=""),"",IF(AND(J74&lt;=EOMONTH(AM$4,0),L74&gt;=AM$4),1,""))</f>
        <v/>
      </c>
      <c r="AN74" s="26">
        <f>IF(OR(J74="",L74=""),"",IF(AND(J74&lt;=EOMONTH(AN$4,0),L74&gt;=AN$4),1,""))</f>
        <v/>
      </c>
      <c r="AO74" s="26">
        <f>IF(OR(J74="",L74=""),"",IF(AND(J74&lt;=EOMONTH(AO$4,0),L74&gt;=AO$4),1,""))</f>
        <v/>
      </c>
      <c r="AP74" s="26">
        <f>IF(OR(J74="",L74=""),"",IF(AND(J74&lt;=EOMONTH(AP$4,0),L74&gt;=AP$4),1,""))</f>
        <v/>
      </c>
      <c r="AQ74" s="26">
        <f>IF(OR(J74="",L74=""),"",IF(AND(J74&lt;=EOMONTH(AQ$4,0),L74&gt;=AQ$4),1,""))</f>
        <v/>
      </c>
      <c r="AR74" s="26">
        <f>IF(OR(J74="",L74=""),"",IF(AND(J74&lt;=EOMONTH(AR$4,0),L74&gt;=AR$4),1,""))</f>
        <v/>
      </c>
      <c r="AS74" s="26">
        <f>IF(OR(J74="",L74=""),"",IF(AND(J74&lt;=EOMONTH(AS$4,0),L74&gt;=AS$4),1,""))</f>
        <v/>
      </c>
      <c r="AT74" s="26">
        <f>IF(OR(J74="",L74=""),"",IF(AND(J74&lt;=EOMONTH(AT$4,0),L74&gt;=AT$4),1,""))</f>
        <v/>
      </c>
      <c r="AU74" s="26">
        <f>IF(OR(J74="",L74=""),"",IF(AND(J74&lt;=EOMONTH(AU$4,0),L74&gt;=AU$4),1,""))</f>
        <v/>
      </c>
      <c r="AV74" s="26">
        <f>IF(OR(J74="",L74=""),"",IF(AND(J74&lt;=EOMONTH(AV$4,0),L74&gt;=AV$4),1,""))</f>
        <v/>
      </c>
      <c r="AW74" s="26">
        <f>IF(OR(J74="",L74=""),"",IF(AND(J74&lt;=EOMONTH(AW$4,0),L74&gt;=AW$4),1,""))</f>
        <v/>
      </c>
      <c r="AX74" s="26">
        <f>IF(OR(J74="",L74=""),"",IF(AND(J74&lt;=EOMONTH(AX$4,0),L74&gt;=AX$4),1,""))</f>
        <v/>
      </c>
      <c r="AY74" s="26">
        <f>IF(OR(J74="",L74=""),"",IF(AND(J74&lt;=EOMONTH(AY$4,0),L74&gt;=AY$4),1,""))</f>
        <v/>
      </c>
      <c r="AZ74" s="26">
        <f>IF(OR(J74="",L74=""),"",IF(AND(J74&lt;=EOMONTH(AZ$4,0),L74&gt;=AZ$4),1,""))</f>
        <v/>
      </c>
      <c r="BA74" s="26">
        <f>IF(OR(J74="",L74=""),"",IF(AND(J74&lt;=EOMONTH(BA$4,0),L74&gt;=BA$4),1,""))</f>
        <v/>
      </c>
      <c r="BB74" s="26">
        <f>IF(OR(J74="",L74=""),"",IF(AND(J74&lt;=EOMONTH(BB$4,0),L74&gt;=BB$4),1,""))</f>
        <v/>
      </c>
    </row>
    <row r="75">
      <c r="A75" s="27" t="n"/>
      <c r="B75" s="28" t="n"/>
      <c r="C75" s="29" t="n"/>
      <c r="D75" s="30">
        <f>IF(E75="","","CWA-"&amp;MID(E75,5,4))</f>
        <v/>
      </c>
      <c r="E75" s="29" t="n"/>
      <c r="F75" s="31" t="n"/>
      <c r="G75" s="29" t="n"/>
      <c r="H75" s="28" t="n"/>
      <c r="I75" s="29" t="n"/>
      <c r="J75" s="32" t="n"/>
      <c r="K75" s="28" t="n"/>
      <c r="L75" s="33">
        <f>IF(OR(J75="",K75=""),"",J75+7*K75-1)</f>
        <v/>
      </c>
      <c r="M75" s="33">
        <f>IF(J75="","",J75-7*$E$3)</f>
        <v/>
      </c>
      <c r="N75" s="33">
        <f>IF(J75="","",J75-7*$H$3)</f>
        <v/>
      </c>
      <c r="O75" s="33">
        <f>IF(J75="","",J75-1*$K$3)</f>
        <v/>
      </c>
      <c r="P75" s="30">
        <f>IF(OR(E75="",I75="",I75="—"),IF(E75="","","OK"),IFERROR(IF(INDEX($L$6:$L$155,MATCH(I75,$E$6:$E$155,0))&gt;=J75,"Conflicto con predecesor","OK"),"Predecesor no encontrado"))</f>
        <v/>
      </c>
      <c r="Q75" s="29" t="n"/>
      <c r="R75" s="31" t="n"/>
      <c r="S75" s="26">
        <f>IF(OR(J75="",L75=""),"",IF(AND(J75&lt;=EOMONTH(S$4,0),L75&gt;=S$4),1,""))</f>
        <v/>
      </c>
      <c r="T75" s="26">
        <f>IF(OR(J75="",L75=""),"",IF(AND(J75&lt;=EOMONTH(T$4,0),L75&gt;=T$4),1,""))</f>
        <v/>
      </c>
      <c r="U75" s="26">
        <f>IF(OR(J75="",L75=""),"",IF(AND(J75&lt;=EOMONTH(U$4,0),L75&gt;=U$4),1,""))</f>
        <v/>
      </c>
      <c r="V75" s="26">
        <f>IF(OR(J75="",L75=""),"",IF(AND(J75&lt;=EOMONTH(V$4,0),L75&gt;=V$4),1,""))</f>
        <v/>
      </c>
      <c r="W75" s="26">
        <f>IF(OR(J75="",L75=""),"",IF(AND(J75&lt;=EOMONTH(W$4,0),L75&gt;=W$4),1,""))</f>
        <v/>
      </c>
      <c r="X75" s="26">
        <f>IF(OR(J75="",L75=""),"",IF(AND(J75&lt;=EOMONTH(X$4,0),L75&gt;=X$4),1,""))</f>
        <v/>
      </c>
      <c r="Y75" s="26">
        <f>IF(OR(J75="",L75=""),"",IF(AND(J75&lt;=EOMONTH(Y$4,0),L75&gt;=Y$4),1,""))</f>
        <v/>
      </c>
      <c r="Z75" s="26">
        <f>IF(OR(J75="",L75=""),"",IF(AND(J75&lt;=EOMONTH(Z$4,0),L75&gt;=Z$4),1,""))</f>
        <v/>
      </c>
      <c r="AA75" s="26">
        <f>IF(OR(J75="",L75=""),"",IF(AND(J75&lt;=EOMONTH(AA$4,0),L75&gt;=AA$4),1,""))</f>
        <v/>
      </c>
      <c r="AB75" s="26">
        <f>IF(OR(J75="",L75=""),"",IF(AND(J75&lt;=EOMONTH(AB$4,0),L75&gt;=AB$4),1,""))</f>
        <v/>
      </c>
      <c r="AC75" s="26">
        <f>IF(OR(J75="",L75=""),"",IF(AND(J75&lt;=EOMONTH(AC$4,0),L75&gt;=AC$4),1,""))</f>
        <v/>
      </c>
      <c r="AD75" s="26">
        <f>IF(OR(J75="",L75=""),"",IF(AND(J75&lt;=EOMONTH(AD$4,0),L75&gt;=AD$4),1,""))</f>
        <v/>
      </c>
      <c r="AE75" s="26">
        <f>IF(OR(J75="",L75=""),"",IF(AND(J75&lt;=EOMONTH(AE$4,0),L75&gt;=AE$4),1,""))</f>
        <v/>
      </c>
      <c r="AF75" s="26">
        <f>IF(OR(J75="",L75=""),"",IF(AND(J75&lt;=EOMONTH(AF$4,0),L75&gt;=AF$4),1,""))</f>
        <v/>
      </c>
      <c r="AG75" s="26">
        <f>IF(OR(J75="",L75=""),"",IF(AND(J75&lt;=EOMONTH(AG$4,0),L75&gt;=AG$4),1,""))</f>
        <v/>
      </c>
      <c r="AH75" s="26">
        <f>IF(OR(J75="",L75=""),"",IF(AND(J75&lt;=EOMONTH(AH$4,0),L75&gt;=AH$4),1,""))</f>
        <v/>
      </c>
      <c r="AI75" s="26">
        <f>IF(OR(J75="",L75=""),"",IF(AND(J75&lt;=EOMONTH(AI$4,0),L75&gt;=AI$4),1,""))</f>
        <v/>
      </c>
      <c r="AJ75" s="26">
        <f>IF(OR(J75="",L75=""),"",IF(AND(J75&lt;=EOMONTH(AJ$4,0),L75&gt;=AJ$4),1,""))</f>
        <v/>
      </c>
      <c r="AK75" s="26">
        <f>IF(OR(J75="",L75=""),"",IF(AND(J75&lt;=EOMONTH(AK$4,0),L75&gt;=AK$4),1,""))</f>
        <v/>
      </c>
      <c r="AL75" s="26">
        <f>IF(OR(J75="",L75=""),"",IF(AND(J75&lt;=EOMONTH(AL$4,0),L75&gt;=AL$4),1,""))</f>
        <v/>
      </c>
      <c r="AM75" s="26">
        <f>IF(OR(J75="",L75=""),"",IF(AND(J75&lt;=EOMONTH(AM$4,0),L75&gt;=AM$4),1,""))</f>
        <v/>
      </c>
      <c r="AN75" s="26">
        <f>IF(OR(J75="",L75=""),"",IF(AND(J75&lt;=EOMONTH(AN$4,0),L75&gt;=AN$4),1,""))</f>
        <v/>
      </c>
      <c r="AO75" s="26">
        <f>IF(OR(J75="",L75=""),"",IF(AND(J75&lt;=EOMONTH(AO$4,0),L75&gt;=AO$4),1,""))</f>
        <v/>
      </c>
      <c r="AP75" s="26">
        <f>IF(OR(J75="",L75=""),"",IF(AND(J75&lt;=EOMONTH(AP$4,0),L75&gt;=AP$4),1,""))</f>
        <v/>
      </c>
      <c r="AQ75" s="26">
        <f>IF(OR(J75="",L75=""),"",IF(AND(J75&lt;=EOMONTH(AQ$4,0),L75&gt;=AQ$4),1,""))</f>
        <v/>
      </c>
      <c r="AR75" s="26">
        <f>IF(OR(J75="",L75=""),"",IF(AND(J75&lt;=EOMONTH(AR$4,0),L75&gt;=AR$4),1,""))</f>
        <v/>
      </c>
      <c r="AS75" s="26">
        <f>IF(OR(J75="",L75=""),"",IF(AND(J75&lt;=EOMONTH(AS$4,0),L75&gt;=AS$4),1,""))</f>
        <v/>
      </c>
      <c r="AT75" s="26">
        <f>IF(OR(J75="",L75=""),"",IF(AND(J75&lt;=EOMONTH(AT$4,0),L75&gt;=AT$4),1,""))</f>
        <v/>
      </c>
      <c r="AU75" s="26">
        <f>IF(OR(J75="",L75=""),"",IF(AND(J75&lt;=EOMONTH(AU$4,0),L75&gt;=AU$4),1,""))</f>
        <v/>
      </c>
      <c r="AV75" s="26">
        <f>IF(OR(J75="",L75=""),"",IF(AND(J75&lt;=EOMONTH(AV$4,0),L75&gt;=AV$4),1,""))</f>
        <v/>
      </c>
      <c r="AW75" s="26">
        <f>IF(OR(J75="",L75=""),"",IF(AND(J75&lt;=EOMONTH(AW$4,0),L75&gt;=AW$4),1,""))</f>
        <v/>
      </c>
      <c r="AX75" s="26">
        <f>IF(OR(J75="",L75=""),"",IF(AND(J75&lt;=EOMONTH(AX$4,0),L75&gt;=AX$4),1,""))</f>
        <v/>
      </c>
      <c r="AY75" s="26">
        <f>IF(OR(J75="",L75=""),"",IF(AND(J75&lt;=EOMONTH(AY$4,0),L75&gt;=AY$4),1,""))</f>
        <v/>
      </c>
      <c r="AZ75" s="26">
        <f>IF(OR(J75="",L75=""),"",IF(AND(J75&lt;=EOMONTH(AZ$4,0),L75&gt;=AZ$4),1,""))</f>
        <v/>
      </c>
      <c r="BA75" s="26">
        <f>IF(OR(J75="",L75=""),"",IF(AND(J75&lt;=EOMONTH(BA$4,0),L75&gt;=BA$4),1,""))</f>
        <v/>
      </c>
      <c r="BB75" s="26">
        <f>IF(OR(J75="",L75=""),"",IF(AND(J75&lt;=EOMONTH(BB$4,0),L75&gt;=BB$4),1,""))</f>
        <v/>
      </c>
    </row>
    <row r="76">
      <c r="A76" s="27" t="n"/>
      <c r="B76" s="28" t="n"/>
      <c r="C76" s="29" t="n"/>
      <c r="D76" s="30">
        <f>IF(E76="","","CWA-"&amp;MID(E76,5,4))</f>
        <v/>
      </c>
      <c r="E76" s="29" t="n"/>
      <c r="F76" s="31" t="n"/>
      <c r="G76" s="29" t="n"/>
      <c r="H76" s="28" t="n"/>
      <c r="I76" s="29" t="n"/>
      <c r="J76" s="32" t="n"/>
      <c r="K76" s="28" t="n"/>
      <c r="L76" s="33">
        <f>IF(OR(J76="",K76=""),"",J76+7*K76-1)</f>
        <v/>
      </c>
      <c r="M76" s="33">
        <f>IF(J76="","",J76-7*$E$3)</f>
        <v/>
      </c>
      <c r="N76" s="33">
        <f>IF(J76="","",J76-7*$H$3)</f>
        <v/>
      </c>
      <c r="O76" s="33">
        <f>IF(J76="","",J76-1*$K$3)</f>
        <v/>
      </c>
      <c r="P76" s="30">
        <f>IF(OR(E76="",I76="",I76="—"),IF(E76="","","OK"),IFERROR(IF(INDEX($L$6:$L$155,MATCH(I76,$E$6:$E$155,0))&gt;=J76,"Conflicto con predecesor","OK"),"Predecesor no encontrado"))</f>
        <v/>
      </c>
      <c r="Q76" s="29" t="n"/>
      <c r="R76" s="31" t="n"/>
      <c r="S76" s="26">
        <f>IF(OR(J76="",L76=""),"",IF(AND(J76&lt;=EOMONTH(S$4,0),L76&gt;=S$4),1,""))</f>
        <v/>
      </c>
      <c r="T76" s="26">
        <f>IF(OR(J76="",L76=""),"",IF(AND(J76&lt;=EOMONTH(T$4,0),L76&gt;=T$4),1,""))</f>
        <v/>
      </c>
      <c r="U76" s="26">
        <f>IF(OR(J76="",L76=""),"",IF(AND(J76&lt;=EOMONTH(U$4,0),L76&gt;=U$4),1,""))</f>
        <v/>
      </c>
      <c r="V76" s="26">
        <f>IF(OR(J76="",L76=""),"",IF(AND(J76&lt;=EOMONTH(V$4,0),L76&gt;=V$4),1,""))</f>
        <v/>
      </c>
      <c r="W76" s="26">
        <f>IF(OR(J76="",L76=""),"",IF(AND(J76&lt;=EOMONTH(W$4,0),L76&gt;=W$4),1,""))</f>
        <v/>
      </c>
      <c r="X76" s="26">
        <f>IF(OR(J76="",L76=""),"",IF(AND(J76&lt;=EOMONTH(X$4,0),L76&gt;=X$4),1,""))</f>
        <v/>
      </c>
      <c r="Y76" s="26">
        <f>IF(OR(J76="",L76=""),"",IF(AND(J76&lt;=EOMONTH(Y$4,0),L76&gt;=Y$4),1,""))</f>
        <v/>
      </c>
      <c r="Z76" s="26">
        <f>IF(OR(J76="",L76=""),"",IF(AND(J76&lt;=EOMONTH(Z$4,0),L76&gt;=Z$4),1,""))</f>
        <v/>
      </c>
      <c r="AA76" s="26">
        <f>IF(OR(J76="",L76=""),"",IF(AND(J76&lt;=EOMONTH(AA$4,0),L76&gt;=AA$4),1,""))</f>
        <v/>
      </c>
      <c r="AB76" s="26">
        <f>IF(OR(J76="",L76=""),"",IF(AND(J76&lt;=EOMONTH(AB$4,0),L76&gt;=AB$4),1,""))</f>
        <v/>
      </c>
      <c r="AC76" s="26">
        <f>IF(OR(J76="",L76=""),"",IF(AND(J76&lt;=EOMONTH(AC$4,0),L76&gt;=AC$4),1,""))</f>
        <v/>
      </c>
      <c r="AD76" s="26">
        <f>IF(OR(J76="",L76=""),"",IF(AND(J76&lt;=EOMONTH(AD$4,0),L76&gt;=AD$4),1,""))</f>
        <v/>
      </c>
      <c r="AE76" s="26">
        <f>IF(OR(J76="",L76=""),"",IF(AND(J76&lt;=EOMONTH(AE$4,0),L76&gt;=AE$4),1,""))</f>
        <v/>
      </c>
      <c r="AF76" s="26">
        <f>IF(OR(J76="",L76=""),"",IF(AND(J76&lt;=EOMONTH(AF$4,0),L76&gt;=AF$4),1,""))</f>
        <v/>
      </c>
      <c r="AG76" s="26">
        <f>IF(OR(J76="",L76=""),"",IF(AND(J76&lt;=EOMONTH(AG$4,0),L76&gt;=AG$4),1,""))</f>
        <v/>
      </c>
      <c r="AH76" s="26">
        <f>IF(OR(J76="",L76=""),"",IF(AND(J76&lt;=EOMONTH(AH$4,0),L76&gt;=AH$4),1,""))</f>
        <v/>
      </c>
      <c r="AI76" s="26">
        <f>IF(OR(J76="",L76=""),"",IF(AND(J76&lt;=EOMONTH(AI$4,0),L76&gt;=AI$4),1,""))</f>
        <v/>
      </c>
      <c r="AJ76" s="26">
        <f>IF(OR(J76="",L76=""),"",IF(AND(J76&lt;=EOMONTH(AJ$4,0),L76&gt;=AJ$4),1,""))</f>
        <v/>
      </c>
      <c r="AK76" s="26">
        <f>IF(OR(J76="",L76=""),"",IF(AND(J76&lt;=EOMONTH(AK$4,0),L76&gt;=AK$4),1,""))</f>
        <v/>
      </c>
      <c r="AL76" s="26">
        <f>IF(OR(J76="",L76=""),"",IF(AND(J76&lt;=EOMONTH(AL$4,0),L76&gt;=AL$4),1,""))</f>
        <v/>
      </c>
      <c r="AM76" s="26">
        <f>IF(OR(J76="",L76=""),"",IF(AND(J76&lt;=EOMONTH(AM$4,0),L76&gt;=AM$4),1,""))</f>
        <v/>
      </c>
      <c r="AN76" s="26">
        <f>IF(OR(J76="",L76=""),"",IF(AND(J76&lt;=EOMONTH(AN$4,0),L76&gt;=AN$4),1,""))</f>
        <v/>
      </c>
      <c r="AO76" s="26">
        <f>IF(OR(J76="",L76=""),"",IF(AND(J76&lt;=EOMONTH(AO$4,0),L76&gt;=AO$4),1,""))</f>
        <v/>
      </c>
      <c r="AP76" s="26">
        <f>IF(OR(J76="",L76=""),"",IF(AND(J76&lt;=EOMONTH(AP$4,0),L76&gt;=AP$4),1,""))</f>
        <v/>
      </c>
      <c r="AQ76" s="26">
        <f>IF(OR(J76="",L76=""),"",IF(AND(J76&lt;=EOMONTH(AQ$4,0),L76&gt;=AQ$4),1,""))</f>
        <v/>
      </c>
      <c r="AR76" s="26">
        <f>IF(OR(J76="",L76=""),"",IF(AND(J76&lt;=EOMONTH(AR$4,0),L76&gt;=AR$4),1,""))</f>
        <v/>
      </c>
      <c r="AS76" s="26">
        <f>IF(OR(J76="",L76=""),"",IF(AND(J76&lt;=EOMONTH(AS$4,0),L76&gt;=AS$4),1,""))</f>
        <v/>
      </c>
      <c r="AT76" s="26">
        <f>IF(OR(J76="",L76=""),"",IF(AND(J76&lt;=EOMONTH(AT$4,0),L76&gt;=AT$4),1,""))</f>
        <v/>
      </c>
      <c r="AU76" s="26">
        <f>IF(OR(J76="",L76=""),"",IF(AND(J76&lt;=EOMONTH(AU$4,0),L76&gt;=AU$4),1,""))</f>
        <v/>
      </c>
      <c r="AV76" s="26">
        <f>IF(OR(J76="",L76=""),"",IF(AND(J76&lt;=EOMONTH(AV$4,0),L76&gt;=AV$4),1,""))</f>
        <v/>
      </c>
      <c r="AW76" s="26">
        <f>IF(OR(J76="",L76=""),"",IF(AND(J76&lt;=EOMONTH(AW$4,0),L76&gt;=AW$4),1,""))</f>
        <v/>
      </c>
      <c r="AX76" s="26">
        <f>IF(OR(J76="",L76=""),"",IF(AND(J76&lt;=EOMONTH(AX$4,0),L76&gt;=AX$4),1,""))</f>
        <v/>
      </c>
      <c r="AY76" s="26">
        <f>IF(OR(J76="",L76=""),"",IF(AND(J76&lt;=EOMONTH(AY$4,0),L76&gt;=AY$4),1,""))</f>
        <v/>
      </c>
      <c r="AZ76" s="26">
        <f>IF(OR(J76="",L76=""),"",IF(AND(J76&lt;=EOMONTH(AZ$4,0),L76&gt;=AZ$4),1,""))</f>
        <v/>
      </c>
      <c r="BA76" s="26">
        <f>IF(OR(J76="",L76=""),"",IF(AND(J76&lt;=EOMONTH(BA$4,0),L76&gt;=BA$4),1,""))</f>
        <v/>
      </c>
      <c r="BB76" s="26">
        <f>IF(OR(J76="",L76=""),"",IF(AND(J76&lt;=EOMONTH(BB$4,0),L76&gt;=BB$4),1,""))</f>
        <v/>
      </c>
    </row>
    <row r="77">
      <c r="A77" s="27" t="n"/>
      <c r="B77" s="28" t="n"/>
      <c r="C77" s="29" t="n"/>
      <c r="D77" s="30">
        <f>IF(E77="","","CWA-"&amp;MID(E77,5,4))</f>
        <v/>
      </c>
      <c r="E77" s="29" t="n"/>
      <c r="F77" s="31" t="n"/>
      <c r="G77" s="29" t="n"/>
      <c r="H77" s="28" t="n"/>
      <c r="I77" s="29" t="n"/>
      <c r="J77" s="32" t="n"/>
      <c r="K77" s="28" t="n"/>
      <c r="L77" s="33">
        <f>IF(OR(J77="",K77=""),"",J77+7*K77-1)</f>
        <v/>
      </c>
      <c r="M77" s="33">
        <f>IF(J77="","",J77-7*$E$3)</f>
        <v/>
      </c>
      <c r="N77" s="33">
        <f>IF(J77="","",J77-7*$H$3)</f>
        <v/>
      </c>
      <c r="O77" s="33">
        <f>IF(J77="","",J77-1*$K$3)</f>
        <v/>
      </c>
      <c r="P77" s="30">
        <f>IF(OR(E77="",I77="",I77="—"),IF(E77="","","OK"),IFERROR(IF(INDEX($L$6:$L$155,MATCH(I77,$E$6:$E$155,0))&gt;=J77,"Conflicto con predecesor","OK"),"Predecesor no encontrado"))</f>
        <v/>
      </c>
      <c r="Q77" s="29" t="n"/>
      <c r="R77" s="31" t="n"/>
      <c r="S77" s="26">
        <f>IF(OR(J77="",L77=""),"",IF(AND(J77&lt;=EOMONTH(S$4,0),L77&gt;=S$4),1,""))</f>
        <v/>
      </c>
      <c r="T77" s="26">
        <f>IF(OR(J77="",L77=""),"",IF(AND(J77&lt;=EOMONTH(T$4,0),L77&gt;=T$4),1,""))</f>
        <v/>
      </c>
      <c r="U77" s="26">
        <f>IF(OR(J77="",L77=""),"",IF(AND(J77&lt;=EOMONTH(U$4,0),L77&gt;=U$4),1,""))</f>
        <v/>
      </c>
      <c r="V77" s="26">
        <f>IF(OR(J77="",L77=""),"",IF(AND(J77&lt;=EOMONTH(V$4,0),L77&gt;=V$4),1,""))</f>
        <v/>
      </c>
      <c r="W77" s="26">
        <f>IF(OR(J77="",L77=""),"",IF(AND(J77&lt;=EOMONTH(W$4,0),L77&gt;=W$4),1,""))</f>
        <v/>
      </c>
      <c r="X77" s="26">
        <f>IF(OR(J77="",L77=""),"",IF(AND(J77&lt;=EOMONTH(X$4,0),L77&gt;=X$4),1,""))</f>
        <v/>
      </c>
      <c r="Y77" s="26">
        <f>IF(OR(J77="",L77=""),"",IF(AND(J77&lt;=EOMONTH(Y$4,0),L77&gt;=Y$4),1,""))</f>
        <v/>
      </c>
      <c r="Z77" s="26">
        <f>IF(OR(J77="",L77=""),"",IF(AND(J77&lt;=EOMONTH(Z$4,0),L77&gt;=Z$4),1,""))</f>
        <v/>
      </c>
      <c r="AA77" s="26">
        <f>IF(OR(J77="",L77=""),"",IF(AND(J77&lt;=EOMONTH(AA$4,0),L77&gt;=AA$4),1,""))</f>
        <v/>
      </c>
      <c r="AB77" s="26">
        <f>IF(OR(J77="",L77=""),"",IF(AND(J77&lt;=EOMONTH(AB$4,0),L77&gt;=AB$4),1,""))</f>
        <v/>
      </c>
      <c r="AC77" s="26">
        <f>IF(OR(J77="",L77=""),"",IF(AND(J77&lt;=EOMONTH(AC$4,0),L77&gt;=AC$4),1,""))</f>
        <v/>
      </c>
      <c r="AD77" s="26">
        <f>IF(OR(J77="",L77=""),"",IF(AND(J77&lt;=EOMONTH(AD$4,0),L77&gt;=AD$4),1,""))</f>
        <v/>
      </c>
      <c r="AE77" s="26">
        <f>IF(OR(J77="",L77=""),"",IF(AND(J77&lt;=EOMONTH(AE$4,0),L77&gt;=AE$4),1,""))</f>
        <v/>
      </c>
      <c r="AF77" s="26">
        <f>IF(OR(J77="",L77=""),"",IF(AND(J77&lt;=EOMONTH(AF$4,0),L77&gt;=AF$4),1,""))</f>
        <v/>
      </c>
      <c r="AG77" s="26">
        <f>IF(OR(J77="",L77=""),"",IF(AND(J77&lt;=EOMONTH(AG$4,0),L77&gt;=AG$4),1,""))</f>
        <v/>
      </c>
      <c r="AH77" s="26">
        <f>IF(OR(J77="",L77=""),"",IF(AND(J77&lt;=EOMONTH(AH$4,0),L77&gt;=AH$4),1,""))</f>
        <v/>
      </c>
      <c r="AI77" s="26">
        <f>IF(OR(J77="",L77=""),"",IF(AND(J77&lt;=EOMONTH(AI$4,0),L77&gt;=AI$4),1,""))</f>
        <v/>
      </c>
      <c r="AJ77" s="26">
        <f>IF(OR(J77="",L77=""),"",IF(AND(J77&lt;=EOMONTH(AJ$4,0),L77&gt;=AJ$4),1,""))</f>
        <v/>
      </c>
      <c r="AK77" s="26">
        <f>IF(OR(J77="",L77=""),"",IF(AND(J77&lt;=EOMONTH(AK$4,0),L77&gt;=AK$4),1,""))</f>
        <v/>
      </c>
      <c r="AL77" s="26">
        <f>IF(OR(J77="",L77=""),"",IF(AND(J77&lt;=EOMONTH(AL$4,0),L77&gt;=AL$4),1,""))</f>
        <v/>
      </c>
      <c r="AM77" s="26">
        <f>IF(OR(J77="",L77=""),"",IF(AND(J77&lt;=EOMONTH(AM$4,0),L77&gt;=AM$4),1,""))</f>
        <v/>
      </c>
      <c r="AN77" s="26">
        <f>IF(OR(J77="",L77=""),"",IF(AND(J77&lt;=EOMONTH(AN$4,0),L77&gt;=AN$4),1,""))</f>
        <v/>
      </c>
      <c r="AO77" s="26">
        <f>IF(OR(J77="",L77=""),"",IF(AND(J77&lt;=EOMONTH(AO$4,0),L77&gt;=AO$4),1,""))</f>
        <v/>
      </c>
      <c r="AP77" s="26">
        <f>IF(OR(J77="",L77=""),"",IF(AND(J77&lt;=EOMONTH(AP$4,0),L77&gt;=AP$4),1,""))</f>
        <v/>
      </c>
      <c r="AQ77" s="26">
        <f>IF(OR(J77="",L77=""),"",IF(AND(J77&lt;=EOMONTH(AQ$4,0),L77&gt;=AQ$4),1,""))</f>
        <v/>
      </c>
      <c r="AR77" s="26">
        <f>IF(OR(J77="",L77=""),"",IF(AND(J77&lt;=EOMONTH(AR$4,0),L77&gt;=AR$4),1,""))</f>
        <v/>
      </c>
      <c r="AS77" s="26">
        <f>IF(OR(J77="",L77=""),"",IF(AND(J77&lt;=EOMONTH(AS$4,0),L77&gt;=AS$4),1,""))</f>
        <v/>
      </c>
      <c r="AT77" s="26">
        <f>IF(OR(J77="",L77=""),"",IF(AND(J77&lt;=EOMONTH(AT$4,0),L77&gt;=AT$4),1,""))</f>
        <v/>
      </c>
      <c r="AU77" s="26">
        <f>IF(OR(J77="",L77=""),"",IF(AND(J77&lt;=EOMONTH(AU$4,0),L77&gt;=AU$4),1,""))</f>
        <v/>
      </c>
      <c r="AV77" s="26">
        <f>IF(OR(J77="",L77=""),"",IF(AND(J77&lt;=EOMONTH(AV$4,0),L77&gt;=AV$4),1,""))</f>
        <v/>
      </c>
      <c r="AW77" s="26">
        <f>IF(OR(J77="",L77=""),"",IF(AND(J77&lt;=EOMONTH(AW$4,0),L77&gt;=AW$4),1,""))</f>
        <v/>
      </c>
      <c r="AX77" s="26">
        <f>IF(OR(J77="",L77=""),"",IF(AND(J77&lt;=EOMONTH(AX$4,0),L77&gt;=AX$4),1,""))</f>
        <v/>
      </c>
      <c r="AY77" s="26">
        <f>IF(OR(J77="",L77=""),"",IF(AND(J77&lt;=EOMONTH(AY$4,0),L77&gt;=AY$4),1,""))</f>
        <v/>
      </c>
      <c r="AZ77" s="26">
        <f>IF(OR(J77="",L77=""),"",IF(AND(J77&lt;=EOMONTH(AZ$4,0),L77&gt;=AZ$4),1,""))</f>
        <v/>
      </c>
      <c r="BA77" s="26">
        <f>IF(OR(J77="",L77=""),"",IF(AND(J77&lt;=EOMONTH(BA$4,0),L77&gt;=BA$4),1,""))</f>
        <v/>
      </c>
      <c r="BB77" s="26">
        <f>IF(OR(J77="",L77=""),"",IF(AND(J77&lt;=EOMONTH(BB$4,0),L77&gt;=BB$4),1,""))</f>
        <v/>
      </c>
    </row>
    <row r="78">
      <c r="A78" s="27" t="n"/>
      <c r="B78" s="28" t="n"/>
      <c r="C78" s="29" t="n"/>
      <c r="D78" s="30">
        <f>IF(E78="","","CWA-"&amp;MID(E78,5,4))</f>
        <v/>
      </c>
      <c r="E78" s="29" t="n"/>
      <c r="F78" s="31" t="n"/>
      <c r="G78" s="29" t="n"/>
      <c r="H78" s="28" t="n"/>
      <c r="I78" s="29" t="n"/>
      <c r="J78" s="32" t="n"/>
      <c r="K78" s="28" t="n"/>
      <c r="L78" s="33">
        <f>IF(OR(J78="",K78=""),"",J78+7*K78-1)</f>
        <v/>
      </c>
      <c r="M78" s="33">
        <f>IF(J78="","",J78-7*$E$3)</f>
        <v/>
      </c>
      <c r="N78" s="33">
        <f>IF(J78="","",J78-7*$H$3)</f>
        <v/>
      </c>
      <c r="O78" s="33">
        <f>IF(J78="","",J78-1*$K$3)</f>
        <v/>
      </c>
      <c r="P78" s="30">
        <f>IF(OR(E78="",I78="",I78="—"),IF(E78="","","OK"),IFERROR(IF(INDEX($L$6:$L$155,MATCH(I78,$E$6:$E$155,0))&gt;=J78,"Conflicto con predecesor","OK"),"Predecesor no encontrado"))</f>
        <v/>
      </c>
      <c r="Q78" s="29" t="n"/>
      <c r="R78" s="31" t="n"/>
      <c r="S78" s="26">
        <f>IF(OR(J78="",L78=""),"",IF(AND(J78&lt;=EOMONTH(S$4,0),L78&gt;=S$4),1,""))</f>
        <v/>
      </c>
      <c r="T78" s="26">
        <f>IF(OR(J78="",L78=""),"",IF(AND(J78&lt;=EOMONTH(T$4,0),L78&gt;=T$4),1,""))</f>
        <v/>
      </c>
      <c r="U78" s="26">
        <f>IF(OR(J78="",L78=""),"",IF(AND(J78&lt;=EOMONTH(U$4,0),L78&gt;=U$4),1,""))</f>
        <v/>
      </c>
      <c r="V78" s="26">
        <f>IF(OR(J78="",L78=""),"",IF(AND(J78&lt;=EOMONTH(V$4,0),L78&gt;=V$4),1,""))</f>
        <v/>
      </c>
      <c r="W78" s="26">
        <f>IF(OR(J78="",L78=""),"",IF(AND(J78&lt;=EOMONTH(W$4,0),L78&gt;=W$4),1,""))</f>
        <v/>
      </c>
      <c r="X78" s="26">
        <f>IF(OR(J78="",L78=""),"",IF(AND(J78&lt;=EOMONTH(X$4,0),L78&gt;=X$4),1,""))</f>
        <v/>
      </c>
      <c r="Y78" s="26">
        <f>IF(OR(J78="",L78=""),"",IF(AND(J78&lt;=EOMONTH(Y$4,0),L78&gt;=Y$4),1,""))</f>
        <v/>
      </c>
      <c r="Z78" s="26">
        <f>IF(OR(J78="",L78=""),"",IF(AND(J78&lt;=EOMONTH(Z$4,0),L78&gt;=Z$4),1,""))</f>
        <v/>
      </c>
      <c r="AA78" s="26">
        <f>IF(OR(J78="",L78=""),"",IF(AND(J78&lt;=EOMONTH(AA$4,0),L78&gt;=AA$4),1,""))</f>
        <v/>
      </c>
      <c r="AB78" s="26">
        <f>IF(OR(J78="",L78=""),"",IF(AND(J78&lt;=EOMONTH(AB$4,0),L78&gt;=AB$4),1,""))</f>
        <v/>
      </c>
      <c r="AC78" s="26">
        <f>IF(OR(J78="",L78=""),"",IF(AND(J78&lt;=EOMONTH(AC$4,0),L78&gt;=AC$4),1,""))</f>
        <v/>
      </c>
      <c r="AD78" s="26">
        <f>IF(OR(J78="",L78=""),"",IF(AND(J78&lt;=EOMONTH(AD$4,0),L78&gt;=AD$4),1,""))</f>
        <v/>
      </c>
      <c r="AE78" s="26">
        <f>IF(OR(J78="",L78=""),"",IF(AND(J78&lt;=EOMONTH(AE$4,0),L78&gt;=AE$4),1,""))</f>
        <v/>
      </c>
      <c r="AF78" s="26">
        <f>IF(OR(J78="",L78=""),"",IF(AND(J78&lt;=EOMONTH(AF$4,0),L78&gt;=AF$4),1,""))</f>
        <v/>
      </c>
      <c r="AG78" s="26">
        <f>IF(OR(J78="",L78=""),"",IF(AND(J78&lt;=EOMONTH(AG$4,0),L78&gt;=AG$4),1,""))</f>
        <v/>
      </c>
      <c r="AH78" s="26">
        <f>IF(OR(J78="",L78=""),"",IF(AND(J78&lt;=EOMONTH(AH$4,0),L78&gt;=AH$4),1,""))</f>
        <v/>
      </c>
      <c r="AI78" s="26">
        <f>IF(OR(J78="",L78=""),"",IF(AND(J78&lt;=EOMONTH(AI$4,0),L78&gt;=AI$4),1,""))</f>
        <v/>
      </c>
      <c r="AJ78" s="26">
        <f>IF(OR(J78="",L78=""),"",IF(AND(J78&lt;=EOMONTH(AJ$4,0),L78&gt;=AJ$4),1,""))</f>
        <v/>
      </c>
      <c r="AK78" s="26">
        <f>IF(OR(J78="",L78=""),"",IF(AND(J78&lt;=EOMONTH(AK$4,0),L78&gt;=AK$4),1,""))</f>
        <v/>
      </c>
      <c r="AL78" s="26">
        <f>IF(OR(J78="",L78=""),"",IF(AND(J78&lt;=EOMONTH(AL$4,0),L78&gt;=AL$4),1,""))</f>
        <v/>
      </c>
      <c r="AM78" s="26">
        <f>IF(OR(J78="",L78=""),"",IF(AND(J78&lt;=EOMONTH(AM$4,0),L78&gt;=AM$4),1,""))</f>
        <v/>
      </c>
      <c r="AN78" s="26">
        <f>IF(OR(J78="",L78=""),"",IF(AND(J78&lt;=EOMONTH(AN$4,0),L78&gt;=AN$4),1,""))</f>
        <v/>
      </c>
      <c r="AO78" s="26">
        <f>IF(OR(J78="",L78=""),"",IF(AND(J78&lt;=EOMONTH(AO$4,0),L78&gt;=AO$4),1,""))</f>
        <v/>
      </c>
      <c r="AP78" s="26">
        <f>IF(OR(J78="",L78=""),"",IF(AND(J78&lt;=EOMONTH(AP$4,0),L78&gt;=AP$4),1,""))</f>
        <v/>
      </c>
      <c r="AQ78" s="26">
        <f>IF(OR(J78="",L78=""),"",IF(AND(J78&lt;=EOMONTH(AQ$4,0),L78&gt;=AQ$4),1,""))</f>
        <v/>
      </c>
      <c r="AR78" s="26">
        <f>IF(OR(J78="",L78=""),"",IF(AND(J78&lt;=EOMONTH(AR$4,0),L78&gt;=AR$4),1,""))</f>
        <v/>
      </c>
      <c r="AS78" s="26">
        <f>IF(OR(J78="",L78=""),"",IF(AND(J78&lt;=EOMONTH(AS$4,0),L78&gt;=AS$4),1,""))</f>
        <v/>
      </c>
      <c r="AT78" s="26">
        <f>IF(OR(J78="",L78=""),"",IF(AND(J78&lt;=EOMONTH(AT$4,0),L78&gt;=AT$4),1,""))</f>
        <v/>
      </c>
      <c r="AU78" s="26">
        <f>IF(OR(J78="",L78=""),"",IF(AND(J78&lt;=EOMONTH(AU$4,0),L78&gt;=AU$4),1,""))</f>
        <v/>
      </c>
      <c r="AV78" s="26">
        <f>IF(OR(J78="",L78=""),"",IF(AND(J78&lt;=EOMONTH(AV$4,0),L78&gt;=AV$4),1,""))</f>
        <v/>
      </c>
      <c r="AW78" s="26">
        <f>IF(OR(J78="",L78=""),"",IF(AND(J78&lt;=EOMONTH(AW$4,0),L78&gt;=AW$4),1,""))</f>
        <v/>
      </c>
      <c r="AX78" s="26">
        <f>IF(OR(J78="",L78=""),"",IF(AND(J78&lt;=EOMONTH(AX$4,0),L78&gt;=AX$4),1,""))</f>
        <v/>
      </c>
      <c r="AY78" s="26">
        <f>IF(OR(J78="",L78=""),"",IF(AND(J78&lt;=EOMONTH(AY$4,0),L78&gt;=AY$4),1,""))</f>
        <v/>
      </c>
      <c r="AZ78" s="26">
        <f>IF(OR(J78="",L78=""),"",IF(AND(J78&lt;=EOMONTH(AZ$4,0),L78&gt;=AZ$4),1,""))</f>
        <v/>
      </c>
      <c r="BA78" s="26">
        <f>IF(OR(J78="",L78=""),"",IF(AND(J78&lt;=EOMONTH(BA$4,0),L78&gt;=BA$4),1,""))</f>
        <v/>
      </c>
      <c r="BB78" s="26">
        <f>IF(OR(J78="",L78=""),"",IF(AND(J78&lt;=EOMONTH(BB$4,0),L78&gt;=BB$4),1,""))</f>
        <v/>
      </c>
    </row>
    <row r="79">
      <c r="A79" s="27" t="n"/>
      <c r="B79" s="28" t="n"/>
      <c r="C79" s="29" t="n"/>
      <c r="D79" s="30">
        <f>IF(E79="","","CWA-"&amp;MID(E79,5,4))</f>
        <v/>
      </c>
      <c r="E79" s="29" t="n"/>
      <c r="F79" s="31" t="n"/>
      <c r="G79" s="29" t="n"/>
      <c r="H79" s="28" t="n"/>
      <c r="I79" s="29" t="n"/>
      <c r="J79" s="32" t="n"/>
      <c r="K79" s="28" t="n"/>
      <c r="L79" s="33">
        <f>IF(OR(J79="",K79=""),"",J79+7*K79-1)</f>
        <v/>
      </c>
      <c r="M79" s="33">
        <f>IF(J79="","",J79-7*$E$3)</f>
        <v/>
      </c>
      <c r="N79" s="33">
        <f>IF(J79="","",J79-7*$H$3)</f>
        <v/>
      </c>
      <c r="O79" s="33">
        <f>IF(J79="","",J79-1*$K$3)</f>
        <v/>
      </c>
      <c r="P79" s="30">
        <f>IF(OR(E79="",I79="",I79="—"),IF(E79="","","OK"),IFERROR(IF(INDEX($L$6:$L$155,MATCH(I79,$E$6:$E$155,0))&gt;=J79,"Conflicto con predecesor","OK"),"Predecesor no encontrado"))</f>
        <v/>
      </c>
      <c r="Q79" s="29" t="n"/>
      <c r="R79" s="31" t="n"/>
      <c r="S79" s="26">
        <f>IF(OR(J79="",L79=""),"",IF(AND(J79&lt;=EOMONTH(S$4,0),L79&gt;=S$4),1,""))</f>
        <v/>
      </c>
      <c r="T79" s="26">
        <f>IF(OR(J79="",L79=""),"",IF(AND(J79&lt;=EOMONTH(T$4,0),L79&gt;=T$4),1,""))</f>
        <v/>
      </c>
      <c r="U79" s="26">
        <f>IF(OR(J79="",L79=""),"",IF(AND(J79&lt;=EOMONTH(U$4,0),L79&gt;=U$4),1,""))</f>
        <v/>
      </c>
      <c r="V79" s="26">
        <f>IF(OR(J79="",L79=""),"",IF(AND(J79&lt;=EOMONTH(V$4,0),L79&gt;=V$4),1,""))</f>
        <v/>
      </c>
      <c r="W79" s="26">
        <f>IF(OR(J79="",L79=""),"",IF(AND(J79&lt;=EOMONTH(W$4,0),L79&gt;=W$4),1,""))</f>
        <v/>
      </c>
      <c r="X79" s="26">
        <f>IF(OR(J79="",L79=""),"",IF(AND(J79&lt;=EOMONTH(X$4,0),L79&gt;=X$4),1,""))</f>
        <v/>
      </c>
      <c r="Y79" s="26">
        <f>IF(OR(J79="",L79=""),"",IF(AND(J79&lt;=EOMONTH(Y$4,0),L79&gt;=Y$4),1,""))</f>
        <v/>
      </c>
      <c r="Z79" s="26">
        <f>IF(OR(J79="",L79=""),"",IF(AND(J79&lt;=EOMONTH(Z$4,0),L79&gt;=Z$4),1,""))</f>
        <v/>
      </c>
      <c r="AA79" s="26">
        <f>IF(OR(J79="",L79=""),"",IF(AND(J79&lt;=EOMONTH(AA$4,0),L79&gt;=AA$4),1,""))</f>
        <v/>
      </c>
      <c r="AB79" s="26">
        <f>IF(OR(J79="",L79=""),"",IF(AND(J79&lt;=EOMONTH(AB$4,0),L79&gt;=AB$4),1,""))</f>
        <v/>
      </c>
      <c r="AC79" s="26">
        <f>IF(OR(J79="",L79=""),"",IF(AND(J79&lt;=EOMONTH(AC$4,0),L79&gt;=AC$4),1,""))</f>
        <v/>
      </c>
      <c r="AD79" s="26">
        <f>IF(OR(J79="",L79=""),"",IF(AND(J79&lt;=EOMONTH(AD$4,0),L79&gt;=AD$4),1,""))</f>
        <v/>
      </c>
      <c r="AE79" s="26">
        <f>IF(OR(J79="",L79=""),"",IF(AND(J79&lt;=EOMONTH(AE$4,0),L79&gt;=AE$4),1,""))</f>
        <v/>
      </c>
      <c r="AF79" s="26">
        <f>IF(OR(J79="",L79=""),"",IF(AND(J79&lt;=EOMONTH(AF$4,0),L79&gt;=AF$4),1,""))</f>
        <v/>
      </c>
      <c r="AG79" s="26">
        <f>IF(OR(J79="",L79=""),"",IF(AND(J79&lt;=EOMONTH(AG$4,0),L79&gt;=AG$4),1,""))</f>
        <v/>
      </c>
      <c r="AH79" s="26">
        <f>IF(OR(J79="",L79=""),"",IF(AND(J79&lt;=EOMONTH(AH$4,0),L79&gt;=AH$4),1,""))</f>
        <v/>
      </c>
      <c r="AI79" s="26">
        <f>IF(OR(J79="",L79=""),"",IF(AND(J79&lt;=EOMONTH(AI$4,0),L79&gt;=AI$4),1,""))</f>
        <v/>
      </c>
      <c r="AJ79" s="26">
        <f>IF(OR(J79="",L79=""),"",IF(AND(J79&lt;=EOMONTH(AJ$4,0),L79&gt;=AJ$4),1,""))</f>
        <v/>
      </c>
      <c r="AK79" s="26">
        <f>IF(OR(J79="",L79=""),"",IF(AND(J79&lt;=EOMONTH(AK$4,0),L79&gt;=AK$4),1,""))</f>
        <v/>
      </c>
      <c r="AL79" s="26">
        <f>IF(OR(J79="",L79=""),"",IF(AND(J79&lt;=EOMONTH(AL$4,0),L79&gt;=AL$4),1,""))</f>
        <v/>
      </c>
      <c r="AM79" s="26">
        <f>IF(OR(J79="",L79=""),"",IF(AND(J79&lt;=EOMONTH(AM$4,0),L79&gt;=AM$4),1,""))</f>
        <v/>
      </c>
      <c r="AN79" s="26">
        <f>IF(OR(J79="",L79=""),"",IF(AND(J79&lt;=EOMONTH(AN$4,0),L79&gt;=AN$4),1,""))</f>
        <v/>
      </c>
      <c r="AO79" s="26">
        <f>IF(OR(J79="",L79=""),"",IF(AND(J79&lt;=EOMONTH(AO$4,0),L79&gt;=AO$4),1,""))</f>
        <v/>
      </c>
      <c r="AP79" s="26">
        <f>IF(OR(J79="",L79=""),"",IF(AND(J79&lt;=EOMONTH(AP$4,0),L79&gt;=AP$4),1,""))</f>
        <v/>
      </c>
      <c r="AQ79" s="26">
        <f>IF(OR(J79="",L79=""),"",IF(AND(J79&lt;=EOMONTH(AQ$4,0),L79&gt;=AQ$4),1,""))</f>
        <v/>
      </c>
      <c r="AR79" s="26">
        <f>IF(OR(J79="",L79=""),"",IF(AND(J79&lt;=EOMONTH(AR$4,0),L79&gt;=AR$4),1,""))</f>
        <v/>
      </c>
      <c r="AS79" s="26">
        <f>IF(OR(J79="",L79=""),"",IF(AND(J79&lt;=EOMONTH(AS$4,0),L79&gt;=AS$4),1,""))</f>
        <v/>
      </c>
      <c r="AT79" s="26">
        <f>IF(OR(J79="",L79=""),"",IF(AND(J79&lt;=EOMONTH(AT$4,0),L79&gt;=AT$4),1,""))</f>
        <v/>
      </c>
      <c r="AU79" s="26">
        <f>IF(OR(J79="",L79=""),"",IF(AND(J79&lt;=EOMONTH(AU$4,0),L79&gt;=AU$4),1,""))</f>
        <v/>
      </c>
      <c r="AV79" s="26">
        <f>IF(OR(J79="",L79=""),"",IF(AND(J79&lt;=EOMONTH(AV$4,0),L79&gt;=AV$4),1,""))</f>
        <v/>
      </c>
      <c r="AW79" s="26">
        <f>IF(OR(J79="",L79=""),"",IF(AND(J79&lt;=EOMONTH(AW$4,0),L79&gt;=AW$4),1,""))</f>
        <v/>
      </c>
      <c r="AX79" s="26">
        <f>IF(OR(J79="",L79=""),"",IF(AND(J79&lt;=EOMONTH(AX$4,0),L79&gt;=AX$4),1,""))</f>
        <v/>
      </c>
      <c r="AY79" s="26">
        <f>IF(OR(J79="",L79=""),"",IF(AND(J79&lt;=EOMONTH(AY$4,0),L79&gt;=AY$4),1,""))</f>
        <v/>
      </c>
      <c r="AZ79" s="26">
        <f>IF(OR(J79="",L79=""),"",IF(AND(J79&lt;=EOMONTH(AZ$4,0),L79&gt;=AZ$4),1,""))</f>
        <v/>
      </c>
      <c r="BA79" s="26">
        <f>IF(OR(J79="",L79=""),"",IF(AND(J79&lt;=EOMONTH(BA$4,0),L79&gt;=BA$4),1,""))</f>
        <v/>
      </c>
      <c r="BB79" s="26">
        <f>IF(OR(J79="",L79=""),"",IF(AND(J79&lt;=EOMONTH(BB$4,0),L79&gt;=BB$4),1,""))</f>
        <v/>
      </c>
    </row>
    <row r="80">
      <c r="A80" s="27" t="n"/>
      <c r="B80" s="28" t="n"/>
      <c r="C80" s="29" t="n"/>
      <c r="D80" s="30">
        <f>IF(E80="","","CWA-"&amp;MID(E80,5,4))</f>
        <v/>
      </c>
      <c r="E80" s="29" t="n"/>
      <c r="F80" s="31" t="n"/>
      <c r="G80" s="29" t="n"/>
      <c r="H80" s="28" t="n"/>
      <c r="I80" s="29" t="n"/>
      <c r="J80" s="32" t="n"/>
      <c r="K80" s="28" t="n"/>
      <c r="L80" s="33">
        <f>IF(OR(J80="",K80=""),"",J80+7*K80-1)</f>
        <v/>
      </c>
      <c r="M80" s="33">
        <f>IF(J80="","",J80-7*$E$3)</f>
        <v/>
      </c>
      <c r="N80" s="33">
        <f>IF(J80="","",J80-7*$H$3)</f>
        <v/>
      </c>
      <c r="O80" s="33">
        <f>IF(J80="","",J80-1*$K$3)</f>
        <v/>
      </c>
      <c r="P80" s="30">
        <f>IF(OR(E80="",I80="",I80="—"),IF(E80="","","OK"),IFERROR(IF(INDEX($L$6:$L$155,MATCH(I80,$E$6:$E$155,0))&gt;=J80,"Conflicto con predecesor","OK"),"Predecesor no encontrado"))</f>
        <v/>
      </c>
      <c r="Q80" s="29" t="n"/>
      <c r="R80" s="31" t="n"/>
      <c r="S80" s="26">
        <f>IF(OR(J80="",L80=""),"",IF(AND(J80&lt;=EOMONTH(S$4,0),L80&gt;=S$4),1,""))</f>
        <v/>
      </c>
      <c r="T80" s="26">
        <f>IF(OR(J80="",L80=""),"",IF(AND(J80&lt;=EOMONTH(T$4,0),L80&gt;=T$4),1,""))</f>
        <v/>
      </c>
      <c r="U80" s="26">
        <f>IF(OR(J80="",L80=""),"",IF(AND(J80&lt;=EOMONTH(U$4,0),L80&gt;=U$4),1,""))</f>
        <v/>
      </c>
      <c r="V80" s="26">
        <f>IF(OR(J80="",L80=""),"",IF(AND(J80&lt;=EOMONTH(V$4,0),L80&gt;=V$4),1,""))</f>
        <v/>
      </c>
      <c r="W80" s="26">
        <f>IF(OR(J80="",L80=""),"",IF(AND(J80&lt;=EOMONTH(W$4,0),L80&gt;=W$4),1,""))</f>
        <v/>
      </c>
      <c r="X80" s="26">
        <f>IF(OR(J80="",L80=""),"",IF(AND(J80&lt;=EOMONTH(X$4,0),L80&gt;=X$4),1,""))</f>
        <v/>
      </c>
      <c r="Y80" s="26">
        <f>IF(OR(J80="",L80=""),"",IF(AND(J80&lt;=EOMONTH(Y$4,0),L80&gt;=Y$4),1,""))</f>
        <v/>
      </c>
      <c r="Z80" s="26">
        <f>IF(OR(J80="",L80=""),"",IF(AND(J80&lt;=EOMONTH(Z$4,0),L80&gt;=Z$4),1,""))</f>
        <v/>
      </c>
      <c r="AA80" s="26">
        <f>IF(OR(J80="",L80=""),"",IF(AND(J80&lt;=EOMONTH(AA$4,0),L80&gt;=AA$4),1,""))</f>
        <v/>
      </c>
      <c r="AB80" s="26">
        <f>IF(OR(J80="",L80=""),"",IF(AND(J80&lt;=EOMONTH(AB$4,0),L80&gt;=AB$4),1,""))</f>
        <v/>
      </c>
      <c r="AC80" s="26">
        <f>IF(OR(J80="",L80=""),"",IF(AND(J80&lt;=EOMONTH(AC$4,0),L80&gt;=AC$4),1,""))</f>
        <v/>
      </c>
      <c r="AD80" s="26">
        <f>IF(OR(J80="",L80=""),"",IF(AND(J80&lt;=EOMONTH(AD$4,0),L80&gt;=AD$4),1,""))</f>
        <v/>
      </c>
      <c r="AE80" s="26">
        <f>IF(OR(J80="",L80=""),"",IF(AND(J80&lt;=EOMONTH(AE$4,0),L80&gt;=AE$4),1,""))</f>
        <v/>
      </c>
      <c r="AF80" s="26">
        <f>IF(OR(J80="",L80=""),"",IF(AND(J80&lt;=EOMONTH(AF$4,0),L80&gt;=AF$4),1,""))</f>
        <v/>
      </c>
      <c r="AG80" s="26">
        <f>IF(OR(J80="",L80=""),"",IF(AND(J80&lt;=EOMONTH(AG$4,0),L80&gt;=AG$4),1,""))</f>
        <v/>
      </c>
      <c r="AH80" s="26">
        <f>IF(OR(J80="",L80=""),"",IF(AND(J80&lt;=EOMONTH(AH$4,0),L80&gt;=AH$4),1,""))</f>
        <v/>
      </c>
      <c r="AI80" s="26">
        <f>IF(OR(J80="",L80=""),"",IF(AND(J80&lt;=EOMONTH(AI$4,0),L80&gt;=AI$4),1,""))</f>
        <v/>
      </c>
      <c r="AJ80" s="26">
        <f>IF(OR(J80="",L80=""),"",IF(AND(J80&lt;=EOMONTH(AJ$4,0),L80&gt;=AJ$4),1,""))</f>
        <v/>
      </c>
      <c r="AK80" s="26">
        <f>IF(OR(J80="",L80=""),"",IF(AND(J80&lt;=EOMONTH(AK$4,0),L80&gt;=AK$4),1,""))</f>
        <v/>
      </c>
      <c r="AL80" s="26">
        <f>IF(OR(J80="",L80=""),"",IF(AND(J80&lt;=EOMONTH(AL$4,0),L80&gt;=AL$4),1,""))</f>
        <v/>
      </c>
      <c r="AM80" s="26">
        <f>IF(OR(J80="",L80=""),"",IF(AND(J80&lt;=EOMONTH(AM$4,0),L80&gt;=AM$4),1,""))</f>
        <v/>
      </c>
      <c r="AN80" s="26">
        <f>IF(OR(J80="",L80=""),"",IF(AND(J80&lt;=EOMONTH(AN$4,0),L80&gt;=AN$4),1,""))</f>
        <v/>
      </c>
      <c r="AO80" s="26">
        <f>IF(OR(J80="",L80=""),"",IF(AND(J80&lt;=EOMONTH(AO$4,0),L80&gt;=AO$4),1,""))</f>
        <v/>
      </c>
      <c r="AP80" s="26">
        <f>IF(OR(J80="",L80=""),"",IF(AND(J80&lt;=EOMONTH(AP$4,0),L80&gt;=AP$4),1,""))</f>
        <v/>
      </c>
      <c r="AQ80" s="26">
        <f>IF(OR(J80="",L80=""),"",IF(AND(J80&lt;=EOMONTH(AQ$4,0),L80&gt;=AQ$4),1,""))</f>
        <v/>
      </c>
      <c r="AR80" s="26">
        <f>IF(OR(J80="",L80=""),"",IF(AND(J80&lt;=EOMONTH(AR$4,0),L80&gt;=AR$4),1,""))</f>
        <v/>
      </c>
      <c r="AS80" s="26">
        <f>IF(OR(J80="",L80=""),"",IF(AND(J80&lt;=EOMONTH(AS$4,0),L80&gt;=AS$4),1,""))</f>
        <v/>
      </c>
      <c r="AT80" s="26">
        <f>IF(OR(J80="",L80=""),"",IF(AND(J80&lt;=EOMONTH(AT$4,0),L80&gt;=AT$4),1,""))</f>
        <v/>
      </c>
      <c r="AU80" s="26">
        <f>IF(OR(J80="",L80=""),"",IF(AND(J80&lt;=EOMONTH(AU$4,0),L80&gt;=AU$4),1,""))</f>
        <v/>
      </c>
      <c r="AV80" s="26">
        <f>IF(OR(J80="",L80=""),"",IF(AND(J80&lt;=EOMONTH(AV$4,0),L80&gt;=AV$4),1,""))</f>
        <v/>
      </c>
      <c r="AW80" s="26">
        <f>IF(OR(J80="",L80=""),"",IF(AND(J80&lt;=EOMONTH(AW$4,0),L80&gt;=AW$4),1,""))</f>
        <v/>
      </c>
      <c r="AX80" s="26">
        <f>IF(OR(J80="",L80=""),"",IF(AND(J80&lt;=EOMONTH(AX$4,0),L80&gt;=AX$4),1,""))</f>
        <v/>
      </c>
      <c r="AY80" s="26">
        <f>IF(OR(J80="",L80=""),"",IF(AND(J80&lt;=EOMONTH(AY$4,0),L80&gt;=AY$4),1,""))</f>
        <v/>
      </c>
      <c r="AZ80" s="26">
        <f>IF(OR(J80="",L80=""),"",IF(AND(J80&lt;=EOMONTH(AZ$4,0),L80&gt;=AZ$4),1,""))</f>
        <v/>
      </c>
      <c r="BA80" s="26">
        <f>IF(OR(J80="",L80=""),"",IF(AND(J80&lt;=EOMONTH(BA$4,0),L80&gt;=BA$4),1,""))</f>
        <v/>
      </c>
      <c r="BB80" s="26">
        <f>IF(OR(J80="",L80=""),"",IF(AND(J80&lt;=EOMONTH(BB$4,0),L80&gt;=BB$4),1,""))</f>
        <v/>
      </c>
    </row>
    <row r="81">
      <c r="A81" s="27" t="n"/>
      <c r="B81" s="28" t="n"/>
      <c r="C81" s="29" t="n"/>
      <c r="D81" s="30">
        <f>IF(E81="","","CWA-"&amp;MID(E81,5,4))</f>
        <v/>
      </c>
      <c r="E81" s="29" t="n"/>
      <c r="F81" s="31" t="n"/>
      <c r="G81" s="29" t="n"/>
      <c r="H81" s="28" t="n"/>
      <c r="I81" s="29" t="n"/>
      <c r="J81" s="32" t="n"/>
      <c r="K81" s="28" t="n"/>
      <c r="L81" s="33">
        <f>IF(OR(J81="",K81=""),"",J81+7*K81-1)</f>
        <v/>
      </c>
      <c r="M81" s="33">
        <f>IF(J81="","",J81-7*$E$3)</f>
        <v/>
      </c>
      <c r="N81" s="33">
        <f>IF(J81="","",J81-7*$H$3)</f>
        <v/>
      </c>
      <c r="O81" s="33">
        <f>IF(J81="","",J81-1*$K$3)</f>
        <v/>
      </c>
      <c r="P81" s="30">
        <f>IF(OR(E81="",I81="",I81="—"),IF(E81="","","OK"),IFERROR(IF(INDEX($L$6:$L$155,MATCH(I81,$E$6:$E$155,0))&gt;=J81,"Conflicto con predecesor","OK"),"Predecesor no encontrado"))</f>
        <v/>
      </c>
      <c r="Q81" s="29" t="n"/>
      <c r="R81" s="31" t="n"/>
      <c r="S81" s="26">
        <f>IF(OR(J81="",L81=""),"",IF(AND(J81&lt;=EOMONTH(S$4,0),L81&gt;=S$4),1,""))</f>
        <v/>
      </c>
      <c r="T81" s="26">
        <f>IF(OR(J81="",L81=""),"",IF(AND(J81&lt;=EOMONTH(T$4,0),L81&gt;=T$4),1,""))</f>
        <v/>
      </c>
      <c r="U81" s="26">
        <f>IF(OR(J81="",L81=""),"",IF(AND(J81&lt;=EOMONTH(U$4,0),L81&gt;=U$4),1,""))</f>
        <v/>
      </c>
      <c r="V81" s="26">
        <f>IF(OR(J81="",L81=""),"",IF(AND(J81&lt;=EOMONTH(V$4,0),L81&gt;=V$4),1,""))</f>
        <v/>
      </c>
      <c r="W81" s="26">
        <f>IF(OR(J81="",L81=""),"",IF(AND(J81&lt;=EOMONTH(W$4,0),L81&gt;=W$4),1,""))</f>
        <v/>
      </c>
      <c r="X81" s="26">
        <f>IF(OR(J81="",L81=""),"",IF(AND(J81&lt;=EOMONTH(X$4,0),L81&gt;=X$4),1,""))</f>
        <v/>
      </c>
      <c r="Y81" s="26">
        <f>IF(OR(J81="",L81=""),"",IF(AND(J81&lt;=EOMONTH(Y$4,0),L81&gt;=Y$4),1,""))</f>
        <v/>
      </c>
      <c r="Z81" s="26">
        <f>IF(OR(J81="",L81=""),"",IF(AND(J81&lt;=EOMONTH(Z$4,0),L81&gt;=Z$4),1,""))</f>
        <v/>
      </c>
      <c r="AA81" s="26">
        <f>IF(OR(J81="",L81=""),"",IF(AND(J81&lt;=EOMONTH(AA$4,0),L81&gt;=AA$4),1,""))</f>
        <v/>
      </c>
      <c r="AB81" s="26">
        <f>IF(OR(J81="",L81=""),"",IF(AND(J81&lt;=EOMONTH(AB$4,0),L81&gt;=AB$4),1,""))</f>
        <v/>
      </c>
      <c r="AC81" s="26">
        <f>IF(OR(J81="",L81=""),"",IF(AND(J81&lt;=EOMONTH(AC$4,0),L81&gt;=AC$4),1,""))</f>
        <v/>
      </c>
      <c r="AD81" s="26">
        <f>IF(OR(J81="",L81=""),"",IF(AND(J81&lt;=EOMONTH(AD$4,0),L81&gt;=AD$4),1,""))</f>
        <v/>
      </c>
      <c r="AE81" s="26">
        <f>IF(OR(J81="",L81=""),"",IF(AND(J81&lt;=EOMONTH(AE$4,0),L81&gt;=AE$4),1,""))</f>
        <v/>
      </c>
      <c r="AF81" s="26">
        <f>IF(OR(J81="",L81=""),"",IF(AND(J81&lt;=EOMONTH(AF$4,0),L81&gt;=AF$4),1,""))</f>
        <v/>
      </c>
      <c r="AG81" s="26">
        <f>IF(OR(J81="",L81=""),"",IF(AND(J81&lt;=EOMONTH(AG$4,0),L81&gt;=AG$4),1,""))</f>
        <v/>
      </c>
      <c r="AH81" s="26">
        <f>IF(OR(J81="",L81=""),"",IF(AND(J81&lt;=EOMONTH(AH$4,0),L81&gt;=AH$4),1,""))</f>
        <v/>
      </c>
      <c r="AI81" s="26">
        <f>IF(OR(J81="",L81=""),"",IF(AND(J81&lt;=EOMONTH(AI$4,0),L81&gt;=AI$4),1,""))</f>
        <v/>
      </c>
      <c r="AJ81" s="26">
        <f>IF(OR(J81="",L81=""),"",IF(AND(J81&lt;=EOMONTH(AJ$4,0),L81&gt;=AJ$4),1,""))</f>
        <v/>
      </c>
      <c r="AK81" s="26">
        <f>IF(OR(J81="",L81=""),"",IF(AND(J81&lt;=EOMONTH(AK$4,0),L81&gt;=AK$4),1,""))</f>
        <v/>
      </c>
      <c r="AL81" s="26">
        <f>IF(OR(J81="",L81=""),"",IF(AND(J81&lt;=EOMONTH(AL$4,0),L81&gt;=AL$4),1,""))</f>
        <v/>
      </c>
      <c r="AM81" s="26">
        <f>IF(OR(J81="",L81=""),"",IF(AND(J81&lt;=EOMONTH(AM$4,0),L81&gt;=AM$4),1,""))</f>
        <v/>
      </c>
      <c r="AN81" s="26">
        <f>IF(OR(J81="",L81=""),"",IF(AND(J81&lt;=EOMONTH(AN$4,0),L81&gt;=AN$4),1,""))</f>
        <v/>
      </c>
      <c r="AO81" s="26">
        <f>IF(OR(J81="",L81=""),"",IF(AND(J81&lt;=EOMONTH(AO$4,0),L81&gt;=AO$4),1,""))</f>
        <v/>
      </c>
      <c r="AP81" s="26">
        <f>IF(OR(J81="",L81=""),"",IF(AND(J81&lt;=EOMONTH(AP$4,0),L81&gt;=AP$4),1,""))</f>
        <v/>
      </c>
      <c r="AQ81" s="26">
        <f>IF(OR(J81="",L81=""),"",IF(AND(J81&lt;=EOMONTH(AQ$4,0),L81&gt;=AQ$4),1,""))</f>
        <v/>
      </c>
      <c r="AR81" s="26">
        <f>IF(OR(J81="",L81=""),"",IF(AND(J81&lt;=EOMONTH(AR$4,0),L81&gt;=AR$4),1,""))</f>
        <v/>
      </c>
      <c r="AS81" s="26">
        <f>IF(OR(J81="",L81=""),"",IF(AND(J81&lt;=EOMONTH(AS$4,0),L81&gt;=AS$4),1,""))</f>
        <v/>
      </c>
      <c r="AT81" s="26">
        <f>IF(OR(J81="",L81=""),"",IF(AND(J81&lt;=EOMONTH(AT$4,0),L81&gt;=AT$4),1,""))</f>
        <v/>
      </c>
      <c r="AU81" s="26">
        <f>IF(OR(J81="",L81=""),"",IF(AND(J81&lt;=EOMONTH(AU$4,0),L81&gt;=AU$4),1,""))</f>
        <v/>
      </c>
      <c r="AV81" s="26">
        <f>IF(OR(J81="",L81=""),"",IF(AND(J81&lt;=EOMONTH(AV$4,0),L81&gt;=AV$4),1,""))</f>
        <v/>
      </c>
      <c r="AW81" s="26">
        <f>IF(OR(J81="",L81=""),"",IF(AND(J81&lt;=EOMONTH(AW$4,0),L81&gt;=AW$4),1,""))</f>
        <v/>
      </c>
      <c r="AX81" s="26">
        <f>IF(OR(J81="",L81=""),"",IF(AND(J81&lt;=EOMONTH(AX$4,0),L81&gt;=AX$4),1,""))</f>
        <v/>
      </c>
      <c r="AY81" s="26">
        <f>IF(OR(J81="",L81=""),"",IF(AND(J81&lt;=EOMONTH(AY$4,0),L81&gt;=AY$4),1,""))</f>
        <v/>
      </c>
      <c r="AZ81" s="26">
        <f>IF(OR(J81="",L81=""),"",IF(AND(J81&lt;=EOMONTH(AZ$4,0),L81&gt;=AZ$4),1,""))</f>
        <v/>
      </c>
      <c r="BA81" s="26">
        <f>IF(OR(J81="",L81=""),"",IF(AND(J81&lt;=EOMONTH(BA$4,0),L81&gt;=BA$4),1,""))</f>
        <v/>
      </c>
      <c r="BB81" s="26">
        <f>IF(OR(J81="",L81=""),"",IF(AND(J81&lt;=EOMONTH(BB$4,0),L81&gt;=BB$4),1,""))</f>
        <v/>
      </c>
    </row>
    <row r="82">
      <c r="A82" s="27" t="n"/>
      <c r="B82" s="28" t="n"/>
      <c r="C82" s="29" t="n"/>
      <c r="D82" s="30">
        <f>IF(E82="","","CWA-"&amp;MID(E82,5,4))</f>
        <v/>
      </c>
      <c r="E82" s="29" t="n"/>
      <c r="F82" s="31" t="n"/>
      <c r="G82" s="29" t="n"/>
      <c r="H82" s="28" t="n"/>
      <c r="I82" s="29" t="n"/>
      <c r="J82" s="32" t="n"/>
      <c r="K82" s="28" t="n"/>
      <c r="L82" s="33">
        <f>IF(OR(J82="",K82=""),"",J82+7*K82-1)</f>
        <v/>
      </c>
      <c r="M82" s="33">
        <f>IF(J82="","",J82-7*$E$3)</f>
        <v/>
      </c>
      <c r="N82" s="33">
        <f>IF(J82="","",J82-7*$H$3)</f>
        <v/>
      </c>
      <c r="O82" s="33">
        <f>IF(J82="","",J82-1*$K$3)</f>
        <v/>
      </c>
      <c r="P82" s="30">
        <f>IF(OR(E82="",I82="",I82="—"),IF(E82="","","OK"),IFERROR(IF(INDEX($L$6:$L$155,MATCH(I82,$E$6:$E$155,0))&gt;=J82,"Conflicto con predecesor","OK"),"Predecesor no encontrado"))</f>
        <v/>
      </c>
      <c r="Q82" s="29" t="n"/>
      <c r="R82" s="31" t="n"/>
      <c r="S82" s="26">
        <f>IF(OR(J82="",L82=""),"",IF(AND(J82&lt;=EOMONTH(S$4,0),L82&gt;=S$4),1,""))</f>
        <v/>
      </c>
      <c r="T82" s="26">
        <f>IF(OR(J82="",L82=""),"",IF(AND(J82&lt;=EOMONTH(T$4,0),L82&gt;=T$4),1,""))</f>
        <v/>
      </c>
      <c r="U82" s="26">
        <f>IF(OR(J82="",L82=""),"",IF(AND(J82&lt;=EOMONTH(U$4,0),L82&gt;=U$4),1,""))</f>
        <v/>
      </c>
      <c r="V82" s="26">
        <f>IF(OR(J82="",L82=""),"",IF(AND(J82&lt;=EOMONTH(V$4,0),L82&gt;=V$4),1,""))</f>
        <v/>
      </c>
      <c r="W82" s="26">
        <f>IF(OR(J82="",L82=""),"",IF(AND(J82&lt;=EOMONTH(W$4,0),L82&gt;=W$4),1,""))</f>
        <v/>
      </c>
      <c r="X82" s="26">
        <f>IF(OR(J82="",L82=""),"",IF(AND(J82&lt;=EOMONTH(X$4,0),L82&gt;=X$4),1,""))</f>
        <v/>
      </c>
      <c r="Y82" s="26">
        <f>IF(OR(J82="",L82=""),"",IF(AND(J82&lt;=EOMONTH(Y$4,0),L82&gt;=Y$4),1,""))</f>
        <v/>
      </c>
      <c r="Z82" s="26">
        <f>IF(OR(J82="",L82=""),"",IF(AND(J82&lt;=EOMONTH(Z$4,0),L82&gt;=Z$4),1,""))</f>
        <v/>
      </c>
      <c r="AA82" s="26">
        <f>IF(OR(J82="",L82=""),"",IF(AND(J82&lt;=EOMONTH(AA$4,0),L82&gt;=AA$4),1,""))</f>
        <v/>
      </c>
      <c r="AB82" s="26">
        <f>IF(OR(J82="",L82=""),"",IF(AND(J82&lt;=EOMONTH(AB$4,0),L82&gt;=AB$4),1,""))</f>
        <v/>
      </c>
      <c r="AC82" s="26">
        <f>IF(OR(J82="",L82=""),"",IF(AND(J82&lt;=EOMONTH(AC$4,0),L82&gt;=AC$4),1,""))</f>
        <v/>
      </c>
      <c r="AD82" s="26">
        <f>IF(OR(J82="",L82=""),"",IF(AND(J82&lt;=EOMONTH(AD$4,0),L82&gt;=AD$4),1,""))</f>
        <v/>
      </c>
      <c r="AE82" s="26">
        <f>IF(OR(J82="",L82=""),"",IF(AND(J82&lt;=EOMONTH(AE$4,0),L82&gt;=AE$4),1,""))</f>
        <v/>
      </c>
      <c r="AF82" s="26">
        <f>IF(OR(J82="",L82=""),"",IF(AND(J82&lt;=EOMONTH(AF$4,0),L82&gt;=AF$4),1,""))</f>
        <v/>
      </c>
      <c r="AG82" s="26">
        <f>IF(OR(J82="",L82=""),"",IF(AND(J82&lt;=EOMONTH(AG$4,0),L82&gt;=AG$4),1,""))</f>
        <v/>
      </c>
      <c r="AH82" s="26">
        <f>IF(OR(J82="",L82=""),"",IF(AND(J82&lt;=EOMONTH(AH$4,0),L82&gt;=AH$4),1,""))</f>
        <v/>
      </c>
      <c r="AI82" s="26">
        <f>IF(OR(J82="",L82=""),"",IF(AND(J82&lt;=EOMONTH(AI$4,0),L82&gt;=AI$4),1,""))</f>
        <v/>
      </c>
      <c r="AJ82" s="26">
        <f>IF(OR(J82="",L82=""),"",IF(AND(J82&lt;=EOMONTH(AJ$4,0),L82&gt;=AJ$4),1,""))</f>
        <v/>
      </c>
      <c r="AK82" s="26">
        <f>IF(OR(J82="",L82=""),"",IF(AND(J82&lt;=EOMONTH(AK$4,0),L82&gt;=AK$4),1,""))</f>
        <v/>
      </c>
      <c r="AL82" s="26">
        <f>IF(OR(J82="",L82=""),"",IF(AND(J82&lt;=EOMONTH(AL$4,0),L82&gt;=AL$4),1,""))</f>
        <v/>
      </c>
      <c r="AM82" s="26">
        <f>IF(OR(J82="",L82=""),"",IF(AND(J82&lt;=EOMONTH(AM$4,0),L82&gt;=AM$4),1,""))</f>
        <v/>
      </c>
      <c r="AN82" s="26">
        <f>IF(OR(J82="",L82=""),"",IF(AND(J82&lt;=EOMONTH(AN$4,0),L82&gt;=AN$4),1,""))</f>
        <v/>
      </c>
      <c r="AO82" s="26">
        <f>IF(OR(J82="",L82=""),"",IF(AND(J82&lt;=EOMONTH(AO$4,0),L82&gt;=AO$4),1,""))</f>
        <v/>
      </c>
      <c r="AP82" s="26">
        <f>IF(OR(J82="",L82=""),"",IF(AND(J82&lt;=EOMONTH(AP$4,0),L82&gt;=AP$4),1,""))</f>
        <v/>
      </c>
      <c r="AQ82" s="26">
        <f>IF(OR(J82="",L82=""),"",IF(AND(J82&lt;=EOMONTH(AQ$4,0),L82&gt;=AQ$4),1,""))</f>
        <v/>
      </c>
      <c r="AR82" s="26">
        <f>IF(OR(J82="",L82=""),"",IF(AND(J82&lt;=EOMONTH(AR$4,0),L82&gt;=AR$4),1,""))</f>
        <v/>
      </c>
      <c r="AS82" s="26">
        <f>IF(OR(J82="",L82=""),"",IF(AND(J82&lt;=EOMONTH(AS$4,0),L82&gt;=AS$4),1,""))</f>
        <v/>
      </c>
      <c r="AT82" s="26">
        <f>IF(OR(J82="",L82=""),"",IF(AND(J82&lt;=EOMONTH(AT$4,0),L82&gt;=AT$4),1,""))</f>
        <v/>
      </c>
      <c r="AU82" s="26">
        <f>IF(OR(J82="",L82=""),"",IF(AND(J82&lt;=EOMONTH(AU$4,0),L82&gt;=AU$4),1,""))</f>
        <v/>
      </c>
      <c r="AV82" s="26">
        <f>IF(OR(J82="",L82=""),"",IF(AND(J82&lt;=EOMONTH(AV$4,0),L82&gt;=AV$4),1,""))</f>
        <v/>
      </c>
      <c r="AW82" s="26">
        <f>IF(OR(J82="",L82=""),"",IF(AND(J82&lt;=EOMONTH(AW$4,0),L82&gt;=AW$4),1,""))</f>
        <v/>
      </c>
      <c r="AX82" s="26">
        <f>IF(OR(J82="",L82=""),"",IF(AND(J82&lt;=EOMONTH(AX$4,0),L82&gt;=AX$4),1,""))</f>
        <v/>
      </c>
      <c r="AY82" s="26">
        <f>IF(OR(J82="",L82=""),"",IF(AND(J82&lt;=EOMONTH(AY$4,0),L82&gt;=AY$4),1,""))</f>
        <v/>
      </c>
      <c r="AZ82" s="26">
        <f>IF(OR(J82="",L82=""),"",IF(AND(J82&lt;=EOMONTH(AZ$4,0),L82&gt;=AZ$4),1,""))</f>
        <v/>
      </c>
      <c r="BA82" s="26">
        <f>IF(OR(J82="",L82=""),"",IF(AND(J82&lt;=EOMONTH(BA$4,0),L82&gt;=BA$4),1,""))</f>
        <v/>
      </c>
      <c r="BB82" s="26">
        <f>IF(OR(J82="",L82=""),"",IF(AND(J82&lt;=EOMONTH(BB$4,0),L82&gt;=BB$4),1,""))</f>
        <v/>
      </c>
    </row>
    <row r="83">
      <c r="A83" s="27" t="n"/>
      <c r="B83" s="28" t="n"/>
      <c r="C83" s="29" t="n"/>
      <c r="D83" s="30">
        <f>IF(E83="","","CWA-"&amp;MID(E83,5,4))</f>
        <v/>
      </c>
      <c r="E83" s="29" t="n"/>
      <c r="F83" s="31" t="n"/>
      <c r="G83" s="29" t="n"/>
      <c r="H83" s="28" t="n"/>
      <c r="I83" s="29" t="n"/>
      <c r="J83" s="32" t="n"/>
      <c r="K83" s="28" t="n"/>
      <c r="L83" s="33">
        <f>IF(OR(J83="",K83=""),"",J83+7*K83-1)</f>
        <v/>
      </c>
      <c r="M83" s="33">
        <f>IF(J83="","",J83-7*$E$3)</f>
        <v/>
      </c>
      <c r="N83" s="33">
        <f>IF(J83="","",J83-7*$H$3)</f>
        <v/>
      </c>
      <c r="O83" s="33">
        <f>IF(J83="","",J83-1*$K$3)</f>
        <v/>
      </c>
      <c r="P83" s="30">
        <f>IF(OR(E83="",I83="",I83="—"),IF(E83="","","OK"),IFERROR(IF(INDEX($L$6:$L$155,MATCH(I83,$E$6:$E$155,0))&gt;=J83,"Conflicto con predecesor","OK"),"Predecesor no encontrado"))</f>
        <v/>
      </c>
      <c r="Q83" s="29" t="n"/>
      <c r="R83" s="31" t="n"/>
      <c r="S83" s="26">
        <f>IF(OR(J83="",L83=""),"",IF(AND(J83&lt;=EOMONTH(S$4,0),L83&gt;=S$4),1,""))</f>
        <v/>
      </c>
      <c r="T83" s="26">
        <f>IF(OR(J83="",L83=""),"",IF(AND(J83&lt;=EOMONTH(T$4,0),L83&gt;=T$4),1,""))</f>
        <v/>
      </c>
      <c r="U83" s="26">
        <f>IF(OR(J83="",L83=""),"",IF(AND(J83&lt;=EOMONTH(U$4,0),L83&gt;=U$4),1,""))</f>
        <v/>
      </c>
      <c r="V83" s="26">
        <f>IF(OR(J83="",L83=""),"",IF(AND(J83&lt;=EOMONTH(V$4,0),L83&gt;=V$4),1,""))</f>
        <v/>
      </c>
      <c r="W83" s="26">
        <f>IF(OR(J83="",L83=""),"",IF(AND(J83&lt;=EOMONTH(W$4,0),L83&gt;=W$4),1,""))</f>
        <v/>
      </c>
      <c r="X83" s="26">
        <f>IF(OR(J83="",L83=""),"",IF(AND(J83&lt;=EOMONTH(X$4,0),L83&gt;=X$4),1,""))</f>
        <v/>
      </c>
      <c r="Y83" s="26">
        <f>IF(OR(J83="",L83=""),"",IF(AND(J83&lt;=EOMONTH(Y$4,0),L83&gt;=Y$4),1,""))</f>
        <v/>
      </c>
      <c r="Z83" s="26">
        <f>IF(OR(J83="",L83=""),"",IF(AND(J83&lt;=EOMONTH(Z$4,0),L83&gt;=Z$4),1,""))</f>
        <v/>
      </c>
      <c r="AA83" s="26">
        <f>IF(OR(J83="",L83=""),"",IF(AND(J83&lt;=EOMONTH(AA$4,0),L83&gt;=AA$4),1,""))</f>
        <v/>
      </c>
      <c r="AB83" s="26">
        <f>IF(OR(J83="",L83=""),"",IF(AND(J83&lt;=EOMONTH(AB$4,0),L83&gt;=AB$4),1,""))</f>
        <v/>
      </c>
      <c r="AC83" s="26">
        <f>IF(OR(J83="",L83=""),"",IF(AND(J83&lt;=EOMONTH(AC$4,0),L83&gt;=AC$4),1,""))</f>
        <v/>
      </c>
      <c r="AD83" s="26">
        <f>IF(OR(J83="",L83=""),"",IF(AND(J83&lt;=EOMONTH(AD$4,0),L83&gt;=AD$4),1,""))</f>
        <v/>
      </c>
      <c r="AE83" s="26">
        <f>IF(OR(J83="",L83=""),"",IF(AND(J83&lt;=EOMONTH(AE$4,0),L83&gt;=AE$4),1,""))</f>
        <v/>
      </c>
      <c r="AF83" s="26">
        <f>IF(OR(J83="",L83=""),"",IF(AND(J83&lt;=EOMONTH(AF$4,0),L83&gt;=AF$4),1,""))</f>
        <v/>
      </c>
      <c r="AG83" s="26">
        <f>IF(OR(J83="",L83=""),"",IF(AND(J83&lt;=EOMONTH(AG$4,0),L83&gt;=AG$4),1,""))</f>
        <v/>
      </c>
      <c r="AH83" s="26">
        <f>IF(OR(J83="",L83=""),"",IF(AND(J83&lt;=EOMONTH(AH$4,0),L83&gt;=AH$4),1,""))</f>
        <v/>
      </c>
      <c r="AI83" s="26">
        <f>IF(OR(J83="",L83=""),"",IF(AND(J83&lt;=EOMONTH(AI$4,0),L83&gt;=AI$4),1,""))</f>
        <v/>
      </c>
      <c r="AJ83" s="26">
        <f>IF(OR(J83="",L83=""),"",IF(AND(J83&lt;=EOMONTH(AJ$4,0),L83&gt;=AJ$4),1,""))</f>
        <v/>
      </c>
      <c r="AK83" s="26">
        <f>IF(OR(J83="",L83=""),"",IF(AND(J83&lt;=EOMONTH(AK$4,0),L83&gt;=AK$4),1,""))</f>
        <v/>
      </c>
      <c r="AL83" s="26">
        <f>IF(OR(J83="",L83=""),"",IF(AND(J83&lt;=EOMONTH(AL$4,0),L83&gt;=AL$4),1,""))</f>
        <v/>
      </c>
      <c r="AM83" s="26">
        <f>IF(OR(J83="",L83=""),"",IF(AND(J83&lt;=EOMONTH(AM$4,0),L83&gt;=AM$4),1,""))</f>
        <v/>
      </c>
      <c r="AN83" s="26">
        <f>IF(OR(J83="",L83=""),"",IF(AND(J83&lt;=EOMONTH(AN$4,0),L83&gt;=AN$4),1,""))</f>
        <v/>
      </c>
      <c r="AO83" s="26">
        <f>IF(OR(J83="",L83=""),"",IF(AND(J83&lt;=EOMONTH(AO$4,0),L83&gt;=AO$4),1,""))</f>
        <v/>
      </c>
      <c r="AP83" s="26">
        <f>IF(OR(J83="",L83=""),"",IF(AND(J83&lt;=EOMONTH(AP$4,0),L83&gt;=AP$4),1,""))</f>
        <v/>
      </c>
      <c r="AQ83" s="26">
        <f>IF(OR(J83="",L83=""),"",IF(AND(J83&lt;=EOMONTH(AQ$4,0),L83&gt;=AQ$4),1,""))</f>
        <v/>
      </c>
      <c r="AR83" s="26">
        <f>IF(OR(J83="",L83=""),"",IF(AND(J83&lt;=EOMONTH(AR$4,0),L83&gt;=AR$4),1,""))</f>
        <v/>
      </c>
      <c r="AS83" s="26">
        <f>IF(OR(J83="",L83=""),"",IF(AND(J83&lt;=EOMONTH(AS$4,0),L83&gt;=AS$4),1,""))</f>
        <v/>
      </c>
      <c r="AT83" s="26">
        <f>IF(OR(J83="",L83=""),"",IF(AND(J83&lt;=EOMONTH(AT$4,0),L83&gt;=AT$4),1,""))</f>
        <v/>
      </c>
      <c r="AU83" s="26">
        <f>IF(OR(J83="",L83=""),"",IF(AND(J83&lt;=EOMONTH(AU$4,0),L83&gt;=AU$4),1,""))</f>
        <v/>
      </c>
      <c r="AV83" s="26">
        <f>IF(OR(J83="",L83=""),"",IF(AND(J83&lt;=EOMONTH(AV$4,0),L83&gt;=AV$4),1,""))</f>
        <v/>
      </c>
      <c r="AW83" s="26">
        <f>IF(OR(J83="",L83=""),"",IF(AND(J83&lt;=EOMONTH(AW$4,0),L83&gt;=AW$4),1,""))</f>
        <v/>
      </c>
      <c r="AX83" s="26">
        <f>IF(OR(J83="",L83=""),"",IF(AND(J83&lt;=EOMONTH(AX$4,0),L83&gt;=AX$4),1,""))</f>
        <v/>
      </c>
      <c r="AY83" s="26">
        <f>IF(OR(J83="",L83=""),"",IF(AND(J83&lt;=EOMONTH(AY$4,0),L83&gt;=AY$4),1,""))</f>
        <v/>
      </c>
      <c r="AZ83" s="26">
        <f>IF(OR(J83="",L83=""),"",IF(AND(J83&lt;=EOMONTH(AZ$4,0),L83&gt;=AZ$4),1,""))</f>
        <v/>
      </c>
      <c r="BA83" s="26">
        <f>IF(OR(J83="",L83=""),"",IF(AND(J83&lt;=EOMONTH(BA$4,0),L83&gt;=BA$4),1,""))</f>
        <v/>
      </c>
      <c r="BB83" s="26">
        <f>IF(OR(J83="",L83=""),"",IF(AND(J83&lt;=EOMONTH(BB$4,0),L83&gt;=BB$4),1,""))</f>
        <v/>
      </c>
    </row>
    <row r="84">
      <c r="A84" s="27" t="n"/>
      <c r="B84" s="28" t="n"/>
      <c r="C84" s="29" t="n"/>
      <c r="D84" s="30">
        <f>IF(E84="","","CWA-"&amp;MID(E84,5,4))</f>
        <v/>
      </c>
      <c r="E84" s="29" t="n"/>
      <c r="F84" s="31" t="n"/>
      <c r="G84" s="29" t="n"/>
      <c r="H84" s="28" t="n"/>
      <c r="I84" s="29" t="n"/>
      <c r="J84" s="32" t="n"/>
      <c r="K84" s="28" t="n"/>
      <c r="L84" s="33">
        <f>IF(OR(J84="",K84=""),"",J84+7*K84-1)</f>
        <v/>
      </c>
      <c r="M84" s="33">
        <f>IF(J84="","",J84-7*$E$3)</f>
        <v/>
      </c>
      <c r="N84" s="33">
        <f>IF(J84="","",J84-7*$H$3)</f>
        <v/>
      </c>
      <c r="O84" s="33">
        <f>IF(J84="","",J84-1*$K$3)</f>
        <v/>
      </c>
      <c r="P84" s="30">
        <f>IF(OR(E84="",I84="",I84="—"),IF(E84="","","OK"),IFERROR(IF(INDEX($L$6:$L$155,MATCH(I84,$E$6:$E$155,0))&gt;=J84,"Conflicto con predecesor","OK"),"Predecesor no encontrado"))</f>
        <v/>
      </c>
      <c r="Q84" s="29" t="n"/>
      <c r="R84" s="31" t="n"/>
      <c r="S84" s="26">
        <f>IF(OR(J84="",L84=""),"",IF(AND(J84&lt;=EOMONTH(S$4,0),L84&gt;=S$4),1,""))</f>
        <v/>
      </c>
      <c r="T84" s="26">
        <f>IF(OR(J84="",L84=""),"",IF(AND(J84&lt;=EOMONTH(T$4,0),L84&gt;=T$4),1,""))</f>
        <v/>
      </c>
      <c r="U84" s="26">
        <f>IF(OR(J84="",L84=""),"",IF(AND(J84&lt;=EOMONTH(U$4,0),L84&gt;=U$4),1,""))</f>
        <v/>
      </c>
      <c r="V84" s="26">
        <f>IF(OR(J84="",L84=""),"",IF(AND(J84&lt;=EOMONTH(V$4,0),L84&gt;=V$4),1,""))</f>
        <v/>
      </c>
      <c r="W84" s="26">
        <f>IF(OR(J84="",L84=""),"",IF(AND(J84&lt;=EOMONTH(W$4,0),L84&gt;=W$4),1,""))</f>
        <v/>
      </c>
      <c r="X84" s="26">
        <f>IF(OR(J84="",L84=""),"",IF(AND(J84&lt;=EOMONTH(X$4,0),L84&gt;=X$4),1,""))</f>
        <v/>
      </c>
      <c r="Y84" s="26">
        <f>IF(OR(J84="",L84=""),"",IF(AND(J84&lt;=EOMONTH(Y$4,0),L84&gt;=Y$4),1,""))</f>
        <v/>
      </c>
      <c r="Z84" s="26">
        <f>IF(OR(J84="",L84=""),"",IF(AND(J84&lt;=EOMONTH(Z$4,0),L84&gt;=Z$4),1,""))</f>
        <v/>
      </c>
      <c r="AA84" s="26">
        <f>IF(OR(J84="",L84=""),"",IF(AND(J84&lt;=EOMONTH(AA$4,0),L84&gt;=AA$4),1,""))</f>
        <v/>
      </c>
      <c r="AB84" s="26">
        <f>IF(OR(J84="",L84=""),"",IF(AND(J84&lt;=EOMONTH(AB$4,0),L84&gt;=AB$4),1,""))</f>
        <v/>
      </c>
      <c r="AC84" s="26">
        <f>IF(OR(J84="",L84=""),"",IF(AND(J84&lt;=EOMONTH(AC$4,0),L84&gt;=AC$4),1,""))</f>
        <v/>
      </c>
      <c r="AD84" s="26">
        <f>IF(OR(J84="",L84=""),"",IF(AND(J84&lt;=EOMONTH(AD$4,0),L84&gt;=AD$4),1,""))</f>
        <v/>
      </c>
      <c r="AE84" s="26">
        <f>IF(OR(J84="",L84=""),"",IF(AND(J84&lt;=EOMONTH(AE$4,0),L84&gt;=AE$4),1,""))</f>
        <v/>
      </c>
      <c r="AF84" s="26">
        <f>IF(OR(J84="",L84=""),"",IF(AND(J84&lt;=EOMONTH(AF$4,0),L84&gt;=AF$4),1,""))</f>
        <v/>
      </c>
      <c r="AG84" s="26">
        <f>IF(OR(J84="",L84=""),"",IF(AND(J84&lt;=EOMONTH(AG$4,0),L84&gt;=AG$4),1,""))</f>
        <v/>
      </c>
      <c r="AH84" s="26">
        <f>IF(OR(J84="",L84=""),"",IF(AND(J84&lt;=EOMONTH(AH$4,0),L84&gt;=AH$4),1,""))</f>
        <v/>
      </c>
      <c r="AI84" s="26">
        <f>IF(OR(J84="",L84=""),"",IF(AND(J84&lt;=EOMONTH(AI$4,0),L84&gt;=AI$4),1,""))</f>
        <v/>
      </c>
      <c r="AJ84" s="26">
        <f>IF(OR(J84="",L84=""),"",IF(AND(J84&lt;=EOMONTH(AJ$4,0),L84&gt;=AJ$4),1,""))</f>
        <v/>
      </c>
      <c r="AK84" s="26">
        <f>IF(OR(J84="",L84=""),"",IF(AND(J84&lt;=EOMONTH(AK$4,0),L84&gt;=AK$4),1,""))</f>
        <v/>
      </c>
      <c r="AL84" s="26">
        <f>IF(OR(J84="",L84=""),"",IF(AND(J84&lt;=EOMONTH(AL$4,0),L84&gt;=AL$4),1,""))</f>
        <v/>
      </c>
      <c r="AM84" s="26">
        <f>IF(OR(J84="",L84=""),"",IF(AND(J84&lt;=EOMONTH(AM$4,0),L84&gt;=AM$4),1,""))</f>
        <v/>
      </c>
      <c r="AN84" s="26">
        <f>IF(OR(J84="",L84=""),"",IF(AND(J84&lt;=EOMONTH(AN$4,0),L84&gt;=AN$4),1,""))</f>
        <v/>
      </c>
      <c r="AO84" s="26">
        <f>IF(OR(J84="",L84=""),"",IF(AND(J84&lt;=EOMONTH(AO$4,0),L84&gt;=AO$4),1,""))</f>
        <v/>
      </c>
      <c r="AP84" s="26">
        <f>IF(OR(J84="",L84=""),"",IF(AND(J84&lt;=EOMONTH(AP$4,0),L84&gt;=AP$4),1,""))</f>
        <v/>
      </c>
      <c r="AQ84" s="26">
        <f>IF(OR(J84="",L84=""),"",IF(AND(J84&lt;=EOMONTH(AQ$4,0),L84&gt;=AQ$4),1,""))</f>
        <v/>
      </c>
      <c r="AR84" s="26">
        <f>IF(OR(J84="",L84=""),"",IF(AND(J84&lt;=EOMONTH(AR$4,0),L84&gt;=AR$4),1,""))</f>
        <v/>
      </c>
      <c r="AS84" s="26">
        <f>IF(OR(J84="",L84=""),"",IF(AND(J84&lt;=EOMONTH(AS$4,0),L84&gt;=AS$4),1,""))</f>
        <v/>
      </c>
      <c r="AT84" s="26">
        <f>IF(OR(J84="",L84=""),"",IF(AND(J84&lt;=EOMONTH(AT$4,0),L84&gt;=AT$4),1,""))</f>
        <v/>
      </c>
      <c r="AU84" s="26">
        <f>IF(OR(J84="",L84=""),"",IF(AND(J84&lt;=EOMONTH(AU$4,0),L84&gt;=AU$4),1,""))</f>
        <v/>
      </c>
      <c r="AV84" s="26">
        <f>IF(OR(J84="",L84=""),"",IF(AND(J84&lt;=EOMONTH(AV$4,0),L84&gt;=AV$4),1,""))</f>
        <v/>
      </c>
      <c r="AW84" s="26">
        <f>IF(OR(J84="",L84=""),"",IF(AND(J84&lt;=EOMONTH(AW$4,0),L84&gt;=AW$4),1,""))</f>
        <v/>
      </c>
      <c r="AX84" s="26">
        <f>IF(OR(J84="",L84=""),"",IF(AND(J84&lt;=EOMONTH(AX$4,0),L84&gt;=AX$4),1,""))</f>
        <v/>
      </c>
      <c r="AY84" s="26">
        <f>IF(OR(J84="",L84=""),"",IF(AND(J84&lt;=EOMONTH(AY$4,0),L84&gt;=AY$4),1,""))</f>
        <v/>
      </c>
      <c r="AZ84" s="26">
        <f>IF(OR(J84="",L84=""),"",IF(AND(J84&lt;=EOMONTH(AZ$4,0),L84&gt;=AZ$4),1,""))</f>
        <v/>
      </c>
      <c r="BA84" s="26">
        <f>IF(OR(J84="",L84=""),"",IF(AND(J84&lt;=EOMONTH(BA$4,0),L84&gt;=BA$4),1,""))</f>
        <v/>
      </c>
      <c r="BB84" s="26">
        <f>IF(OR(J84="",L84=""),"",IF(AND(J84&lt;=EOMONTH(BB$4,0),L84&gt;=BB$4),1,""))</f>
        <v/>
      </c>
    </row>
    <row r="85">
      <c r="A85" s="27" t="n"/>
      <c r="B85" s="28" t="n"/>
      <c r="C85" s="29" t="n"/>
      <c r="D85" s="30">
        <f>IF(E85="","","CWA-"&amp;MID(E85,5,4))</f>
        <v/>
      </c>
      <c r="E85" s="29" t="n"/>
      <c r="F85" s="31" t="n"/>
      <c r="G85" s="29" t="n"/>
      <c r="H85" s="28" t="n"/>
      <c r="I85" s="29" t="n"/>
      <c r="J85" s="32" t="n"/>
      <c r="K85" s="28" t="n"/>
      <c r="L85" s="33">
        <f>IF(OR(J85="",K85=""),"",J85+7*K85-1)</f>
        <v/>
      </c>
      <c r="M85" s="33">
        <f>IF(J85="","",J85-7*$E$3)</f>
        <v/>
      </c>
      <c r="N85" s="33">
        <f>IF(J85="","",J85-7*$H$3)</f>
        <v/>
      </c>
      <c r="O85" s="33">
        <f>IF(J85="","",J85-1*$K$3)</f>
        <v/>
      </c>
      <c r="P85" s="30">
        <f>IF(OR(E85="",I85="",I85="—"),IF(E85="","","OK"),IFERROR(IF(INDEX($L$6:$L$155,MATCH(I85,$E$6:$E$155,0))&gt;=J85,"Conflicto con predecesor","OK"),"Predecesor no encontrado"))</f>
        <v/>
      </c>
      <c r="Q85" s="29" t="n"/>
      <c r="R85" s="31" t="n"/>
      <c r="S85" s="26">
        <f>IF(OR(J85="",L85=""),"",IF(AND(J85&lt;=EOMONTH(S$4,0),L85&gt;=S$4),1,""))</f>
        <v/>
      </c>
      <c r="T85" s="26">
        <f>IF(OR(J85="",L85=""),"",IF(AND(J85&lt;=EOMONTH(T$4,0),L85&gt;=T$4),1,""))</f>
        <v/>
      </c>
      <c r="U85" s="26">
        <f>IF(OR(J85="",L85=""),"",IF(AND(J85&lt;=EOMONTH(U$4,0),L85&gt;=U$4),1,""))</f>
        <v/>
      </c>
      <c r="V85" s="26">
        <f>IF(OR(J85="",L85=""),"",IF(AND(J85&lt;=EOMONTH(V$4,0),L85&gt;=V$4),1,""))</f>
        <v/>
      </c>
      <c r="W85" s="26">
        <f>IF(OR(J85="",L85=""),"",IF(AND(J85&lt;=EOMONTH(W$4,0),L85&gt;=W$4),1,""))</f>
        <v/>
      </c>
      <c r="X85" s="26">
        <f>IF(OR(J85="",L85=""),"",IF(AND(J85&lt;=EOMONTH(X$4,0),L85&gt;=X$4),1,""))</f>
        <v/>
      </c>
      <c r="Y85" s="26">
        <f>IF(OR(J85="",L85=""),"",IF(AND(J85&lt;=EOMONTH(Y$4,0),L85&gt;=Y$4),1,""))</f>
        <v/>
      </c>
      <c r="Z85" s="26">
        <f>IF(OR(J85="",L85=""),"",IF(AND(J85&lt;=EOMONTH(Z$4,0),L85&gt;=Z$4),1,""))</f>
        <v/>
      </c>
      <c r="AA85" s="26">
        <f>IF(OR(J85="",L85=""),"",IF(AND(J85&lt;=EOMONTH(AA$4,0),L85&gt;=AA$4),1,""))</f>
        <v/>
      </c>
      <c r="AB85" s="26">
        <f>IF(OR(J85="",L85=""),"",IF(AND(J85&lt;=EOMONTH(AB$4,0),L85&gt;=AB$4),1,""))</f>
        <v/>
      </c>
      <c r="AC85" s="26">
        <f>IF(OR(J85="",L85=""),"",IF(AND(J85&lt;=EOMONTH(AC$4,0),L85&gt;=AC$4),1,""))</f>
        <v/>
      </c>
      <c r="AD85" s="26">
        <f>IF(OR(J85="",L85=""),"",IF(AND(J85&lt;=EOMONTH(AD$4,0),L85&gt;=AD$4),1,""))</f>
        <v/>
      </c>
      <c r="AE85" s="26">
        <f>IF(OR(J85="",L85=""),"",IF(AND(J85&lt;=EOMONTH(AE$4,0),L85&gt;=AE$4),1,""))</f>
        <v/>
      </c>
      <c r="AF85" s="26">
        <f>IF(OR(J85="",L85=""),"",IF(AND(J85&lt;=EOMONTH(AF$4,0),L85&gt;=AF$4),1,""))</f>
        <v/>
      </c>
      <c r="AG85" s="26">
        <f>IF(OR(J85="",L85=""),"",IF(AND(J85&lt;=EOMONTH(AG$4,0),L85&gt;=AG$4),1,""))</f>
        <v/>
      </c>
      <c r="AH85" s="26">
        <f>IF(OR(J85="",L85=""),"",IF(AND(J85&lt;=EOMONTH(AH$4,0),L85&gt;=AH$4),1,""))</f>
        <v/>
      </c>
      <c r="AI85" s="26">
        <f>IF(OR(J85="",L85=""),"",IF(AND(J85&lt;=EOMONTH(AI$4,0),L85&gt;=AI$4),1,""))</f>
        <v/>
      </c>
      <c r="AJ85" s="26">
        <f>IF(OR(J85="",L85=""),"",IF(AND(J85&lt;=EOMONTH(AJ$4,0),L85&gt;=AJ$4),1,""))</f>
        <v/>
      </c>
      <c r="AK85" s="26">
        <f>IF(OR(J85="",L85=""),"",IF(AND(J85&lt;=EOMONTH(AK$4,0),L85&gt;=AK$4),1,""))</f>
        <v/>
      </c>
      <c r="AL85" s="26">
        <f>IF(OR(J85="",L85=""),"",IF(AND(J85&lt;=EOMONTH(AL$4,0),L85&gt;=AL$4),1,""))</f>
        <v/>
      </c>
      <c r="AM85" s="26">
        <f>IF(OR(J85="",L85=""),"",IF(AND(J85&lt;=EOMONTH(AM$4,0),L85&gt;=AM$4),1,""))</f>
        <v/>
      </c>
      <c r="AN85" s="26">
        <f>IF(OR(J85="",L85=""),"",IF(AND(J85&lt;=EOMONTH(AN$4,0),L85&gt;=AN$4),1,""))</f>
        <v/>
      </c>
      <c r="AO85" s="26">
        <f>IF(OR(J85="",L85=""),"",IF(AND(J85&lt;=EOMONTH(AO$4,0),L85&gt;=AO$4),1,""))</f>
        <v/>
      </c>
      <c r="AP85" s="26">
        <f>IF(OR(J85="",L85=""),"",IF(AND(J85&lt;=EOMONTH(AP$4,0),L85&gt;=AP$4),1,""))</f>
        <v/>
      </c>
      <c r="AQ85" s="26">
        <f>IF(OR(J85="",L85=""),"",IF(AND(J85&lt;=EOMONTH(AQ$4,0),L85&gt;=AQ$4),1,""))</f>
        <v/>
      </c>
      <c r="AR85" s="26">
        <f>IF(OR(J85="",L85=""),"",IF(AND(J85&lt;=EOMONTH(AR$4,0),L85&gt;=AR$4),1,""))</f>
        <v/>
      </c>
      <c r="AS85" s="26">
        <f>IF(OR(J85="",L85=""),"",IF(AND(J85&lt;=EOMONTH(AS$4,0),L85&gt;=AS$4),1,""))</f>
        <v/>
      </c>
      <c r="AT85" s="26">
        <f>IF(OR(J85="",L85=""),"",IF(AND(J85&lt;=EOMONTH(AT$4,0),L85&gt;=AT$4),1,""))</f>
        <v/>
      </c>
      <c r="AU85" s="26">
        <f>IF(OR(J85="",L85=""),"",IF(AND(J85&lt;=EOMONTH(AU$4,0),L85&gt;=AU$4),1,""))</f>
        <v/>
      </c>
      <c r="AV85" s="26">
        <f>IF(OR(J85="",L85=""),"",IF(AND(J85&lt;=EOMONTH(AV$4,0),L85&gt;=AV$4),1,""))</f>
        <v/>
      </c>
      <c r="AW85" s="26">
        <f>IF(OR(J85="",L85=""),"",IF(AND(J85&lt;=EOMONTH(AW$4,0),L85&gt;=AW$4),1,""))</f>
        <v/>
      </c>
      <c r="AX85" s="26">
        <f>IF(OR(J85="",L85=""),"",IF(AND(J85&lt;=EOMONTH(AX$4,0),L85&gt;=AX$4),1,""))</f>
        <v/>
      </c>
      <c r="AY85" s="26">
        <f>IF(OR(J85="",L85=""),"",IF(AND(J85&lt;=EOMONTH(AY$4,0),L85&gt;=AY$4),1,""))</f>
        <v/>
      </c>
      <c r="AZ85" s="26">
        <f>IF(OR(J85="",L85=""),"",IF(AND(J85&lt;=EOMONTH(AZ$4,0),L85&gt;=AZ$4),1,""))</f>
        <v/>
      </c>
      <c r="BA85" s="26">
        <f>IF(OR(J85="",L85=""),"",IF(AND(J85&lt;=EOMONTH(BA$4,0),L85&gt;=BA$4),1,""))</f>
        <v/>
      </c>
      <c r="BB85" s="26">
        <f>IF(OR(J85="",L85=""),"",IF(AND(J85&lt;=EOMONTH(BB$4,0),L85&gt;=BB$4),1,""))</f>
        <v/>
      </c>
    </row>
    <row r="86">
      <c r="A86" s="27" t="n"/>
      <c r="B86" s="28" t="n"/>
      <c r="C86" s="29" t="n"/>
      <c r="D86" s="30">
        <f>IF(E86="","","CWA-"&amp;MID(E86,5,4))</f>
        <v/>
      </c>
      <c r="E86" s="29" t="n"/>
      <c r="F86" s="31" t="n"/>
      <c r="G86" s="29" t="n"/>
      <c r="H86" s="28" t="n"/>
      <c r="I86" s="29" t="n"/>
      <c r="J86" s="32" t="n"/>
      <c r="K86" s="28" t="n"/>
      <c r="L86" s="33">
        <f>IF(OR(J86="",K86=""),"",J86+7*K86-1)</f>
        <v/>
      </c>
      <c r="M86" s="33">
        <f>IF(J86="","",J86-7*$E$3)</f>
        <v/>
      </c>
      <c r="N86" s="33">
        <f>IF(J86="","",J86-7*$H$3)</f>
        <v/>
      </c>
      <c r="O86" s="33">
        <f>IF(J86="","",J86-1*$K$3)</f>
        <v/>
      </c>
      <c r="P86" s="30">
        <f>IF(OR(E86="",I86="",I86="—"),IF(E86="","","OK"),IFERROR(IF(INDEX($L$6:$L$155,MATCH(I86,$E$6:$E$155,0))&gt;=J86,"Conflicto con predecesor","OK"),"Predecesor no encontrado"))</f>
        <v/>
      </c>
      <c r="Q86" s="29" t="n"/>
      <c r="R86" s="31" t="n"/>
      <c r="S86" s="26">
        <f>IF(OR(J86="",L86=""),"",IF(AND(J86&lt;=EOMONTH(S$4,0),L86&gt;=S$4),1,""))</f>
        <v/>
      </c>
      <c r="T86" s="26">
        <f>IF(OR(J86="",L86=""),"",IF(AND(J86&lt;=EOMONTH(T$4,0),L86&gt;=T$4),1,""))</f>
        <v/>
      </c>
      <c r="U86" s="26">
        <f>IF(OR(J86="",L86=""),"",IF(AND(J86&lt;=EOMONTH(U$4,0),L86&gt;=U$4),1,""))</f>
        <v/>
      </c>
      <c r="V86" s="26">
        <f>IF(OR(J86="",L86=""),"",IF(AND(J86&lt;=EOMONTH(V$4,0),L86&gt;=V$4),1,""))</f>
        <v/>
      </c>
      <c r="W86" s="26">
        <f>IF(OR(J86="",L86=""),"",IF(AND(J86&lt;=EOMONTH(W$4,0),L86&gt;=W$4),1,""))</f>
        <v/>
      </c>
      <c r="X86" s="26">
        <f>IF(OR(J86="",L86=""),"",IF(AND(J86&lt;=EOMONTH(X$4,0),L86&gt;=X$4),1,""))</f>
        <v/>
      </c>
      <c r="Y86" s="26">
        <f>IF(OR(J86="",L86=""),"",IF(AND(J86&lt;=EOMONTH(Y$4,0),L86&gt;=Y$4),1,""))</f>
        <v/>
      </c>
      <c r="Z86" s="26">
        <f>IF(OR(J86="",L86=""),"",IF(AND(J86&lt;=EOMONTH(Z$4,0),L86&gt;=Z$4),1,""))</f>
        <v/>
      </c>
      <c r="AA86" s="26">
        <f>IF(OR(J86="",L86=""),"",IF(AND(J86&lt;=EOMONTH(AA$4,0),L86&gt;=AA$4),1,""))</f>
        <v/>
      </c>
      <c r="AB86" s="26">
        <f>IF(OR(J86="",L86=""),"",IF(AND(J86&lt;=EOMONTH(AB$4,0),L86&gt;=AB$4),1,""))</f>
        <v/>
      </c>
      <c r="AC86" s="26">
        <f>IF(OR(J86="",L86=""),"",IF(AND(J86&lt;=EOMONTH(AC$4,0),L86&gt;=AC$4),1,""))</f>
        <v/>
      </c>
      <c r="AD86" s="26">
        <f>IF(OR(J86="",L86=""),"",IF(AND(J86&lt;=EOMONTH(AD$4,0),L86&gt;=AD$4),1,""))</f>
        <v/>
      </c>
      <c r="AE86" s="26">
        <f>IF(OR(J86="",L86=""),"",IF(AND(J86&lt;=EOMONTH(AE$4,0),L86&gt;=AE$4),1,""))</f>
        <v/>
      </c>
      <c r="AF86" s="26">
        <f>IF(OR(J86="",L86=""),"",IF(AND(J86&lt;=EOMONTH(AF$4,0),L86&gt;=AF$4),1,""))</f>
        <v/>
      </c>
      <c r="AG86" s="26">
        <f>IF(OR(J86="",L86=""),"",IF(AND(J86&lt;=EOMONTH(AG$4,0),L86&gt;=AG$4),1,""))</f>
        <v/>
      </c>
      <c r="AH86" s="26">
        <f>IF(OR(J86="",L86=""),"",IF(AND(J86&lt;=EOMONTH(AH$4,0),L86&gt;=AH$4),1,""))</f>
        <v/>
      </c>
      <c r="AI86" s="26">
        <f>IF(OR(J86="",L86=""),"",IF(AND(J86&lt;=EOMONTH(AI$4,0),L86&gt;=AI$4),1,""))</f>
        <v/>
      </c>
      <c r="AJ86" s="26">
        <f>IF(OR(J86="",L86=""),"",IF(AND(J86&lt;=EOMONTH(AJ$4,0),L86&gt;=AJ$4),1,""))</f>
        <v/>
      </c>
      <c r="AK86" s="26">
        <f>IF(OR(J86="",L86=""),"",IF(AND(J86&lt;=EOMONTH(AK$4,0),L86&gt;=AK$4),1,""))</f>
        <v/>
      </c>
      <c r="AL86" s="26">
        <f>IF(OR(J86="",L86=""),"",IF(AND(J86&lt;=EOMONTH(AL$4,0),L86&gt;=AL$4),1,""))</f>
        <v/>
      </c>
      <c r="AM86" s="26">
        <f>IF(OR(J86="",L86=""),"",IF(AND(J86&lt;=EOMONTH(AM$4,0),L86&gt;=AM$4),1,""))</f>
        <v/>
      </c>
      <c r="AN86" s="26">
        <f>IF(OR(J86="",L86=""),"",IF(AND(J86&lt;=EOMONTH(AN$4,0),L86&gt;=AN$4),1,""))</f>
        <v/>
      </c>
      <c r="AO86" s="26">
        <f>IF(OR(J86="",L86=""),"",IF(AND(J86&lt;=EOMONTH(AO$4,0),L86&gt;=AO$4),1,""))</f>
        <v/>
      </c>
      <c r="AP86" s="26">
        <f>IF(OR(J86="",L86=""),"",IF(AND(J86&lt;=EOMONTH(AP$4,0),L86&gt;=AP$4),1,""))</f>
        <v/>
      </c>
      <c r="AQ86" s="26">
        <f>IF(OR(J86="",L86=""),"",IF(AND(J86&lt;=EOMONTH(AQ$4,0),L86&gt;=AQ$4),1,""))</f>
        <v/>
      </c>
      <c r="AR86" s="26">
        <f>IF(OR(J86="",L86=""),"",IF(AND(J86&lt;=EOMONTH(AR$4,0),L86&gt;=AR$4),1,""))</f>
        <v/>
      </c>
      <c r="AS86" s="26">
        <f>IF(OR(J86="",L86=""),"",IF(AND(J86&lt;=EOMONTH(AS$4,0),L86&gt;=AS$4),1,""))</f>
        <v/>
      </c>
      <c r="AT86" s="26">
        <f>IF(OR(J86="",L86=""),"",IF(AND(J86&lt;=EOMONTH(AT$4,0),L86&gt;=AT$4),1,""))</f>
        <v/>
      </c>
      <c r="AU86" s="26">
        <f>IF(OR(J86="",L86=""),"",IF(AND(J86&lt;=EOMONTH(AU$4,0),L86&gt;=AU$4),1,""))</f>
        <v/>
      </c>
      <c r="AV86" s="26">
        <f>IF(OR(J86="",L86=""),"",IF(AND(J86&lt;=EOMONTH(AV$4,0),L86&gt;=AV$4),1,""))</f>
        <v/>
      </c>
      <c r="AW86" s="26">
        <f>IF(OR(J86="",L86=""),"",IF(AND(J86&lt;=EOMONTH(AW$4,0),L86&gt;=AW$4),1,""))</f>
        <v/>
      </c>
      <c r="AX86" s="26">
        <f>IF(OR(J86="",L86=""),"",IF(AND(J86&lt;=EOMONTH(AX$4,0),L86&gt;=AX$4),1,""))</f>
        <v/>
      </c>
      <c r="AY86" s="26">
        <f>IF(OR(J86="",L86=""),"",IF(AND(J86&lt;=EOMONTH(AY$4,0),L86&gt;=AY$4),1,""))</f>
        <v/>
      </c>
      <c r="AZ86" s="26">
        <f>IF(OR(J86="",L86=""),"",IF(AND(J86&lt;=EOMONTH(AZ$4,0),L86&gt;=AZ$4),1,""))</f>
        <v/>
      </c>
      <c r="BA86" s="26">
        <f>IF(OR(J86="",L86=""),"",IF(AND(J86&lt;=EOMONTH(BA$4,0),L86&gt;=BA$4),1,""))</f>
        <v/>
      </c>
      <c r="BB86" s="26">
        <f>IF(OR(J86="",L86=""),"",IF(AND(J86&lt;=EOMONTH(BB$4,0),L86&gt;=BB$4),1,""))</f>
        <v/>
      </c>
    </row>
    <row r="87">
      <c r="A87" s="27" t="n"/>
      <c r="B87" s="28" t="n"/>
      <c r="C87" s="29" t="n"/>
      <c r="D87" s="30">
        <f>IF(E87="","","CWA-"&amp;MID(E87,5,4))</f>
        <v/>
      </c>
      <c r="E87" s="29" t="n"/>
      <c r="F87" s="31" t="n"/>
      <c r="G87" s="29" t="n"/>
      <c r="H87" s="28" t="n"/>
      <c r="I87" s="29" t="n"/>
      <c r="J87" s="32" t="n"/>
      <c r="K87" s="28" t="n"/>
      <c r="L87" s="33">
        <f>IF(OR(J87="",K87=""),"",J87+7*K87-1)</f>
        <v/>
      </c>
      <c r="M87" s="33">
        <f>IF(J87="","",J87-7*$E$3)</f>
        <v/>
      </c>
      <c r="N87" s="33">
        <f>IF(J87="","",J87-7*$H$3)</f>
        <v/>
      </c>
      <c r="O87" s="33">
        <f>IF(J87="","",J87-1*$K$3)</f>
        <v/>
      </c>
      <c r="P87" s="30">
        <f>IF(OR(E87="",I87="",I87="—"),IF(E87="","","OK"),IFERROR(IF(INDEX($L$6:$L$155,MATCH(I87,$E$6:$E$155,0))&gt;=J87,"Conflicto con predecesor","OK"),"Predecesor no encontrado"))</f>
        <v/>
      </c>
      <c r="Q87" s="29" t="n"/>
      <c r="R87" s="31" t="n"/>
      <c r="S87" s="26">
        <f>IF(OR(J87="",L87=""),"",IF(AND(J87&lt;=EOMONTH(S$4,0),L87&gt;=S$4),1,""))</f>
        <v/>
      </c>
      <c r="T87" s="26">
        <f>IF(OR(J87="",L87=""),"",IF(AND(J87&lt;=EOMONTH(T$4,0),L87&gt;=T$4),1,""))</f>
        <v/>
      </c>
      <c r="U87" s="26">
        <f>IF(OR(J87="",L87=""),"",IF(AND(J87&lt;=EOMONTH(U$4,0),L87&gt;=U$4),1,""))</f>
        <v/>
      </c>
      <c r="V87" s="26">
        <f>IF(OR(J87="",L87=""),"",IF(AND(J87&lt;=EOMONTH(V$4,0),L87&gt;=V$4),1,""))</f>
        <v/>
      </c>
      <c r="W87" s="26">
        <f>IF(OR(J87="",L87=""),"",IF(AND(J87&lt;=EOMONTH(W$4,0),L87&gt;=W$4),1,""))</f>
        <v/>
      </c>
      <c r="X87" s="26">
        <f>IF(OR(J87="",L87=""),"",IF(AND(J87&lt;=EOMONTH(X$4,0),L87&gt;=X$4),1,""))</f>
        <v/>
      </c>
      <c r="Y87" s="26">
        <f>IF(OR(J87="",L87=""),"",IF(AND(J87&lt;=EOMONTH(Y$4,0),L87&gt;=Y$4),1,""))</f>
        <v/>
      </c>
      <c r="Z87" s="26">
        <f>IF(OR(J87="",L87=""),"",IF(AND(J87&lt;=EOMONTH(Z$4,0),L87&gt;=Z$4),1,""))</f>
        <v/>
      </c>
      <c r="AA87" s="26">
        <f>IF(OR(J87="",L87=""),"",IF(AND(J87&lt;=EOMONTH(AA$4,0),L87&gt;=AA$4),1,""))</f>
        <v/>
      </c>
      <c r="AB87" s="26">
        <f>IF(OR(J87="",L87=""),"",IF(AND(J87&lt;=EOMONTH(AB$4,0),L87&gt;=AB$4),1,""))</f>
        <v/>
      </c>
      <c r="AC87" s="26">
        <f>IF(OR(J87="",L87=""),"",IF(AND(J87&lt;=EOMONTH(AC$4,0),L87&gt;=AC$4),1,""))</f>
        <v/>
      </c>
      <c r="AD87" s="26">
        <f>IF(OR(J87="",L87=""),"",IF(AND(J87&lt;=EOMONTH(AD$4,0),L87&gt;=AD$4),1,""))</f>
        <v/>
      </c>
      <c r="AE87" s="26">
        <f>IF(OR(J87="",L87=""),"",IF(AND(J87&lt;=EOMONTH(AE$4,0),L87&gt;=AE$4),1,""))</f>
        <v/>
      </c>
      <c r="AF87" s="26">
        <f>IF(OR(J87="",L87=""),"",IF(AND(J87&lt;=EOMONTH(AF$4,0),L87&gt;=AF$4),1,""))</f>
        <v/>
      </c>
      <c r="AG87" s="26">
        <f>IF(OR(J87="",L87=""),"",IF(AND(J87&lt;=EOMONTH(AG$4,0),L87&gt;=AG$4),1,""))</f>
        <v/>
      </c>
      <c r="AH87" s="26">
        <f>IF(OR(J87="",L87=""),"",IF(AND(J87&lt;=EOMONTH(AH$4,0),L87&gt;=AH$4),1,""))</f>
        <v/>
      </c>
      <c r="AI87" s="26">
        <f>IF(OR(J87="",L87=""),"",IF(AND(J87&lt;=EOMONTH(AI$4,0),L87&gt;=AI$4),1,""))</f>
        <v/>
      </c>
      <c r="AJ87" s="26">
        <f>IF(OR(J87="",L87=""),"",IF(AND(J87&lt;=EOMONTH(AJ$4,0),L87&gt;=AJ$4),1,""))</f>
        <v/>
      </c>
      <c r="AK87" s="26">
        <f>IF(OR(J87="",L87=""),"",IF(AND(J87&lt;=EOMONTH(AK$4,0),L87&gt;=AK$4),1,""))</f>
        <v/>
      </c>
      <c r="AL87" s="26">
        <f>IF(OR(J87="",L87=""),"",IF(AND(J87&lt;=EOMONTH(AL$4,0),L87&gt;=AL$4),1,""))</f>
        <v/>
      </c>
      <c r="AM87" s="26">
        <f>IF(OR(J87="",L87=""),"",IF(AND(J87&lt;=EOMONTH(AM$4,0),L87&gt;=AM$4),1,""))</f>
        <v/>
      </c>
      <c r="AN87" s="26">
        <f>IF(OR(J87="",L87=""),"",IF(AND(J87&lt;=EOMONTH(AN$4,0),L87&gt;=AN$4),1,""))</f>
        <v/>
      </c>
      <c r="AO87" s="26">
        <f>IF(OR(J87="",L87=""),"",IF(AND(J87&lt;=EOMONTH(AO$4,0),L87&gt;=AO$4),1,""))</f>
        <v/>
      </c>
      <c r="AP87" s="26">
        <f>IF(OR(J87="",L87=""),"",IF(AND(J87&lt;=EOMONTH(AP$4,0),L87&gt;=AP$4),1,""))</f>
        <v/>
      </c>
      <c r="AQ87" s="26">
        <f>IF(OR(J87="",L87=""),"",IF(AND(J87&lt;=EOMONTH(AQ$4,0),L87&gt;=AQ$4),1,""))</f>
        <v/>
      </c>
      <c r="AR87" s="26">
        <f>IF(OR(J87="",L87=""),"",IF(AND(J87&lt;=EOMONTH(AR$4,0),L87&gt;=AR$4),1,""))</f>
        <v/>
      </c>
      <c r="AS87" s="26">
        <f>IF(OR(J87="",L87=""),"",IF(AND(J87&lt;=EOMONTH(AS$4,0),L87&gt;=AS$4),1,""))</f>
        <v/>
      </c>
      <c r="AT87" s="26">
        <f>IF(OR(J87="",L87=""),"",IF(AND(J87&lt;=EOMONTH(AT$4,0),L87&gt;=AT$4),1,""))</f>
        <v/>
      </c>
      <c r="AU87" s="26">
        <f>IF(OR(J87="",L87=""),"",IF(AND(J87&lt;=EOMONTH(AU$4,0),L87&gt;=AU$4),1,""))</f>
        <v/>
      </c>
      <c r="AV87" s="26">
        <f>IF(OR(J87="",L87=""),"",IF(AND(J87&lt;=EOMONTH(AV$4,0),L87&gt;=AV$4),1,""))</f>
        <v/>
      </c>
      <c r="AW87" s="26">
        <f>IF(OR(J87="",L87=""),"",IF(AND(J87&lt;=EOMONTH(AW$4,0),L87&gt;=AW$4),1,""))</f>
        <v/>
      </c>
      <c r="AX87" s="26">
        <f>IF(OR(J87="",L87=""),"",IF(AND(J87&lt;=EOMONTH(AX$4,0),L87&gt;=AX$4),1,""))</f>
        <v/>
      </c>
      <c r="AY87" s="26">
        <f>IF(OR(J87="",L87=""),"",IF(AND(J87&lt;=EOMONTH(AY$4,0),L87&gt;=AY$4),1,""))</f>
        <v/>
      </c>
      <c r="AZ87" s="26">
        <f>IF(OR(J87="",L87=""),"",IF(AND(J87&lt;=EOMONTH(AZ$4,0),L87&gt;=AZ$4),1,""))</f>
        <v/>
      </c>
      <c r="BA87" s="26">
        <f>IF(OR(J87="",L87=""),"",IF(AND(J87&lt;=EOMONTH(BA$4,0),L87&gt;=BA$4),1,""))</f>
        <v/>
      </c>
      <c r="BB87" s="26">
        <f>IF(OR(J87="",L87=""),"",IF(AND(J87&lt;=EOMONTH(BB$4,0),L87&gt;=BB$4),1,""))</f>
        <v/>
      </c>
    </row>
    <row r="88">
      <c r="A88" s="27" t="n"/>
      <c r="B88" s="28" t="n"/>
      <c r="C88" s="29" t="n"/>
      <c r="D88" s="30">
        <f>IF(E88="","","CWA-"&amp;MID(E88,5,4))</f>
        <v/>
      </c>
      <c r="E88" s="29" t="n"/>
      <c r="F88" s="31" t="n"/>
      <c r="G88" s="29" t="n"/>
      <c r="H88" s="28" t="n"/>
      <c r="I88" s="29" t="n"/>
      <c r="J88" s="32" t="n"/>
      <c r="K88" s="28" t="n"/>
      <c r="L88" s="33">
        <f>IF(OR(J88="",K88=""),"",J88+7*K88-1)</f>
        <v/>
      </c>
      <c r="M88" s="33">
        <f>IF(J88="","",J88-7*$E$3)</f>
        <v/>
      </c>
      <c r="N88" s="33">
        <f>IF(J88="","",J88-7*$H$3)</f>
        <v/>
      </c>
      <c r="O88" s="33">
        <f>IF(J88="","",J88-1*$K$3)</f>
        <v/>
      </c>
      <c r="P88" s="30">
        <f>IF(OR(E88="",I88="",I88="—"),IF(E88="","","OK"),IFERROR(IF(INDEX($L$6:$L$155,MATCH(I88,$E$6:$E$155,0))&gt;=J88,"Conflicto con predecesor","OK"),"Predecesor no encontrado"))</f>
        <v/>
      </c>
      <c r="Q88" s="29" t="n"/>
      <c r="R88" s="31" t="n"/>
      <c r="S88" s="26">
        <f>IF(OR(J88="",L88=""),"",IF(AND(J88&lt;=EOMONTH(S$4,0),L88&gt;=S$4),1,""))</f>
        <v/>
      </c>
      <c r="T88" s="26">
        <f>IF(OR(J88="",L88=""),"",IF(AND(J88&lt;=EOMONTH(T$4,0),L88&gt;=T$4),1,""))</f>
        <v/>
      </c>
      <c r="U88" s="26">
        <f>IF(OR(J88="",L88=""),"",IF(AND(J88&lt;=EOMONTH(U$4,0),L88&gt;=U$4),1,""))</f>
        <v/>
      </c>
      <c r="V88" s="26">
        <f>IF(OR(J88="",L88=""),"",IF(AND(J88&lt;=EOMONTH(V$4,0),L88&gt;=V$4),1,""))</f>
        <v/>
      </c>
      <c r="W88" s="26">
        <f>IF(OR(J88="",L88=""),"",IF(AND(J88&lt;=EOMONTH(W$4,0),L88&gt;=W$4),1,""))</f>
        <v/>
      </c>
      <c r="X88" s="26">
        <f>IF(OR(J88="",L88=""),"",IF(AND(J88&lt;=EOMONTH(X$4,0),L88&gt;=X$4),1,""))</f>
        <v/>
      </c>
      <c r="Y88" s="26">
        <f>IF(OR(J88="",L88=""),"",IF(AND(J88&lt;=EOMONTH(Y$4,0),L88&gt;=Y$4),1,""))</f>
        <v/>
      </c>
      <c r="Z88" s="26">
        <f>IF(OR(J88="",L88=""),"",IF(AND(J88&lt;=EOMONTH(Z$4,0),L88&gt;=Z$4),1,""))</f>
        <v/>
      </c>
      <c r="AA88" s="26">
        <f>IF(OR(J88="",L88=""),"",IF(AND(J88&lt;=EOMONTH(AA$4,0),L88&gt;=AA$4),1,""))</f>
        <v/>
      </c>
      <c r="AB88" s="26">
        <f>IF(OR(J88="",L88=""),"",IF(AND(J88&lt;=EOMONTH(AB$4,0),L88&gt;=AB$4),1,""))</f>
        <v/>
      </c>
      <c r="AC88" s="26">
        <f>IF(OR(J88="",L88=""),"",IF(AND(J88&lt;=EOMONTH(AC$4,0),L88&gt;=AC$4),1,""))</f>
        <v/>
      </c>
      <c r="AD88" s="26">
        <f>IF(OR(J88="",L88=""),"",IF(AND(J88&lt;=EOMONTH(AD$4,0),L88&gt;=AD$4),1,""))</f>
        <v/>
      </c>
      <c r="AE88" s="26">
        <f>IF(OR(J88="",L88=""),"",IF(AND(J88&lt;=EOMONTH(AE$4,0),L88&gt;=AE$4),1,""))</f>
        <v/>
      </c>
      <c r="AF88" s="26">
        <f>IF(OR(J88="",L88=""),"",IF(AND(J88&lt;=EOMONTH(AF$4,0),L88&gt;=AF$4),1,""))</f>
        <v/>
      </c>
      <c r="AG88" s="26">
        <f>IF(OR(J88="",L88=""),"",IF(AND(J88&lt;=EOMONTH(AG$4,0),L88&gt;=AG$4),1,""))</f>
        <v/>
      </c>
      <c r="AH88" s="26">
        <f>IF(OR(J88="",L88=""),"",IF(AND(J88&lt;=EOMONTH(AH$4,0),L88&gt;=AH$4),1,""))</f>
        <v/>
      </c>
      <c r="AI88" s="26">
        <f>IF(OR(J88="",L88=""),"",IF(AND(J88&lt;=EOMONTH(AI$4,0),L88&gt;=AI$4),1,""))</f>
        <v/>
      </c>
      <c r="AJ88" s="26">
        <f>IF(OR(J88="",L88=""),"",IF(AND(J88&lt;=EOMONTH(AJ$4,0),L88&gt;=AJ$4),1,""))</f>
        <v/>
      </c>
      <c r="AK88" s="26">
        <f>IF(OR(J88="",L88=""),"",IF(AND(J88&lt;=EOMONTH(AK$4,0),L88&gt;=AK$4),1,""))</f>
        <v/>
      </c>
      <c r="AL88" s="26">
        <f>IF(OR(J88="",L88=""),"",IF(AND(J88&lt;=EOMONTH(AL$4,0),L88&gt;=AL$4),1,""))</f>
        <v/>
      </c>
      <c r="AM88" s="26">
        <f>IF(OR(J88="",L88=""),"",IF(AND(J88&lt;=EOMONTH(AM$4,0),L88&gt;=AM$4),1,""))</f>
        <v/>
      </c>
      <c r="AN88" s="26">
        <f>IF(OR(J88="",L88=""),"",IF(AND(J88&lt;=EOMONTH(AN$4,0),L88&gt;=AN$4),1,""))</f>
        <v/>
      </c>
      <c r="AO88" s="26">
        <f>IF(OR(J88="",L88=""),"",IF(AND(J88&lt;=EOMONTH(AO$4,0),L88&gt;=AO$4),1,""))</f>
        <v/>
      </c>
      <c r="AP88" s="26">
        <f>IF(OR(J88="",L88=""),"",IF(AND(J88&lt;=EOMONTH(AP$4,0),L88&gt;=AP$4),1,""))</f>
        <v/>
      </c>
      <c r="AQ88" s="26">
        <f>IF(OR(J88="",L88=""),"",IF(AND(J88&lt;=EOMONTH(AQ$4,0),L88&gt;=AQ$4),1,""))</f>
        <v/>
      </c>
      <c r="AR88" s="26">
        <f>IF(OR(J88="",L88=""),"",IF(AND(J88&lt;=EOMONTH(AR$4,0),L88&gt;=AR$4),1,""))</f>
        <v/>
      </c>
      <c r="AS88" s="26">
        <f>IF(OR(J88="",L88=""),"",IF(AND(J88&lt;=EOMONTH(AS$4,0),L88&gt;=AS$4),1,""))</f>
        <v/>
      </c>
      <c r="AT88" s="26">
        <f>IF(OR(J88="",L88=""),"",IF(AND(J88&lt;=EOMONTH(AT$4,0),L88&gt;=AT$4),1,""))</f>
        <v/>
      </c>
      <c r="AU88" s="26">
        <f>IF(OR(J88="",L88=""),"",IF(AND(J88&lt;=EOMONTH(AU$4,0),L88&gt;=AU$4),1,""))</f>
        <v/>
      </c>
      <c r="AV88" s="26">
        <f>IF(OR(J88="",L88=""),"",IF(AND(J88&lt;=EOMONTH(AV$4,0),L88&gt;=AV$4),1,""))</f>
        <v/>
      </c>
      <c r="AW88" s="26">
        <f>IF(OR(J88="",L88=""),"",IF(AND(J88&lt;=EOMONTH(AW$4,0),L88&gt;=AW$4),1,""))</f>
        <v/>
      </c>
      <c r="AX88" s="26">
        <f>IF(OR(J88="",L88=""),"",IF(AND(J88&lt;=EOMONTH(AX$4,0),L88&gt;=AX$4),1,""))</f>
        <v/>
      </c>
      <c r="AY88" s="26">
        <f>IF(OR(J88="",L88=""),"",IF(AND(J88&lt;=EOMONTH(AY$4,0),L88&gt;=AY$4),1,""))</f>
        <v/>
      </c>
      <c r="AZ88" s="26">
        <f>IF(OR(J88="",L88=""),"",IF(AND(J88&lt;=EOMONTH(AZ$4,0),L88&gt;=AZ$4),1,""))</f>
        <v/>
      </c>
      <c r="BA88" s="26">
        <f>IF(OR(J88="",L88=""),"",IF(AND(J88&lt;=EOMONTH(BA$4,0),L88&gt;=BA$4),1,""))</f>
        <v/>
      </c>
      <c r="BB88" s="26">
        <f>IF(OR(J88="",L88=""),"",IF(AND(J88&lt;=EOMONTH(BB$4,0),L88&gt;=BB$4),1,""))</f>
        <v/>
      </c>
    </row>
    <row r="89">
      <c r="A89" s="27" t="n"/>
      <c r="B89" s="28" t="n"/>
      <c r="C89" s="29" t="n"/>
      <c r="D89" s="30">
        <f>IF(E89="","","CWA-"&amp;MID(E89,5,4))</f>
        <v/>
      </c>
      <c r="E89" s="29" t="n"/>
      <c r="F89" s="31" t="n"/>
      <c r="G89" s="29" t="n"/>
      <c r="H89" s="28" t="n"/>
      <c r="I89" s="29" t="n"/>
      <c r="J89" s="32" t="n"/>
      <c r="K89" s="28" t="n"/>
      <c r="L89" s="33">
        <f>IF(OR(J89="",K89=""),"",J89+7*K89-1)</f>
        <v/>
      </c>
      <c r="M89" s="33">
        <f>IF(J89="","",J89-7*$E$3)</f>
        <v/>
      </c>
      <c r="N89" s="33">
        <f>IF(J89="","",J89-7*$H$3)</f>
        <v/>
      </c>
      <c r="O89" s="33">
        <f>IF(J89="","",J89-1*$K$3)</f>
        <v/>
      </c>
      <c r="P89" s="30">
        <f>IF(OR(E89="",I89="",I89="—"),IF(E89="","","OK"),IFERROR(IF(INDEX($L$6:$L$155,MATCH(I89,$E$6:$E$155,0))&gt;=J89,"Conflicto con predecesor","OK"),"Predecesor no encontrado"))</f>
        <v/>
      </c>
      <c r="Q89" s="29" t="n"/>
      <c r="R89" s="31" t="n"/>
      <c r="S89" s="26">
        <f>IF(OR(J89="",L89=""),"",IF(AND(J89&lt;=EOMONTH(S$4,0),L89&gt;=S$4),1,""))</f>
        <v/>
      </c>
      <c r="T89" s="26">
        <f>IF(OR(J89="",L89=""),"",IF(AND(J89&lt;=EOMONTH(T$4,0),L89&gt;=T$4),1,""))</f>
        <v/>
      </c>
      <c r="U89" s="26">
        <f>IF(OR(J89="",L89=""),"",IF(AND(J89&lt;=EOMONTH(U$4,0),L89&gt;=U$4),1,""))</f>
        <v/>
      </c>
      <c r="V89" s="26">
        <f>IF(OR(J89="",L89=""),"",IF(AND(J89&lt;=EOMONTH(V$4,0),L89&gt;=V$4),1,""))</f>
        <v/>
      </c>
      <c r="W89" s="26">
        <f>IF(OR(J89="",L89=""),"",IF(AND(J89&lt;=EOMONTH(W$4,0),L89&gt;=W$4),1,""))</f>
        <v/>
      </c>
      <c r="X89" s="26">
        <f>IF(OR(J89="",L89=""),"",IF(AND(J89&lt;=EOMONTH(X$4,0),L89&gt;=X$4),1,""))</f>
        <v/>
      </c>
      <c r="Y89" s="26">
        <f>IF(OR(J89="",L89=""),"",IF(AND(J89&lt;=EOMONTH(Y$4,0),L89&gt;=Y$4),1,""))</f>
        <v/>
      </c>
      <c r="Z89" s="26">
        <f>IF(OR(J89="",L89=""),"",IF(AND(J89&lt;=EOMONTH(Z$4,0),L89&gt;=Z$4),1,""))</f>
        <v/>
      </c>
      <c r="AA89" s="26">
        <f>IF(OR(J89="",L89=""),"",IF(AND(J89&lt;=EOMONTH(AA$4,0),L89&gt;=AA$4),1,""))</f>
        <v/>
      </c>
      <c r="AB89" s="26">
        <f>IF(OR(J89="",L89=""),"",IF(AND(J89&lt;=EOMONTH(AB$4,0),L89&gt;=AB$4),1,""))</f>
        <v/>
      </c>
      <c r="AC89" s="26">
        <f>IF(OR(J89="",L89=""),"",IF(AND(J89&lt;=EOMONTH(AC$4,0),L89&gt;=AC$4),1,""))</f>
        <v/>
      </c>
      <c r="AD89" s="26">
        <f>IF(OR(J89="",L89=""),"",IF(AND(J89&lt;=EOMONTH(AD$4,0),L89&gt;=AD$4),1,""))</f>
        <v/>
      </c>
      <c r="AE89" s="26">
        <f>IF(OR(J89="",L89=""),"",IF(AND(J89&lt;=EOMONTH(AE$4,0),L89&gt;=AE$4),1,""))</f>
        <v/>
      </c>
      <c r="AF89" s="26">
        <f>IF(OR(J89="",L89=""),"",IF(AND(J89&lt;=EOMONTH(AF$4,0),L89&gt;=AF$4),1,""))</f>
        <v/>
      </c>
      <c r="AG89" s="26">
        <f>IF(OR(J89="",L89=""),"",IF(AND(J89&lt;=EOMONTH(AG$4,0),L89&gt;=AG$4),1,""))</f>
        <v/>
      </c>
      <c r="AH89" s="26">
        <f>IF(OR(J89="",L89=""),"",IF(AND(J89&lt;=EOMONTH(AH$4,0),L89&gt;=AH$4),1,""))</f>
        <v/>
      </c>
      <c r="AI89" s="26">
        <f>IF(OR(J89="",L89=""),"",IF(AND(J89&lt;=EOMONTH(AI$4,0),L89&gt;=AI$4),1,""))</f>
        <v/>
      </c>
      <c r="AJ89" s="26">
        <f>IF(OR(J89="",L89=""),"",IF(AND(J89&lt;=EOMONTH(AJ$4,0),L89&gt;=AJ$4),1,""))</f>
        <v/>
      </c>
      <c r="AK89" s="26">
        <f>IF(OR(J89="",L89=""),"",IF(AND(J89&lt;=EOMONTH(AK$4,0),L89&gt;=AK$4),1,""))</f>
        <v/>
      </c>
      <c r="AL89" s="26">
        <f>IF(OR(J89="",L89=""),"",IF(AND(J89&lt;=EOMONTH(AL$4,0),L89&gt;=AL$4),1,""))</f>
        <v/>
      </c>
      <c r="AM89" s="26">
        <f>IF(OR(J89="",L89=""),"",IF(AND(J89&lt;=EOMONTH(AM$4,0),L89&gt;=AM$4),1,""))</f>
        <v/>
      </c>
      <c r="AN89" s="26">
        <f>IF(OR(J89="",L89=""),"",IF(AND(J89&lt;=EOMONTH(AN$4,0),L89&gt;=AN$4),1,""))</f>
        <v/>
      </c>
      <c r="AO89" s="26">
        <f>IF(OR(J89="",L89=""),"",IF(AND(J89&lt;=EOMONTH(AO$4,0),L89&gt;=AO$4),1,""))</f>
        <v/>
      </c>
      <c r="AP89" s="26">
        <f>IF(OR(J89="",L89=""),"",IF(AND(J89&lt;=EOMONTH(AP$4,0),L89&gt;=AP$4),1,""))</f>
        <v/>
      </c>
      <c r="AQ89" s="26">
        <f>IF(OR(J89="",L89=""),"",IF(AND(J89&lt;=EOMONTH(AQ$4,0),L89&gt;=AQ$4),1,""))</f>
        <v/>
      </c>
      <c r="AR89" s="26">
        <f>IF(OR(J89="",L89=""),"",IF(AND(J89&lt;=EOMONTH(AR$4,0),L89&gt;=AR$4),1,""))</f>
        <v/>
      </c>
      <c r="AS89" s="26">
        <f>IF(OR(J89="",L89=""),"",IF(AND(J89&lt;=EOMONTH(AS$4,0),L89&gt;=AS$4),1,""))</f>
        <v/>
      </c>
      <c r="AT89" s="26">
        <f>IF(OR(J89="",L89=""),"",IF(AND(J89&lt;=EOMONTH(AT$4,0),L89&gt;=AT$4),1,""))</f>
        <v/>
      </c>
      <c r="AU89" s="26">
        <f>IF(OR(J89="",L89=""),"",IF(AND(J89&lt;=EOMONTH(AU$4,0),L89&gt;=AU$4),1,""))</f>
        <v/>
      </c>
      <c r="AV89" s="26">
        <f>IF(OR(J89="",L89=""),"",IF(AND(J89&lt;=EOMONTH(AV$4,0),L89&gt;=AV$4),1,""))</f>
        <v/>
      </c>
      <c r="AW89" s="26">
        <f>IF(OR(J89="",L89=""),"",IF(AND(J89&lt;=EOMONTH(AW$4,0),L89&gt;=AW$4),1,""))</f>
        <v/>
      </c>
      <c r="AX89" s="26">
        <f>IF(OR(J89="",L89=""),"",IF(AND(J89&lt;=EOMONTH(AX$4,0),L89&gt;=AX$4),1,""))</f>
        <v/>
      </c>
      <c r="AY89" s="26">
        <f>IF(OR(J89="",L89=""),"",IF(AND(J89&lt;=EOMONTH(AY$4,0),L89&gt;=AY$4),1,""))</f>
        <v/>
      </c>
      <c r="AZ89" s="26">
        <f>IF(OR(J89="",L89=""),"",IF(AND(J89&lt;=EOMONTH(AZ$4,0),L89&gt;=AZ$4),1,""))</f>
        <v/>
      </c>
      <c r="BA89" s="26">
        <f>IF(OR(J89="",L89=""),"",IF(AND(J89&lt;=EOMONTH(BA$4,0),L89&gt;=BA$4),1,""))</f>
        <v/>
      </c>
      <c r="BB89" s="26">
        <f>IF(OR(J89="",L89=""),"",IF(AND(J89&lt;=EOMONTH(BB$4,0),L89&gt;=BB$4),1,""))</f>
        <v/>
      </c>
    </row>
    <row r="90">
      <c r="A90" s="27" t="n"/>
      <c r="B90" s="28" t="n"/>
      <c r="C90" s="29" t="n"/>
      <c r="D90" s="30">
        <f>IF(E90="","","CWA-"&amp;MID(E90,5,4))</f>
        <v/>
      </c>
      <c r="E90" s="29" t="n"/>
      <c r="F90" s="31" t="n"/>
      <c r="G90" s="29" t="n"/>
      <c r="H90" s="28" t="n"/>
      <c r="I90" s="29" t="n"/>
      <c r="J90" s="32" t="n"/>
      <c r="K90" s="28" t="n"/>
      <c r="L90" s="33">
        <f>IF(OR(J90="",K90=""),"",J90+7*K90-1)</f>
        <v/>
      </c>
      <c r="M90" s="33">
        <f>IF(J90="","",J90-7*$E$3)</f>
        <v/>
      </c>
      <c r="N90" s="33">
        <f>IF(J90="","",J90-7*$H$3)</f>
        <v/>
      </c>
      <c r="O90" s="33">
        <f>IF(J90="","",J90-1*$K$3)</f>
        <v/>
      </c>
      <c r="P90" s="30">
        <f>IF(OR(E90="",I90="",I90="—"),IF(E90="","","OK"),IFERROR(IF(INDEX($L$6:$L$155,MATCH(I90,$E$6:$E$155,0))&gt;=J90,"Conflicto con predecesor","OK"),"Predecesor no encontrado"))</f>
        <v/>
      </c>
      <c r="Q90" s="29" t="n"/>
      <c r="R90" s="31" t="n"/>
      <c r="S90" s="26">
        <f>IF(OR(J90="",L90=""),"",IF(AND(J90&lt;=EOMONTH(S$4,0),L90&gt;=S$4),1,""))</f>
        <v/>
      </c>
      <c r="T90" s="26">
        <f>IF(OR(J90="",L90=""),"",IF(AND(J90&lt;=EOMONTH(T$4,0),L90&gt;=T$4),1,""))</f>
        <v/>
      </c>
      <c r="U90" s="26">
        <f>IF(OR(J90="",L90=""),"",IF(AND(J90&lt;=EOMONTH(U$4,0),L90&gt;=U$4),1,""))</f>
        <v/>
      </c>
      <c r="V90" s="26">
        <f>IF(OR(J90="",L90=""),"",IF(AND(J90&lt;=EOMONTH(V$4,0),L90&gt;=V$4),1,""))</f>
        <v/>
      </c>
      <c r="W90" s="26">
        <f>IF(OR(J90="",L90=""),"",IF(AND(J90&lt;=EOMONTH(W$4,0),L90&gt;=W$4),1,""))</f>
        <v/>
      </c>
      <c r="X90" s="26">
        <f>IF(OR(J90="",L90=""),"",IF(AND(J90&lt;=EOMONTH(X$4,0),L90&gt;=X$4),1,""))</f>
        <v/>
      </c>
      <c r="Y90" s="26">
        <f>IF(OR(J90="",L90=""),"",IF(AND(J90&lt;=EOMONTH(Y$4,0),L90&gt;=Y$4),1,""))</f>
        <v/>
      </c>
      <c r="Z90" s="26">
        <f>IF(OR(J90="",L90=""),"",IF(AND(J90&lt;=EOMONTH(Z$4,0),L90&gt;=Z$4),1,""))</f>
        <v/>
      </c>
      <c r="AA90" s="26">
        <f>IF(OR(J90="",L90=""),"",IF(AND(J90&lt;=EOMONTH(AA$4,0),L90&gt;=AA$4),1,""))</f>
        <v/>
      </c>
      <c r="AB90" s="26">
        <f>IF(OR(J90="",L90=""),"",IF(AND(J90&lt;=EOMONTH(AB$4,0),L90&gt;=AB$4),1,""))</f>
        <v/>
      </c>
      <c r="AC90" s="26">
        <f>IF(OR(J90="",L90=""),"",IF(AND(J90&lt;=EOMONTH(AC$4,0),L90&gt;=AC$4),1,""))</f>
        <v/>
      </c>
      <c r="AD90" s="26">
        <f>IF(OR(J90="",L90=""),"",IF(AND(J90&lt;=EOMONTH(AD$4,0),L90&gt;=AD$4),1,""))</f>
        <v/>
      </c>
      <c r="AE90" s="26">
        <f>IF(OR(J90="",L90=""),"",IF(AND(J90&lt;=EOMONTH(AE$4,0),L90&gt;=AE$4),1,""))</f>
        <v/>
      </c>
      <c r="AF90" s="26">
        <f>IF(OR(J90="",L90=""),"",IF(AND(J90&lt;=EOMONTH(AF$4,0),L90&gt;=AF$4),1,""))</f>
        <v/>
      </c>
      <c r="AG90" s="26">
        <f>IF(OR(J90="",L90=""),"",IF(AND(J90&lt;=EOMONTH(AG$4,0),L90&gt;=AG$4),1,""))</f>
        <v/>
      </c>
      <c r="AH90" s="26">
        <f>IF(OR(J90="",L90=""),"",IF(AND(J90&lt;=EOMONTH(AH$4,0),L90&gt;=AH$4),1,""))</f>
        <v/>
      </c>
      <c r="AI90" s="26">
        <f>IF(OR(J90="",L90=""),"",IF(AND(J90&lt;=EOMONTH(AI$4,0),L90&gt;=AI$4),1,""))</f>
        <v/>
      </c>
      <c r="AJ90" s="26">
        <f>IF(OR(J90="",L90=""),"",IF(AND(J90&lt;=EOMONTH(AJ$4,0),L90&gt;=AJ$4),1,""))</f>
        <v/>
      </c>
      <c r="AK90" s="26">
        <f>IF(OR(J90="",L90=""),"",IF(AND(J90&lt;=EOMONTH(AK$4,0),L90&gt;=AK$4),1,""))</f>
        <v/>
      </c>
      <c r="AL90" s="26">
        <f>IF(OR(J90="",L90=""),"",IF(AND(J90&lt;=EOMONTH(AL$4,0),L90&gt;=AL$4),1,""))</f>
        <v/>
      </c>
      <c r="AM90" s="26">
        <f>IF(OR(J90="",L90=""),"",IF(AND(J90&lt;=EOMONTH(AM$4,0),L90&gt;=AM$4),1,""))</f>
        <v/>
      </c>
      <c r="AN90" s="26">
        <f>IF(OR(J90="",L90=""),"",IF(AND(J90&lt;=EOMONTH(AN$4,0),L90&gt;=AN$4),1,""))</f>
        <v/>
      </c>
      <c r="AO90" s="26">
        <f>IF(OR(J90="",L90=""),"",IF(AND(J90&lt;=EOMONTH(AO$4,0),L90&gt;=AO$4),1,""))</f>
        <v/>
      </c>
      <c r="AP90" s="26">
        <f>IF(OR(J90="",L90=""),"",IF(AND(J90&lt;=EOMONTH(AP$4,0),L90&gt;=AP$4),1,""))</f>
        <v/>
      </c>
      <c r="AQ90" s="26">
        <f>IF(OR(J90="",L90=""),"",IF(AND(J90&lt;=EOMONTH(AQ$4,0),L90&gt;=AQ$4),1,""))</f>
        <v/>
      </c>
      <c r="AR90" s="26">
        <f>IF(OR(J90="",L90=""),"",IF(AND(J90&lt;=EOMONTH(AR$4,0),L90&gt;=AR$4),1,""))</f>
        <v/>
      </c>
      <c r="AS90" s="26">
        <f>IF(OR(J90="",L90=""),"",IF(AND(J90&lt;=EOMONTH(AS$4,0),L90&gt;=AS$4),1,""))</f>
        <v/>
      </c>
      <c r="AT90" s="26">
        <f>IF(OR(J90="",L90=""),"",IF(AND(J90&lt;=EOMONTH(AT$4,0),L90&gt;=AT$4),1,""))</f>
        <v/>
      </c>
      <c r="AU90" s="26">
        <f>IF(OR(J90="",L90=""),"",IF(AND(J90&lt;=EOMONTH(AU$4,0),L90&gt;=AU$4),1,""))</f>
        <v/>
      </c>
      <c r="AV90" s="26">
        <f>IF(OR(J90="",L90=""),"",IF(AND(J90&lt;=EOMONTH(AV$4,0),L90&gt;=AV$4),1,""))</f>
        <v/>
      </c>
      <c r="AW90" s="26">
        <f>IF(OR(J90="",L90=""),"",IF(AND(J90&lt;=EOMONTH(AW$4,0),L90&gt;=AW$4),1,""))</f>
        <v/>
      </c>
      <c r="AX90" s="26">
        <f>IF(OR(J90="",L90=""),"",IF(AND(J90&lt;=EOMONTH(AX$4,0),L90&gt;=AX$4),1,""))</f>
        <v/>
      </c>
      <c r="AY90" s="26">
        <f>IF(OR(J90="",L90=""),"",IF(AND(J90&lt;=EOMONTH(AY$4,0),L90&gt;=AY$4),1,""))</f>
        <v/>
      </c>
      <c r="AZ90" s="26">
        <f>IF(OR(J90="",L90=""),"",IF(AND(J90&lt;=EOMONTH(AZ$4,0),L90&gt;=AZ$4),1,""))</f>
        <v/>
      </c>
      <c r="BA90" s="26">
        <f>IF(OR(J90="",L90=""),"",IF(AND(J90&lt;=EOMONTH(BA$4,0),L90&gt;=BA$4),1,""))</f>
        <v/>
      </c>
      <c r="BB90" s="26">
        <f>IF(OR(J90="",L90=""),"",IF(AND(J90&lt;=EOMONTH(BB$4,0),L90&gt;=BB$4),1,""))</f>
        <v/>
      </c>
    </row>
    <row r="91">
      <c r="A91" s="27" t="n"/>
      <c r="B91" s="28" t="n"/>
      <c r="C91" s="29" t="n"/>
      <c r="D91" s="30">
        <f>IF(E91="","","CWA-"&amp;MID(E91,5,4))</f>
        <v/>
      </c>
      <c r="E91" s="29" t="n"/>
      <c r="F91" s="31" t="n"/>
      <c r="G91" s="29" t="n"/>
      <c r="H91" s="28" t="n"/>
      <c r="I91" s="29" t="n"/>
      <c r="J91" s="32" t="n"/>
      <c r="K91" s="28" t="n"/>
      <c r="L91" s="33">
        <f>IF(OR(J91="",K91=""),"",J91+7*K91-1)</f>
        <v/>
      </c>
      <c r="M91" s="33">
        <f>IF(J91="","",J91-7*$E$3)</f>
        <v/>
      </c>
      <c r="N91" s="33">
        <f>IF(J91="","",J91-7*$H$3)</f>
        <v/>
      </c>
      <c r="O91" s="33">
        <f>IF(J91="","",J91-1*$K$3)</f>
        <v/>
      </c>
      <c r="P91" s="30">
        <f>IF(OR(E91="",I91="",I91="—"),IF(E91="","","OK"),IFERROR(IF(INDEX($L$6:$L$155,MATCH(I91,$E$6:$E$155,0))&gt;=J91,"Conflicto con predecesor","OK"),"Predecesor no encontrado"))</f>
        <v/>
      </c>
      <c r="Q91" s="29" t="n"/>
      <c r="R91" s="31" t="n"/>
      <c r="S91" s="26">
        <f>IF(OR(J91="",L91=""),"",IF(AND(J91&lt;=EOMONTH(S$4,0),L91&gt;=S$4),1,""))</f>
        <v/>
      </c>
      <c r="T91" s="26">
        <f>IF(OR(J91="",L91=""),"",IF(AND(J91&lt;=EOMONTH(T$4,0),L91&gt;=T$4),1,""))</f>
        <v/>
      </c>
      <c r="U91" s="26">
        <f>IF(OR(J91="",L91=""),"",IF(AND(J91&lt;=EOMONTH(U$4,0),L91&gt;=U$4),1,""))</f>
        <v/>
      </c>
      <c r="V91" s="26">
        <f>IF(OR(J91="",L91=""),"",IF(AND(J91&lt;=EOMONTH(V$4,0),L91&gt;=V$4),1,""))</f>
        <v/>
      </c>
      <c r="W91" s="26">
        <f>IF(OR(J91="",L91=""),"",IF(AND(J91&lt;=EOMONTH(W$4,0),L91&gt;=W$4),1,""))</f>
        <v/>
      </c>
      <c r="X91" s="26">
        <f>IF(OR(J91="",L91=""),"",IF(AND(J91&lt;=EOMONTH(X$4,0),L91&gt;=X$4),1,""))</f>
        <v/>
      </c>
      <c r="Y91" s="26">
        <f>IF(OR(J91="",L91=""),"",IF(AND(J91&lt;=EOMONTH(Y$4,0),L91&gt;=Y$4),1,""))</f>
        <v/>
      </c>
      <c r="Z91" s="26">
        <f>IF(OR(J91="",L91=""),"",IF(AND(J91&lt;=EOMONTH(Z$4,0),L91&gt;=Z$4),1,""))</f>
        <v/>
      </c>
      <c r="AA91" s="26">
        <f>IF(OR(J91="",L91=""),"",IF(AND(J91&lt;=EOMONTH(AA$4,0),L91&gt;=AA$4),1,""))</f>
        <v/>
      </c>
      <c r="AB91" s="26">
        <f>IF(OR(J91="",L91=""),"",IF(AND(J91&lt;=EOMONTH(AB$4,0),L91&gt;=AB$4),1,""))</f>
        <v/>
      </c>
      <c r="AC91" s="26">
        <f>IF(OR(J91="",L91=""),"",IF(AND(J91&lt;=EOMONTH(AC$4,0),L91&gt;=AC$4),1,""))</f>
        <v/>
      </c>
      <c r="AD91" s="26">
        <f>IF(OR(J91="",L91=""),"",IF(AND(J91&lt;=EOMONTH(AD$4,0),L91&gt;=AD$4),1,""))</f>
        <v/>
      </c>
      <c r="AE91" s="26">
        <f>IF(OR(J91="",L91=""),"",IF(AND(J91&lt;=EOMONTH(AE$4,0),L91&gt;=AE$4),1,""))</f>
        <v/>
      </c>
      <c r="AF91" s="26">
        <f>IF(OR(J91="",L91=""),"",IF(AND(J91&lt;=EOMONTH(AF$4,0),L91&gt;=AF$4),1,""))</f>
        <v/>
      </c>
      <c r="AG91" s="26">
        <f>IF(OR(J91="",L91=""),"",IF(AND(J91&lt;=EOMONTH(AG$4,0),L91&gt;=AG$4),1,""))</f>
        <v/>
      </c>
      <c r="AH91" s="26">
        <f>IF(OR(J91="",L91=""),"",IF(AND(J91&lt;=EOMONTH(AH$4,0),L91&gt;=AH$4),1,""))</f>
        <v/>
      </c>
      <c r="AI91" s="26">
        <f>IF(OR(J91="",L91=""),"",IF(AND(J91&lt;=EOMONTH(AI$4,0),L91&gt;=AI$4),1,""))</f>
        <v/>
      </c>
      <c r="AJ91" s="26">
        <f>IF(OR(J91="",L91=""),"",IF(AND(J91&lt;=EOMONTH(AJ$4,0),L91&gt;=AJ$4),1,""))</f>
        <v/>
      </c>
      <c r="AK91" s="26">
        <f>IF(OR(J91="",L91=""),"",IF(AND(J91&lt;=EOMONTH(AK$4,0),L91&gt;=AK$4),1,""))</f>
        <v/>
      </c>
      <c r="AL91" s="26">
        <f>IF(OR(J91="",L91=""),"",IF(AND(J91&lt;=EOMONTH(AL$4,0),L91&gt;=AL$4),1,""))</f>
        <v/>
      </c>
      <c r="AM91" s="26">
        <f>IF(OR(J91="",L91=""),"",IF(AND(J91&lt;=EOMONTH(AM$4,0),L91&gt;=AM$4),1,""))</f>
        <v/>
      </c>
      <c r="AN91" s="26">
        <f>IF(OR(J91="",L91=""),"",IF(AND(J91&lt;=EOMONTH(AN$4,0),L91&gt;=AN$4),1,""))</f>
        <v/>
      </c>
      <c r="AO91" s="26">
        <f>IF(OR(J91="",L91=""),"",IF(AND(J91&lt;=EOMONTH(AO$4,0),L91&gt;=AO$4),1,""))</f>
        <v/>
      </c>
      <c r="AP91" s="26">
        <f>IF(OR(J91="",L91=""),"",IF(AND(J91&lt;=EOMONTH(AP$4,0),L91&gt;=AP$4),1,""))</f>
        <v/>
      </c>
      <c r="AQ91" s="26">
        <f>IF(OR(J91="",L91=""),"",IF(AND(J91&lt;=EOMONTH(AQ$4,0),L91&gt;=AQ$4),1,""))</f>
        <v/>
      </c>
      <c r="AR91" s="26">
        <f>IF(OR(J91="",L91=""),"",IF(AND(J91&lt;=EOMONTH(AR$4,0),L91&gt;=AR$4),1,""))</f>
        <v/>
      </c>
      <c r="AS91" s="26">
        <f>IF(OR(J91="",L91=""),"",IF(AND(J91&lt;=EOMONTH(AS$4,0),L91&gt;=AS$4),1,""))</f>
        <v/>
      </c>
      <c r="AT91" s="26">
        <f>IF(OR(J91="",L91=""),"",IF(AND(J91&lt;=EOMONTH(AT$4,0),L91&gt;=AT$4),1,""))</f>
        <v/>
      </c>
      <c r="AU91" s="26">
        <f>IF(OR(J91="",L91=""),"",IF(AND(J91&lt;=EOMONTH(AU$4,0),L91&gt;=AU$4),1,""))</f>
        <v/>
      </c>
      <c r="AV91" s="26">
        <f>IF(OR(J91="",L91=""),"",IF(AND(J91&lt;=EOMONTH(AV$4,0),L91&gt;=AV$4),1,""))</f>
        <v/>
      </c>
      <c r="AW91" s="26">
        <f>IF(OR(J91="",L91=""),"",IF(AND(J91&lt;=EOMONTH(AW$4,0),L91&gt;=AW$4),1,""))</f>
        <v/>
      </c>
      <c r="AX91" s="26">
        <f>IF(OR(J91="",L91=""),"",IF(AND(J91&lt;=EOMONTH(AX$4,0),L91&gt;=AX$4),1,""))</f>
        <v/>
      </c>
      <c r="AY91" s="26">
        <f>IF(OR(J91="",L91=""),"",IF(AND(J91&lt;=EOMONTH(AY$4,0),L91&gt;=AY$4),1,""))</f>
        <v/>
      </c>
      <c r="AZ91" s="26">
        <f>IF(OR(J91="",L91=""),"",IF(AND(J91&lt;=EOMONTH(AZ$4,0),L91&gt;=AZ$4),1,""))</f>
        <v/>
      </c>
      <c r="BA91" s="26">
        <f>IF(OR(J91="",L91=""),"",IF(AND(J91&lt;=EOMONTH(BA$4,0),L91&gt;=BA$4),1,""))</f>
        <v/>
      </c>
      <c r="BB91" s="26">
        <f>IF(OR(J91="",L91=""),"",IF(AND(J91&lt;=EOMONTH(BB$4,0),L91&gt;=BB$4),1,""))</f>
        <v/>
      </c>
    </row>
    <row r="92">
      <c r="A92" s="27" t="n"/>
      <c r="B92" s="28" t="n"/>
      <c r="C92" s="29" t="n"/>
      <c r="D92" s="30">
        <f>IF(E92="","","CWA-"&amp;MID(E92,5,4))</f>
        <v/>
      </c>
      <c r="E92" s="29" t="n"/>
      <c r="F92" s="31" t="n"/>
      <c r="G92" s="29" t="n"/>
      <c r="H92" s="28" t="n"/>
      <c r="I92" s="29" t="n"/>
      <c r="J92" s="32" t="n"/>
      <c r="K92" s="28" t="n"/>
      <c r="L92" s="33">
        <f>IF(OR(J92="",K92=""),"",J92+7*K92-1)</f>
        <v/>
      </c>
      <c r="M92" s="33">
        <f>IF(J92="","",J92-7*$E$3)</f>
        <v/>
      </c>
      <c r="N92" s="33">
        <f>IF(J92="","",J92-7*$H$3)</f>
        <v/>
      </c>
      <c r="O92" s="33">
        <f>IF(J92="","",J92-1*$K$3)</f>
        <v/>
      </c>
      <c r="P92" s="30">
        <f>IF(OR(E92="",I92="",I92="—"),IF(E92="","","OK"),IFERROR(IF(INDEX($L$6:$L$155,MATCH(I92,$E$6:$E$155,0))&gt;=J92,"Conflicto con predecesor","OK"),"Predecesor no encontrado"))</f>
        <v/>
      </c>
      <c r="Q92" s="29" t="n"/>
      <c r="R92" s="31" t="n"/>
      <c r="S92" s="26">
        <f>IF(OR(J92="",L92=""),"",IF(AND(J92&lt;=EOMONTH(S$4,0),L92&gt;=S$4),1,""))</f>
        <v/>
      </c>
      <c r="T92" s="26">
        <f>IF(OR(J92="",L92=""),"",IF(AND(J92&lt;=EOMONTH(T$4,0),L92&gt;=T$4),1,""))</f>
        <v/>
      </c>
      <c r="U92" s="26">
        <f>IF(OR(J92="",L92=""),"",IF(AND(J92&lt;=EOMONTH(U$4,0),L92&gt;=U$4),1,""))</f>
        <v/>
      </c>
      <c r="V92" s="26">
        <f>IF(OR(J92="",L92=""),"",IF(AND(J92&lt;=EOMONTH(V$4,0),L92&gt;=V$4),1,""))</f>
        <v/>
      </c>
      <c r="W92" s="26">
        <f>IF(OR(J92="",L92=""),"",IF(AND(J92&lt;=EOMONTH(W$4,0),L92&gt;=W$4),1,""))</f>
        <v/>
      </c>
      <c r="X92" s="26">
        <f>IF(OR(J92="",L92=""),"",IF(AND(J92&lt;=EOMONTH(X$4,0),L92&gt;=X$4),1,""))</f>
        <v/>
      </c>
      <c r="Y92" s="26">
        <f>IF(OR(J92="",L92=""),"",IF(AND(J92&lt;=EOMONTH(Y$4,0),L92&gt;=Y$4),1,""))</f>
        <v/>
      </c>
      <c r="Z92" s="26">
        <f>IF(OR(J92="",L92=""),"",IF(AND(J92&lt;=EOMONTH(Z$4,0),L92&gt;=Z$4),1,""))</f>
        <v/>
      </c>
      <c r="AA92" s="26">
        <f>IF(OR(J92="",L92=""),"",IF(AND(J92&lt;=EOMONTH(AA$4,0),L92&gt;=AA$4),1,""))</f>
        <v/>
      </c>
      <c r="AB92" s="26">
        <f>IF(OR(J92="",L92=""),"",IF(AND(J92&lt;=EOMONTH(AB$4,0),L92&gt;=AB$4),1,""))</f>
        <v/>
      </c>
      <c r="AC92" s="26">
        <f>IF(OR(J92="",L92=""),"",IF(AND(J92&lt;=EOMONTH(AC$4,0),L92&gt;=AC$4),1,""))</f>
        <v/>
      </c>
      <c r="AD92" s="26">
        <f>IF(OR(J92="",L92=""),"",IF(AND(J92&lt;=EOMONTH(AD$4,0),L92&gt;=AD$4),1,""))</f>
        <v/>
      </c>
      <c r="AE92" s="26">
        <f>IF(OR(J92="",L92=""),"",IF(AND(J92&lt;=EOMONTH(AE$4,0),L92&gt;=AE$4),1,""))</f>
        <v/>
      </c>
      <c r="AF92" s="26">
        <f>IF(OR(J92="",L92=""),"",IF(AND(J92&lt;=EOMONTH(AF$4,0),L92&gt;=AF$4),1,""))</f>
        <v/>
      </c>
      <c r="AG92" s="26">
        <f>IF(OR(J92="",L92=""),"",IF(AND(J92&lt;=EOMONTH(AG$4,0),L92&gt;=AG$4),1,""))</f>
        <v/>
      </c>
      <c r="AH92" s="26">
        <f>IF(OR(J92="",L92=""),"",IF(AND(J92&lt;=EOMONTH(AH$4,0),L92&gt;=AH$4),1,""))</f>
        <v/>
      </c>
      <c r="AI92" s="26">
        <f>IF(OR(J92="",L92=""),"",IF(AND(J92&lt;=EOMONTH(AI$4,0),L92&gt;=AI$4),1,""))</f>
        <v/>
      </c>
      <c r="AJ92" s="26">
        <f>IF(OR(J92="",L92=""),"",IF(AND(J92&lt;=EOMONTH(AJ$4,0),L92&gt;=AJ$4),1,""))</f>
        <v/>
      </c>
      <c r="AK92" s="26">
        <f>IF(OR(J92="",L92=""),"",IF(AND(J92&lt;=EOMONTH(AK$4,0),L92&gt;=AK$4),1,""))</f>
        <v/>
      </c>
      <c r="AL92" s="26">
        <f>IF(OR(J92="",L92=""),"",IF(AND(J92&lt;=EOMONTH(AL$4,0),L92&gt;=AL$4),1,""))</f>
        <v/>
      </c>
      <c r="AM92" s="26">
        <f>IF(OR(J92="",L92=""),"",IF(AND(J92&lt;=EOMONTH(AM$4,0),L92&gt;=AM$4),1,""))</f>
        <v/>
      </c>
      <c r="AN92" s="26">
        <f>IF(OR(J92="",L92=""),"",IF(AND(J92&lt;=EOMONTH(AN$4,0),L92&gt;=AN$4),1,""))</f>
        <v/>
      </c>
      <c r="AO92" s="26">
        <f>IF(OR(J92="",L92=""),"",IF(AND(J92&lt;=EOMONTH(AO$4,0),L92&gt;=AO$4),1,""))</f>
        <v/>
      </c>
      <c r="AP92" s="26">
        <f>IF(OR(J92="",L92=""),"",IF(AND(J92&lt;=EOMONTH(AP$4,0),L92&gt;=AP$4),1,""))</f>
        <v/>
      </c>
      <c r="AQ92" s="26">
        <f>IF(OR(J92="",L92=""),"",IF(AND(J92&lt;=EOMONTH(AQ$4,0),L92&gt;=AQ$4),1,""))</f>
        <v/>
      </c>
      <c r="AR92" s="26">
        <f>IF(OR(J92="",L92=""),"",IF(AND(J92&lt;=EOMONTH(AR$4,0),L92&gt;=AR$4),1,""))</f>
        <v/>
      </c>
      <c r="AS92" s="26">
        <f>IF(OR(J92="",L92=""),"",IF(AND(J92&lt;=EOMONTH(AS$4,0),L92&gt;=AS$4),1,""))</f>
        <v/>
      </c>
      <c r="AT92" s="26">
        <f>IF(OR(J92="",L92=""),"",IF(AND(J92&lt;=EOMONTH(AT$4,0),L92&gt;=AT$4),1,""))</f>
        <v/>
      </c>
      <c r="AU92" s="26">
        <f>IF(OR(J92="",L92=""),"",IF(AND(J92&lt;=EOMONTH(AU$4,0),L92&gt;=AU$4),1,""))</f>
        <v/>
      </c>
      <c r="AV92" s="26">
        <f>IF(OR(J92="",L92=""),"",IF(AND(J92&lt;=EOMONTH(AV$4,0),L92&gt;=AV$4),1,""))</f>
        <v/>
      </c>
      <c r="AW92" s="26">
        <f>IF(OR(J92="",L92=""),"",IF(AND(J92&lt;=EOMONTH(AW$4,0),L92&gt;=AW$4),1,""))</f>
        <v/>
      </c>
      <c r="AX92" s="26">
        <f>IF(OR(J92="",L92=""),"",IF(AND(J92&lt;=EOMONTH(AX$4,0),L92&gt;=AX$4),1,""))</f>
        <v/>
      </c>
      <c r="AY92" s="26">
        <f>IF(OR(J92="",L92=""),"",IF(AND(J92&lt;=EOMONTH(AY$4,0),L92&gt;=AY$4),1,""))</f>
        <v/>
      </c>
      <c r="AZ92" s="26">
        <f>IF(OR(J92="",L92=""),"",IF(AND(J92&lt;=EOMONTH(AZ$4,0),L92&gt;=AZ$4),1,""))</f>
        <v/>
      </c>
      <c r="BA92" s="26">
        <f>IF(OR(J92="",L92=""),"",IF(AND(J92&lt;=EOMONTH(BA$4,0),L92&gt;=BA$4),1,""))</f>
        <v/>
      </c>
      <c r="BB92" s="26">
        <f>IF(OR(J92="",L92=""),"",IF(AND(J92&lt;=EOMONTH(BB$4,0),L92&gt;=BB$4),1,""))</f>
        <v/>
      </c>
    </row>
    <row r="93">
      <c r="A93" s="27" t="n"/>
      <c r="B93" s="28" t="n"/>
      <c r="C93" s="29" t="n"/>
      <c r="D93" s="30">
        <f>IF(E93="","","CWA-"&amp;MID(E93,5,4))</f>
        <v/>
      </c>
      <c r="E93" s="29" t="n"/>
      <c r="F93" s="31" t="n"/>
      <c r="G93" s="29" t="n"/>
      <c r="H93" s="28" t="n"/>
      <c r="I93" s="29" t="n"/>
      <c r="J93" s="32" t="n"/>
      <c r="K93" s="28" t="n"/>
      <c r="L93" s="33">
        <f>IF(OR(J93="",K93=""),"",J93+7*K93-1)</f>
        <v/>
      </c>
      <c r="M93" s="33">
        <f>IF(J93="","",J93-7*$E$3)</f>
        <v/>
      </c>
      <c r="N93" s="33">
        <f>IF(J93="","",J93-7*$H$3)</f>
        <v/>
      </c>
      <c r="O93" s="33">
        <f>IF(J93="","",J93-1*$K$3)</f>
        <v/>
      </c>
      <c r="P93" s="30">
        <f>IF(OR(E93="",I93="",I93="—"),IF(E93="","","OK"),IFERROR(IF(INDEX($L$6:$L$155,MATCH(I93,$E$6:$E$155,0))&gt;=J93,"Conflicto con predecesor","OK"),"Predecesor no encontrado"))</f>
        <v/>
      </c>
      <c r="Q93" s="29" t="n"/>
      <c r="R93" s="31" t="n"/>
      <c r="S93" s="26">
        <f>IF(OR(J93="",L93=""),"",IF(AND(J93&lt;=EOMONTH(S$4,0),L93&gt;=S$4),1,""))</f>
        <v/>
      </c>
      <c r="T93" s="26">
        <f>IF(OR(J93="",L93=""),"",IF(AND(J93&lt;=EOMONTH(T$4,0),L93&gt;=T$4),1,""))</f>
        <v/>
      </c>
      <c r="U93" s="26">
        <f>IF(OR(J93="",L93=""),"",IF(AND(J93&lt;=EOMONTH(U$4,0),L93&gt;=U$4),1,""))</f>
        <v/>
      </c>
      <c r="V93" s="26">
        <f>IF(OR(J93="",L93=""),"",IF(AND(J93&lt;=EOMONTH(V$4,0),L93&gt;=V$4),1,""))</f>
        <v/>
      </c>
      <c r="W93" s="26">
        <f>IF(OR(J93="",L93=""),"",IF(AND(J93&lt;=EOMONTH(W$4,0),L93&gt;=W$4),1,""))</f>
        <v/>
      </c>
      <c r="X93" s="26">
        <f>IF(OR(J93="",L93=""),"",IF(AND(J93&lt;=EOMONTH(X$4,0),L93&gt;=X$4),1,""))</f>
        <v/>
      </c>
      <c r="Y93" s="26">
        <f>IF(OR(J93="",L93=""),"",IF(AND(J93&lt;=EOMONTH(Y$4,0),L93&gt;=Y$4),1,""))</f>
        <v/>
      </c>
      <c r="Z93" s="26">
        <f>IF(OR(J93="",L93=""),"",IF(AND(J93&lt;=EOMONTH(Z$4,0),L93&gt;=Z$4),1,""))</f>
        <v/>
      </c>
      <c r="AA93" s="26">
        <f>IF(OR(J93="",L93=""),"",IF(AND(J93&lt;=EOMONTH(AA$4,0),L93&gt;=AA$4),1,""))</f>
        <v/>
      </c>
      <c r="AB93" s="26">
        <f>IF(OR(J93="",L93=""),"",IF(AND(J93&lt;=EOMONTH(AB$4,0),L93&gt;=AB$4),1,""))</f>
        <v/>
      </c>
      <c r="AC93" s="26">
        <f>IF(OR(J93="",L93=""),"",IF(AND(J93&lt;=EOMONTH(AC$4,0),L93&gt;=AC$4),1,""))</f>
        <v/>
      </c>
      <c r="AD93" s="26">
        <f>IF(OR(J93="",L93=""),"",IF(AND(J93&lt;=EOMONTH(AD$4,0),L93&gt;=AD$4),1,""))</f>
        <v/>
      </c>
      <c r="AE93" s="26">
        <f>IF(OR(J93="",L93=""),"",IF(AND(J93&lt;=EOMONTH(AE$4,0),L93&gt;=AE$4),1,""))</f>
        <v/>
      </c>
      <c r="AF93" s="26">
        <f>IF(OR(J93="",L93=""),"",IF(AND(J93&lt;=EOMONTH(AF$4,0),L93&gt;=AF$4),1,""))</f>
        <v/>
      </c>
      <c r="AG93" s="26">
        <f>IF(OR(J93="",L93=""),"",IF(AND(J93&lt;=EOMONTH(AG$4,0),L93&gt;=AG$4),1,""))</f>
        <v/>
      </c>
      <c r="AH93" s="26">
        <f>IF(OR(J93="",L93=""),"",IF(AND(J93&lt;=EOMONTH(AH$4,0),L93&gt;=AH$4),1,""))</f>
        <v/>
      </c>
      <c r="AI93" s="26">
        <f>IF(OR(J93="",L93=""),"",IF(AND(J93&lt;=EOMONTH(AI$4,0),L93&gt;=AI$4),1,""))</f>
        <v/>
      </c>
      <c r="AJ93" s="26">
        <f>IF(OR(J93="",L93=""),"",IF(AND(J93&lt;=EOMONTH(AJ$4,0),L93&gt;=AJ$4),1,""))</f>
        <v/>
      </c>
      <c r="AK93" s="26">
        <f>IF(OR(J93="",L93=""),"",IF(AND(J93&lt;=EOMONTH(AK$4,0),L93&gt;=AK$4),1,""))</f>
        <v/>
      </c>
      <c r="AL93" s="26">
        <f>IF(OR(J93="",L93=""),"",IF(AND(J93&lt;=EOMONTH(AL$4,0),L93&gt;=AL$4),1,""))</f>
        <v/>
      </c>
      <c r="AM93" s="26">
        <f>IF(OR(J93="",L93=""),"",IF(AND(J93&lt;=EOMONTH(AM$4,0),L93&gt;=AM$4),1,""))</f>
        <v/>
      </c>
      <c r="AN93" s="26">
        <f>IF(OR(J93="",L93=""),"",IF(AND(J93&lt;=EOMONTH(AN$4,0),L93&gt;=AN$4),1,""))</f>
        <v/>
      </c>
      <c r="AO93" s="26">
        <f>IF(OR(J93="",L93=""),"",IF(AND(J93&lt;=EOMONTH(AO$4,0),L93&gt;=AO$4),1,""))</f>
        <v/>
      </c>
      <c r="AP93" s="26">
        <f>IF(OR(J93="",L93=""),"",IF(AND(J93&lt;=EOMONTH(AP$4,0),L93&gt;=AP$4),1,""))</f>
        <v/>
      </c>
      <c r="AQ93" s="26">
        <f>IF(OR(J93="",L93=""),"",IF(AND(J93&lt;=EOMONTH(AQ$4,0),L93&gt;=AQ$4),1,""))</f>
        <v/>
      </c>
      <c r="AR93" s="26">
        <f>IF(OR(J93="",L93=""),"",IF(AND(J93&lt;=EOMONTH(AR$4,0),L93&gt;=AR$4),1,""))</f>
        <v/>
      </c>
      <c r="AS93" s="26">
        <f>IF(OR(J93="",L93=""),"",IF(AND(J93&lt;=EOMONTH(AS$4,0),L93&gt;=AS$4),1,""))</f>
        <v/>
      </c>
      <c r="AT93" s="26">
        <f>IF(OR(J93="",L93=""),"",IF(AND(J93&lt;=EOMONTH(AT$4,0),L93&gt;=AT$4),1,""))</f>
        <v/>
      </c>
      <c r="AU93" s="26">
        <f>IF(OR(J93="",L93=""),"",IF(AND(J93&lt;=EOMONTH(AU$4,0),L93&gt;=AU$4),1,""))</f>
        <v/>
      </c>
      <c r="AV93" s="26">
        <f>IF(OR(J93="",L93=""),"",IF(AND(J93&lt;=EOMONTH(AV$4,0),L93&gt;=AV$4),1,""))</f>
        <v/>
      </c>
      <c r="AW93" s="26">
        <f>IF(OR(J93="",L93=""),"",IF(AND(J93&lt;=EOMONTH(AW$4,0),L93&gt;=AW$4),1,""))</f>
        <v/>
      </c>
      <c r="AX93" s="26">
        <f>IF(OR(J93="",L93=""),"",IF(AND(J93&lt;=EOMONTH(AX$4,0),L93&gt;=AX$4),1,""))</f>
        <v/>
      </c>
      <c r="AY93" s="26">
        <f>IF(OR(J93="",L93=""),"",IF(AND(J93&lt;=EOMONTH(AY$4,0),L93&gt;=AY$4),1,""))</f>
        <v/>
      </c>
      <c r="AZ93" s="26">
        <f>IF(OR(J93="",L93=""),"",IF(AND(J93&lt;=EOMONTH(AZ$4,0),L93&gt;=AZ$4),1,""))</f>
        <v/>
      </c>
      <c r="BA93" s="26">
        <f>IF(OR(J93="",L93=""),"",IF(AND(J93&lt;=EOMONTH(BA$4,0),L93&gt;=BA$4),1,""))</f>
        <v/>
      </c>
      <c r="BB93" s="26">
        <f>IF(OR(J93="",L93=""),"",IF(AND(J93&lt;=EOMONTH(BB$4,0),L93&gt;=BB$4),1,""))</f>
        <v/>
      </c>
    </row>
    <row r="94">
      <c r="A94" s="27" t="n"/>
      <c r="B94" s="28" t="n"/>
      <c r="C94" s="29" t="n"/>
      <c r="D94" s="30">
        <f>IF(E94="","","CWA-"&amp;MID(E94,5,4))</f>
        <v/>
      </c>
      <c r="E94" s="29" t="n"/>
      <c r="F94" s="31" t="n"/>
      <c r="G94" s="29" t="n"/>
      <c r="H94" s="28" t="n"/>
      <c r="I94" s="29" t="n"/>
      <c r="J94" s="32" t="n"/>
      <c r="K94" s="28" t="n"/>
      <c r="L94" s="33">
        <f>IF(OR(J94="",K94=""),"",J94+7*K94-1)</f>
        <v/>
      </c>
      <c r="M94" s="33">
        <f>IF(J94="","",J94-7*$E$3)</f>
        <v/>
      </c>
      <c r="N94" s="33">
        <f>IF(J94="","",J94-7*$H$3)</f>
        <v/>
      </c>
      <c r="O94" s="33">
        <f>IF(J94="","",J94-1*$K$3)</f>
        <v/>
      </c>
      <c r="P94" s="30">
        <f>IF(OR(E94="",I94="",I94="—"),IF(E94="","","OK"),IFERROR(IF(INDEX($L$6:$L$155,MATCH(I94,$E$6:$E$155,0))&gt;=J94,"Conflicto con predecesor","OK"),"Predecesor no encontrado"))</f>
        <v/>
      </c>
      <c r="Q94" s="29" t="n"/>
      <c r="R94" s="31" t="n"/>
      <c r="S94" s="26">
        <f>IF(OR(J94="",L94=""),"",IF(AND(J94&lt;=EOMONTH(S$4,0),L94&gt;=S$4),1,""))</f>
        <v/>
      </c>
      <c r="T94" s="26">
        <f>IF(OR(J94="",L94=""),"",IF(AND(J94&lt;=EOMONTH(T$4,0),L94&gt;=T$4),1,""))</f>
        <v/>
      </c>
      <c r="U94" s="26">
        <f>IF(OR(J94="",L94=""),"",IF(AND(J94&lt;=EOMONTH(U$4,0),L94&gt;=U$4),1,""))</f>
        <v/>
      </c>
      <c r="V94" s="26">
        <f>IF(OR(J94="",L94=""),"",IF(AND(J94&lt;=EOMONTH(V$4,0),L94&gt;=V$4),1,""))</f>
        <v/>
      </c>
      <c r="W94" s="26">
        <f>IF(OR(J94="",L94=""),"",IF(AND(J94&lt;=EOMONTH(W$4,0),L94&gt;=W$4),1,""))</f>
        <v/>
      </c>
      <c r="X94" s="26">
        <f>IF(OR(J94="",L94=""),"",IF(AND(J94&lt;=EOMONTH(X$4,0),L94&gt;=X$4),1,""))</f>
        <v/>
      </c>
      <c r="Y94" s="26">
        <f>IF(OR(J94="",L94=""),"",IF(AND(J94&lt;=EOMONTH(Y$4,0),L94&gt;=Y$4),1,""))</f>
        <v/>
      </c>
      <c r="Z94" s="26">
        <f>IF(OR(J94="",L94=""),"",IF(AND(J94&lt;=EOMONTH(Z$4,0),L94&gt;=Z$4),1,""))</f>
        <v/>
      </c>
      <c r="AA94" s="26">
        <f>IF(OR(J94="",L94=""),"",IF(AND(J94&lt;=EOMONTH(AA$4,0),L94&gt;=AA$4),1,""))</f>
        <v/>
      </c>
      <c r="AB94" s="26">
        <f>IF(OR(J94="",L94=""),"",IF(AND(J94&lt;=EOMONTH(AB$4,0),L94&gt;=AB$4),1,""))</f>
        <v/>
      </c>
      <c r="AC94" s="26">
        <f>IF(OR(J94="",L94=""),"",IF(AND(J94&lt;=EOMONTH(AC$4,0),L94&gt;=AC$4),1,""))</f>
        <v/>
      </c>
      <c r="AD94" s="26">
        <f>IF(OR(J94="",L94=""),"",IF(AND(J94&lt;=EOMONTH(AD$4,0),L94&gt;=AD$4),1,""))</f>
        <v/>
      </c>
      <c r="AE94" s="26">
        <f>IF(OR(J94="",L94=""),"",IF(AND(J94&lt;=EOMONTH(AE$4,0),L94&gt;=AE$4),1,""))</f>
        <v/>
      </c>
      <c r="AF94" s="26">
        <f>IF(OR(J94="",L94=""),"",IF(AND(J94&lt;=EOMONTH(AF$4,0),L94&gt;=AF$4),1,""))</f>
        <v/>
      </c>
      <c r="AG94" s="26">
        <f>IF(OR(J94="",L94=""),"",IF(AND(J94&lt;=EOMONTH(AG$4,0),L94&gt;=AG$4),1,""))</f>
        <v/>
      </c>
      <c r="AH94" s="26">
        <f>IF(OR(J94="",L94=""),"",IF(AND(J94&lt;=EOMONTH(AH$4,0),L94&gt;=AH$4),1,""))</f>
        <v/>
      </c>
      <c r="AI94" s="26">
        <f>IF(OR(J94="",L94=""),"",IF(AND(J94&lt;=EOMONTH(AI$4,0),L94&gt;=AI$4),1,""))</f>
        <v/>
      </c>
      <c r="AJ94" s="26">
        <f>IF(OR(J94="",L94=""),"",IF(AND(J94&lt;=EOMONTH(AJ$4,0),L94&gt;=AJ$4),1,""))</f>
        <v/>
      </c>
      <c r="AK94" s="26">
        <f>IF(OR(J94="",L94=""),"",IF(AND(J94&lt;=EOMONTH(AK$4,0),L94&gt;=AK$4),1,""))</f>
        <v/>
      </c>
      <c r="AL94" s="26">
        <f>IF(OR(J94="",L94=""),"",IF(AND(J94&lt;=EOMONTH(AL$4,0),L94&gt;=AL$4),1,""))</f>
        <v/>
      </c>
      <c r="AM94" s="26">
        <f>IF(OR(J94="",L94=""),"",IF(AND(J94&lt;=EOMONTH(AM$4,0),L94&gt;=AM$4),1,""))</f>
        <v/>
      </c>
      <c r="AN94" s="26">
        <f>IF(OR(J94="",L94=""),"",IF(AND(J94&lt;=EOMONTH(AN$4,0),L94&gt;=AN$4),1,""))</f>
        <v/>
      </c>
      <c r="AO94" s="26">
        <f>IF(OR(J94="",L94=""),"",IF(AND(J94&lt;=EOMONTH(AO$4,0),L94&gt;=AO$4),1,""))</f>
        <v/>
      </c>
      <c r="AP94" s="26">
        <f>IF(OR(J94="",L94=""),"",IF(AND(J94&lt;=EOMONTH(AP$4,0),L94&gt;=AP$4),1,""))</f>
        <v/>
      </c>
      <c r="AQ94" s="26">
        <f>IF(OR(J94="",L94=""),"",IF(AND(J94&lt;=EOMONTH(AQ$4,0),L94&gt;=AQ$4),1,""))</f>
        <v/>
      </c>
      <c r="AR94" s="26">
        <f>IF(OR(J94="",L94=""),"",IF(AND(J94&lt;=EOMONTH(AR$4,0),L94&gt;=AR$4),1,""))</f>
        <v/>
      </c>
      <c r="AS94" s="26">
        <f>IF(OR(J94="",L94=""),"",IF(AND(J94&lt;=EOMONTH(AS$4,0),L94&gt;=AS$4),1,""))</f>
        <v/>
      </c>
      <c r="AT94" s="26">
        <f>IF(OR(J94="",L94=""),"",IF(AND(J94&lt;=EOMONTH(AT$4,0),L94&gt;=AT$4),1,""))</f>
        <v/>
      </c>
      <c r="AU94" s="26">
        <f>IF(OR(J94="",L94=""),"",IF(AND(J94&lt;=EOMONTH(AU$4,0),L94&gt;=AU$4),1,""))</f>
        <v/>
      </c>
      <c r="AV94" s="26">
        <f>IF(OR(J94="",L94=""),"",IF(AND(J94&lt;=EOMONTH(AV$4,0),L94&gt;=AV$4),1,""))</f>
        <v/>
      </c>
      <c r="AW94" s="26">
        <f>IF(OR(J94="",L94=""),"",IF(AND(J94&lt;=EOMONTH(AW$4,0),L94&gt;=AW$4),1,""))</f>
        <v/>
      </c>
      <c r="AX94" s="26">
        <f>IF(OR(J94="",L94=""),"",IF(AND(J94&lt;=EOMONTH(AX$4,0),L94&gt;=AX$4),1,""))</f>
        <v/>
      </c>
      <c r="AY94" s="26">
        <f>IF(OR(J94="",L94=""),"",IF(AND(J94&lt;=EOMONTH(AY$4,0),L94&gt;=AY$4),1,""))</f>
        <v/>
      </c>
      <c r="AZ94" s="26">
        <f>IF(OR(J94="",L94=""),"",IF(AND(J94&lt;=EOMONTH(AZ$4,0),L94&gt;=AZ$4),1,""))</f>
        <v/>
      </c>
      <c r="BA94" s="26">
        <f>IF(OR(J94="",L94=""),"",IF(AND(J94&lt;=EOMONTH(BA$4,0),L94&gt;=BA$4),1,""))</f>
        <v/>
      </c>
      <c r="BB94" s="26">
        <f>IF(OR(J94="",L94=""),"",IF(AND(J94&lt;=EOMONTH(BB$4,0),L94&gt;=BB$4),1,""))</f>
        <v/>
      </c>
    </row>
    <row r="95">
      <c r="A95" s="27" t="n"/>
      <c r="B95" s="28" t="n"/>
      <c r="C95" s="29" t="n"/>
      <c r="D95" s="30">
        <f>IF(E95="","","CWA-"&amp;MID(E95,5,4))</f>
        <v/>
      </c>
      <c r="E95" s="29" t="n"/>
      <c r="F95" s="31" t="n"/>
      <c r="G95" s="29" t="n"/>
      <c r="H95" s="28" t="n"/>
      <c r="I95" s="29" t="n"/>
      <c r="J95" s="32" t="n"/>
      <c r="K95" s="28" t="n"/>
      <c r="L95" s="33">
        <f>IF(OR(J95="",K95=""),"",J95+7*K95-1)</f>
        <v/>
      </c>
      <c r="M95" s="33">
        <f>IF(J95="","",J95-7*$E$3)</f>
        <v/>
      </c>
      <c r="N95" s="33">
        <f>IF(J95="","",J95-7*$H$3)</f>
        <v/>
      </c>
      <c r="O95" s="33">
        <f>IF(J95="","",J95-1*$K$3)</f>
        <v/>
      </c>
      <c r="P95" s="30">
        <f>IF(OR(E95="",I95="",I95="—"),IF(E95="","","OK"),IFERROR(IF(INDEX($L$6:$L$155,MATCH(I95,$E$6:$E$155,0))&gt;=J95,"Conflicto con predecesor","OK"),"Predecesor no encontrado"))</f>
        <v/>
      </c>
      <c r="Q95" s="29" t="n"/>
      <c r="R95" s="31" t="n"/>
      <c r="S95" s="26">
        <f>IF(OR(J95="",L95=""),"",IF(AND(J95&lt;=EOMONTH(S$4,0),L95&gt;=S$4),1,""))</f>
        <v/>
      </c>
      <c r="T95" s="26">
        <f>IF(OR(J95="",L95=""),"",IF(AND(J95&lt;=EOMONTH(T$4,0),L95&gt;=T$4),1,""))</f>
        <v/>
      </c>
      <c r="U95" s="26">
        <f>IF(OR(J95="",L95=""),"",IF(AND(J95&lt;=EOMONTH(U$4,0),L95&gt;=U$4),1,""))</f>
        <v/>
      </c>
      <c r="V95" s="26">
        <f>IF(OR(J95="",L95=""),"",IF(AND(J95&lt;=EOMONTH(V$4,0),L95&gt;=V$4),1,""))</f>
        <v/>
      </c>
      <c r="W95" s="26">
        <f>IF(OR(J95="",L95=""),"",IF(AND(J95&lt;=EOMONTH(W$4,0),L95&gt;=W$4),1,""))</f>
        <v/>
      </c>
      <c r="X95" s="26">
        <f>IF(OR(J95="",L95=""),"",IF(AND(J95&lt;=EOMONTH(X$4,0),L95&gt;=X$4),1,""))</f>
        <v/>
      </c>
      <c r="Y95" s="26">
        <f>IF(OR(J95="",L95=""),"",IF(AND(J95&lt;=EOMONTH(Y$4,0),L95&gt;=Y$4),1,""))</f>
        <v/>
      </c>
      <c r="Z95" s="26">
        <f>IF(OR(J95="",L95=""),"",IF(AND(J95&lt;=EOMONTH(Z$4,0),L95&gt;=Z$4),1,""))</f>
        <v/>
      </c>
      <c r="AA95" s="26">
        <f>IF(OR(J95="",L95=""),"",IF(AND(J95&lt;=EOMONTH(AA$4,0),L95&gt;=AA$4),1,""))</f>
        <v/>
      </c>
      <c r="AB95" s="26">
        <f>IF(OR(J95="",L95=""),"",IF(AND(J95&lt;=EOMONTH(AB$4,0),L95&gt;=AB$4),1,""))</f>
        <v/>
      </c>
      <c r="AC95" s="26">
        <f>IF(OR(J95="",L95=""),"",IF(AND(J95&lt;=EOMONTH(AC$4,0),L95&gt;=AC$4),1,""))</f>
        <v/>
      </c>
      <c r="AD95" s="26">
        <f>IF(OR(J95="",L95=""),"",IF(AND(J95&lt;=EOMONTH(AD$4,0),L95&gt;=AD$4),1,""))</f>
        <v/>
      </c>
      <c r="AE95" s="26">
        <f>IF(OR(J95="",L95=""),"",IF(AND(J95&lt;=EOMONTH(AE$4,0),L95&gt;=AE$4),1,""))</f>
        <v/>
      </c>
      <c r="AF95" s="26">
        <f>IF(OR(J95="",L95=""),"",IF(AND(J95&lt;=EOMONTH(AF$4,0),L95&gt;=AF$4),1,""))</f>
        <v/>
      </c>
      <c r="AG95" s="26">
        <f>IF(OR(J95="",L95=""),"",IF(AND(J95&lt;=EOMONTH(AG$4,0),L95&gt;=AG$4),1,""))</f>
        <v/>
      </c>
      <c r="AH95" s="26">
        <f>IF(OR(J95="",L95=""),"",IF(AND(J95&lt;=EOMONTH(AH$4,0),L95&gt;=AH$4),1,""))</f>
        <v/>
      </c>
      <c r="AI95" s="26">
        <f>IF(OR(J95="",L95=""),"",IF(AND(J95&lt;=EOMONTH(AI$4,0),L95&gt;=AI$4),1,""))</f>
        <v/>
      </c>
      <c r="AJ95" s="26">
        <f>IF(OR(J95="",L95=""),"",IF(AND(J95&lt;=EOMONTH(AJ$4,0),L95&gt;=AJ$4),1,""))</f>
        <v/>
      </c>
      <c r="AK95" s="26">
        <f>IF(OR(J95="",L95=""),"",IF(AND(J95&lt;=EOMONTH(AK$4,0),L95&gt;=AK$4),1,""))</f>
        <v/>
      </c>
      <c r="AL95" s="26">
        <f>IF(OR(J95="",L95=""),"",IF(AND(J95&lt;=EOMONTH(AL$4,0),L95&gt;=AL$4),1,""))</f>
        <v/>
      </c>
      <c r="AM95" s="26">
        <f>IF(OR(J95="",L95=""),"",IF(AND(J95&lt;=EOMONTH(AM$4,0),L95&gt;=AM$4),1,""))</f>
        <v/>
      </c>
      <c r="AN95" s="26">
        <f>IF(OR(J95="",L95=""),"",IF(AND(J95&lt;=EOMONTH(AN$4,0),L95&gt;=AN$4),1,""))</f>
        <v/>
      </c>
      <c r="AO95" s="26">
        <f>IF(OR(J95="",L95=""),"",IF(AND(J95&lt;=EOMONTH(AO$4,0),L95&gt;=AO$4),1,""))</f>
        <v/>
      </c>
      <c r="AP95" s="26">
        <f>IF(OR(J95="",L95=""),"",IF(AND(J95&lt;=EOMONTH(AP$4,0),L95&gt;=AP$4),1,""))</f>
        <v/>
      </c>
      <c r="AQ95" s="26">
        <f>IF(OR(J95="",L95=""),"",IF(AND(J95&lt;=EOMONTH(AQ$4,0),L95&gt;=AQ$4),1,""))</f>
        <v/>
      </c>
      <c r="AR95" s="26">
        <f>IF(OR(J95="",L95=""),"",IF(AND(J95&lt;=EOMONTH(AR$4,0),L95&gt;=AR$4),1,""))</f>
        <v/>
      </c>
      <c r="AS95" s="26">
        <f>IF(OR(J95="",L95=""),"",IF(AND(J95&lt;=EOMONTH(AS$4,0),L95&gt;=AS$4),1,""))</f>
        <v/>
      </c>
      <c r="AT95" s="26">
        <f>IF(OR(J95="",L95=""),"",IF(AND(J95&lt;=EOMONTH(AT$4,0),L95&gt;=AT$4),1,""))</f>
        <v/>
      </c>
      <c r="AU95" s="26">
        <f>IF(OR(J95="",L95=""),"",IF(AND(J95&lt;=EOMONTH(AU$4,0),L95&gt;=AU$4),1,""))</f>
        <v/>
      </c>
      <c r="AV95" s="26">
        <f>IF(OR(J95="",L95=""),"",IF(AND(J95&lt;=EOMONTH(AV$4,0),L95&gt;=AV$4),1,""))</f>
        <v/>
      </c>
      <c r="AW95" s="26">
        <f>IF(OR(J95="",L95=""),"",IF(AND(J95&lt;=EOMONTH(AW$4,0),L95&gt;=AW$4),1,""))</f>
        <v/>
      </c>
      <c r="AX95" s="26">
        <f>IF(OR(J95="",L95=""),"",IF(AND(J95&lt;=EOMONTH(AX$4,0),L95&gt;=AX$4),1,""))</f>
        <v/>
      </c>
      <c r="AY95" s="26">
        <f>IF(OR(J95="",L95=""),"",IF(AND(J95&lt;=EOMONTH(AY$4,0),L95&gt;=AY$4),1,""))</f>
        <v/>
      </c>
      <c r="AZ95" s="26">
        <f>IF(OR(J95="",L95=""),"",IF(AND(J95&lt;=EOMONTH(AZ$4,0),L95&gt;=AZ$4),1,""))</f>
        <v/>
      </c>
      <c r="BA95" s="26">
        <f>IF(OR(J95="",L95=""),"",IF(AND(J95&lt;=EOMONTH(BA$4,0),L95&gt;=BA$4),1,""))</f>
        <v/>
      </c>
      <c r="BB95" s="26">
        <f>IF(OR(J95="",L95=""),"",IF(AND(J95&lt;=EOMONTH(BB$4,0),L95&gt;=BB$4),1,""))</f>
        <v/>
      </c>
    </row>
    <row r="96">
      <c r="A96" s="27" t="n"/>
      <c r="B96" s="28" t="n"/>
      <c r="C96" s="29" t="n"/>
      <c r="D96" s="30">
        <f>IF(E96="","","CWA-"&amp;MID(E96,5,4))</f>
        <v/>
      </c>
      <c r="E96" s="29" t="n"/>
      <c r="F96" s="31" t="n"/>
      <c r="G96" s="29" t="n"/>
      <c r="H96" s="28" t="n"/>
      <c r="I96" s="29" t="n"/>
      <c r="J96" s="32" t="n"/>
      <c r="K96" s="28" t="n"/>
      <c r="L96" s="33">
        <f>IF(OR(J96="",K96=""),"",J96+7*K96-1)</f>
        <v/>
      </c>
      <c r="M96" s="33">
        <f>IF(J96="","",J96-7*$E$3)</f>
        <v/>
      </c>
      <c r="N96" s="33">
        <f>IF(J96="","",J96-7*$H$3)</f>
        <v/>
      </c>
      <c r="O96" s="33">
        <f>IF(J96="","",J96-1*$K$3)</f>
        <v/>
      </c>
      <c r="P96" s="30">
        <f>IF(OR(E96="",I96="",I96="—"),IF(E96="","","OK"),IFERROR(IF(INDEX($L$6:$L$155,MATCH(I96,$E$6:$E$155,0))&gt;=J96,"Conflicto con predecesor","OK"),"Predecesor no encontrado"))</f>
        <v/>
      </c>
      <c r="Q96" s="29" t="n"/>
      <c r="R96" s="31" t="n"/>
      <c r="S96" s="26">
        <f>IF(OR(J96="",L96=""),"",IF(AND(J96&lt;=EOMONTH(S$4,0),L96&gt;=S$4),1,""))</f>
        <v/>
      </c>
      <c r="T96" s="26">
        <f>IF(OR(J96="",L96=""),"",IF(AND(J96&lt;=EOMONTH(T$4,0),L96&gt;=T$4),1,""))</f>
        <v/>
      </c>
      <c r="U96" s="26">
        <f>IF(OR(J96="",L96=""),"",IF(AND(J96&lt;=EOMONTH(U$4,0),L96&gt;=U$4),1,""))</f>
        <v/>
      </c>
      <c r="V96" s="26">
        <f>IF(OR(J96="",L96=""),"",IF(AND(J96&lt;=EOMONTH(V$4,0),L96&gt;=V$4),1,""))</f>
        <v/>
      </c>
      <c r="W96" s="26">
        <f>IF(OR(J96="",L96=""),"",IF(AND(J96&lt;=EOMONTH(W$4,0),L96&gt;=W$4),1,""))</f>
        <v/>
      </c>
      <c r="X96" s="26">
        <f>IF(OR(J96="",L96=""),"",IF(AND(J96&lt;=EOMONTH(X$4,0),L96&gt;=X$4),1,""))</f>
        <v/>
      </c>
      <c r="Y96" s="26">
        <f>IF(OR(J96="",L96=""),"",IF(AND(J96&lt;=EOMONTH(Y$4,0),L96&gt;=Y$4),1,""))</f>
        <v/>
      </c>
      <c r="Z96" s="26">
        <f>IF(OR(J96="",L96=""),"",IF(AND(J96&lt;=EOMONTH(Z$4,0),L96&gt;=Z$4),1,""))</f>
        <v/>
      </c>
      <c r="AA96" s="26">
        <f>IF(OR(J96="",L96=""),"",IF(AND(J96&lt;=EOMONTH(AA$4,0),L96&gt;=AA$4),1,""))</f>
        <v/>
      </c>
      <c r="AB96" s="26">
        <f>IF(OR(J96="",L96=""),"",IF(AND(J96&lt;=EOMONTH(AB$4,0),L96&gt;=AB$4),1,""))</f>
        <v/>
      </c>
      <c r="AC96" s="26">
        <f>IF(OR(J96="",L96=""),"",IF(AND(J96&lt;=EOMONTH(AC$4,0),L96&gt;=AC$4),1,""))</f>
        <v/>
      </c>
      <c r="AD96" s="26">
        <f>IF(OR(J96="",L96=""),"",IF(AND(J96&lt;=EOMONTH(AD$4,0),L96&gt;=AD$4),1,""))</f>
        <v/>
      </c>
      <c r="AE96" s="26">
        <f>IF(OR(J96="",L96=""),"",IF(AND(J96&lt;=EOMONTH(AE$4,0),L96&gt;=AE$4),1,""))</f>
        <v/>
      </c>
      <c r="AF96" s="26">
        <f>IF(OR(J96="",L96=""),"",IF(AND(J96&lt;=EOMONTH(AF$4,0),L96&gt;=AF$4),1,""))</f>
        <v/>
      </c>
      <c r="AG96" s="26">
        <f>IF(OR(J96="",L96=""),"",IF(AND(J96&lt;=EOMONTH(AG$4,0),L96&gt;=AG$4),1,""))</f>
        <v/>
      </c>
      <c r="AH96" s="26">
        <f>IF(OR(J96="",L96=""),"",IF(AND(J96&lt;=EOMONTH(AH$4,0),L96&gt;=AH$4),1,""))</f>
        <v/>
      </c>
      <c r="AI96" s="26">
        <f>IF(OR(J96="",L96=""),"",IF(AND(J96&lt;=EOMONTH(AI$4,0),L96&gt;=AI$4),1,""))</f>
        <v/>
      </c>
      <c r="AJ96" s="26">
        <f>IF(OR(J96="",L96=""),"",IF(AND(J96&lt;=EOMONTH(AJ$4,0),L96&gt;=AJ$4),1,""))</f>
        <v/>
      </c>
      <c r="AK96" s="26">
        <f>IF(OR(J96="",L96=""),"",IF(AND(J96&lt;=EOMONTH(AK$4,0),L96&gt;=AK$4),1,""))</f>
        <v/>
      </c>
      <c r="AL96" s="26">
        <f>IF(OR(J96="",L96=""),"",IF(AND(J96&lt;=EOMONTH(AL$4,0),L96&gt;=AL$4),1,""))</f>
        <v/>
      </c>
      <c r="AM96" s="26">
        <f>IF(OR(J96="",L96=""),"",IF(AND(J96&lt;=EOMONTH(AM$4,0),L96&gt;=AM$4),1,""))</f>
        <v/>
      </c>
      <c r="AN96" s="26">
        <f>IF(OR(J96="",L96=""),"",IF(AND(J96&lt;=EOMONTH(AN$4,0),L96&gt;=AN$4),1,""))</f>
        <v/>
      </c>
      <c r="AO96" s="26">
        <f>IF(OR(J96="",L96=""),"",IF(AND(J96&lt;=EOMONTH(AO$4,0),L96&gt;=AO$4),1,""))</f>
        <v/>
      </c>
      <c r="AP96" s="26">
        <f>IF(OR(J96="",L96=""),"",IF(AND(J96&lt;=EOMONTH(AP$4,0),L96&gt;=AP$4),1,""))</f>
        <v/>
      </c>
      <c r="AQ96" s="26">
        <f>IF(OR(J96="",L96=""),"",IF(AND(J96&lt;=EOMONTH(AQ$4,0),L96&gt;=AQ$4),1,""))</f>
        <v/>
      </c>
      <c r="AR96" s="26">
        <f>IF(OR(J96="",L96=""),"",IF(AND(J96&lt;=EOMONTH(AR$4,0),L96&gt;=AR$4),1,""))</f>
        <v/>
      </c>
      <c r="AS96" s="26">
        <f>IF(OR(J96="",L96=""),"",IF(AND(J96&lt;=EOMONTH(AS$4,0),L96&gt;=AS$4),1,""))</f>
        <v/>
      </c>
      <c r="AT96" s="26">
        <f>IF(OR(J96="",L96=""),"",IF(AND(J96&lt;=EOMONTH(AT$4,0),L96&gt;=AT$4),1,""))</f>
        <v/>
      </c>
      <c r="AU96" s="26">
        <f>IF(OR(J96="",L96=""),"",IF(AND(J96&lt;=EOMONTH(AU$4,0),L96&gt;=AU$4),1,""))</f>
        <v/>
      </c>
      <c r="AV96" s="26">
        <f>IF(OR(J96="",L96=""),"",IF(AND(J96&lt;=EOMONTH(AV$4,0),L96&gt;=AV$4),1,""))</f>
        <v/>
      </c>
      <c r="AW96" s="26">
        <f>IF(OR(J96="",L96=""),"",IF(AND(J96&lt;=EOMONTH(AW$4,0),L96&gt;=AW$4),1,""))</f>
        <v/>
      </c>
      <c r="AX96" s="26">
        <f>IF(OR(J96="",L96=""),"",IF(AND(J96&lt;=EOMONTH(AX$4,0),L96&gt;=AX$4),1,""))</f>
        <v/>
      </c>
      <c r="AY96" s="26">
        <f>IF(OR(J96="",L96=""),"",IF(AND(J96&lt;=EOMONTH(AY$4,0),L96&gt;=AY$4),1,""))</f>
        <v/>
      </c>
      <c r="AZ96" s="26">
        <f>IF(OR(J96="",L96=""),"",IF(AND(J96&lt;=EOMONTH(AZ$4,0),L96&gt;=AZ$4),1,""))</f>
        <v/>
      </c>
      <c r="BA96" s="26">
        <f>IF(OR(J96="",L96=""),"",IF(AND(J96&lt;=EOMONTH(BA$4,0),L96&gt;=BA$4),1,""))</f>
        <v/>
      </c>
      <c r="BB96" s="26">
        <f>IF(OR(J96="",L96=""),"",IF(AND(J96&lt;=EOMONTH(BB$4,0),L96&gt;=BB$4),1,""))</f>
        <v/>
      </c>
    </row>
    <row r="97">
      <c r="A97" s="27" t="n"/>
      <c r="B97" s="28" t="n"/>
      <c r="C97" s="29" t="n"/>
      <c r="D97" s="30">
        <f>IF(E97="","","CWA-"&amp;MID(E97,5,4))</f>
        <v/>
      </c>
      <c r="E97" s="29" t="n"/>
      <c r="F97" s="31" t="n"/>
      <c r="G97" s="29" t="n"/>
      <c r="H97" s="28" t="n"/>
      <c r="I97" s="29" t="n"/>
      <c r="J97" s="32" t="n"/>
      <c r="K97" s="28" t="n"/>
      <c r="L97" s="33">
        <f>IF(OR(J97="",K97=""),"",J97+7*K97-1)</f>
        <v/>
      </c>
      <c r="M97" s="33">
        <f>IF(J97="","",J97-7*$E$3)</f>
        <v/>
      </c>
      <c r="N97" s="33">
        <f>IF(J97="","",J97-7*$H$3)</f>
        <v/>
      </c>
      <c r="O97" s="33">
        <f>IF(J97="","",J97-1*$K$3)</f>
        <v/>
      </c>
      <c r="P97" s="30">
        <f>IF(OR(E97="",I97="",I97="—"),IF(E97="","","OK"),IFERROR(IF(INDEX($L$6:$L$155,MATCH(I97,$E$6:$E$155,0))&gt;=J97,"Conflicto con predecesor","OK"),"Predecesor no encontrado"))</f>
        <v/>
      </c>
      <c r="Q97" s="29" t="n"/>
      <c r="R97" s="31" t="n"/>
      <c r="S97" s="26">
        <f>IF(OR(J97="",L97=""),"",IF(AND(J97&lt;=EOMONTH(S$4,0),L97&gt;=S$4),1,""))</f>
        <v/>
      </c>
      <c r="T97" s="26">
        <f>IF(OR(J97="",L97=""),"",IF(AND(J97&lt;=EOMONTH(T$4,0),L97&gt;=T$4),1,""))</f>
        <v/>
      </c>
      <c r="U97" s="26">
        <f>IF(OR(J97="",L97=""),"",IF(AND(J97&lt;=EOMONTH(U$4,0),L97&gt;=U$4),1,""))</f>
        <v/>
      </c>
      <c r="V97" s="26">
        <f>IF(OR(J97="",L97=""),"",IF(AND(J97&lt;=EOMONTH(V$4,0),L97&gt;=V$4),1,""))</f>
        <v/>
      </c>
      <c r="W97" s="26">
        <f>IF(OR(J97="",L97=""),"",IF(AND(J97&lt;=EOMONTH(W$4,0),L97&gt;=W$4),1,""))</f>
        <v/>
      </c>
      <c r="X97" s="26">
        <f>IF(OR(J97="",L97=""),"",IF(AND(J97&lt;=EOMONTH(X$4,0),L97&gt;=X$4),1,""))</f>
        <v/>
      </c>
      <c r="Y97" s="26">
        <f>IF(OR(J97="",L97=""),"",IF(AND(J97&lt;=EOMONTH(Y$4,0),L97&gt;=Y$4),1,""))</f>
        <v/>
      </c>
      <c r="Z97" s="26">
        <f>IF(OR(J97="",L97=""),"",IF(AND(J97&lt;=EOMONTH(Z$4,0),L97&gt;=Z$4),1,""))</f>
        <v/>
      </c>
      <c r="AA97" s="26">
        <f>IF(OR(J97="",L97=""),"",IF(AND(J97&lt;=EOMONTH(AA$4,0),L97&gt;=AA$4),1,""))</f>
        <v/>
      </c>
      <c r="AB97" s="26">
        <f>IF(OR(J97="",L97=""),"",IF(AND(J97&lt;=EOMONTH(AB$4,0),L97&gt;=AB$4),1,""))</f>
        <v/>
      </c>
      <c r="AC97" s="26">
        <f>IF(OR(J97="",L97=""),"",IF(AND(J97&lt;=EOMONTH(AC$4,0),L97&gt;=AC$4),1,""))</f>
        <v/>
      </c>
      <c r="AD97" s="26">
        <f>IF(OR(J97="",L97=""),"",IF(AND(J97&lt;=EOMONTH(AD$4,0),L97&gt;=AD$4),1,""))</f>
        <v/>
      </c>
      <c r="AE97" s="26">
        <f>IF(OR(J97="",L97=""),"",IF(AND(J97&lt;=EOMONTH(AE$4,0),L97&gt;=AE$4),1,""))</f>
        <v/>
      </c>
      <c r="AF97" s="26">
        <f>IF(OR(J97="",L97=""),"",IF(AND(J97&lt;=EOMONTH(AF$4,0),L97&gt;=AF$4),1,""))</f>
        <v/>
      </c>
      <c r="AG97" s="26">
        <f>IF(OR(J97="",L97=""),"",IF(AND(J97&lt;=EOMONTH(AG$4,0),L97&gt;=AG$4),1,""))</f>
        <v/>
      </c>
      <c r="AH97" s="26">
        <f>IF(OR(J97="",L97=""),"",IF(AND(J97&lt;=EOMONTH(AH$4,0),L97&gt;=AH$4),1,""))</f>
        <v/>
      </c>
      <c r="AI97" s="26">
        <f>IF(OR(J97="",L97=""),"",IF(AND(J97&lt;=EOMONTH(AI$4,0),L97&gt;=AI$4),1,""))</f>
        <v/>
      </c>
      <c r="AJ97" s="26">
        <f>IF(OR(J97="",L97=""),"",IF(AND(J97&lt;=EOMONTH(AJ$4,0),L97&gt;=AJ$4),1,""))</f>
        <v/>
      </c>
      <c r="AK97" s="26">
        <f>IF(OR(J97="",L97=""),"",IF(AND(J97&lt;=EOMONTH(AK$4,0),L97&gt;=AK$4),1,""))</f>
        <v/>
      </c>
      <c r="AL97" s="26">
        <f>IF(OR(J97="",L97=""),"",IF(AND(J97&lt;=EOMONTH(AL$4,0),L97&gt;=AL$4),1,""))</f>
        <v/>
      </c>
      <c r="AM97" s="26">
        <f>IF(OR(J97="",L97=""),"",IF(AND(J97&lt;=EOMONTH(AM$4,0),L97&gt;=AM$4),1,""))</f>
        <v/>
      </c>
      <c r="AN97" s="26">
        <f>IF(OR(J97="",L97=""),"",IF(AND(J97&lt;=EOMONTH(AN$4,0),L97&gt;=AN$4),1,""))</f>
        <v/>
      </c>
      <c r="AO97" s="26">
        <f>IF(OR(J97="",L97=""),"",IF(AND(J97&lt;=EOMONTH(AO$4,0),L97&gt;=AO$4),1,""))</f>
        <v/>
      </c>
      <c r="AP97" s="26">
        <f>IF(OR(J97="",L97=""),"",IF(AND(J97&lt;=EOMONTH(AP$4,0),L97&gt;=AP$4),1,""))</f>
        <v/>
      </c>
      <c r="AQ97" s="26">
        <f>IF(OR(J97="",L97=""),"",IF(AND(J97&lt;=EOMONTH(AQ$4,0),L97&gt;=AQ$4),1,""))</f>
        <v/>
      </c>
      <c r="AR97" s="26">
        <f>IF(OR(J97="",L97=""),"",IF(AND(J97&lt;=EOMONTH(AR$4,0),L97&gt;=AR$4),1,""))</f>
        <v/>
      </c>
      <c r="AS97" s="26">
        <f>IF(OR(J97="",L97=""),"",IF(AND(J97&lt;=EOMONTH(AS$4,0),L97&gt;=AS$4),1,""))</f>
        <v/>
      </c>
      <c r="AT97" s="26">
        <f>IF(OR(J97="",L97=""),"",IF(AND(J97&lt;=EOMONTH(AT$4,0),L97&gt;=AT$4),1,""))</f>
        <v/>
      </c>
      <c r="AU97" s="26">
        <f>IF(OR(J97="",L97=""),"",IF(AND(J97&lt;=EOMONTH(AU$4,0),L97&gt;=AU$4),1,""))</f>
        <v/>
      </c>
      <c r="AV97" s="26">
        <f>IF(OR(J97="",L97=""),"",IF(AND(J97&lt;=EOMONTH(AV$4,0),L97&gt;=AV$4),1,""))</f>
        <v/>
      </c>
      <c r="AW97" s="26">
        <f>IF(OR(J97="",L97=""),"",IF(AND(J97&lt;=EOMONTH(AW$4,0),L97&gt;=AW$4),1,""))</f>
        <v/>
      </c>
      <c r="AX97" s="26">
        <f>IF(OR(J97="",L97=""),"",IF(AND(J97&lt;=EOMONTH(AX$4,0),L97&gt;=AX$4),1,""))</f>
        <v/>
      </c>
      <c r="AY97" s="26">
        <f>IF(OR(J97="",L97=""),"",IF(AND(J97&lt;=EOMONTH(AY$4,0),L97&gt;=AY$4),1,""))</f>
        <v/>
      </c>
      <c r="AZ97" s="26">
        <f>IF(OR(J97="",L97=""),"",IF(AND(J97&lt;=EOMONTH(AZ$4,0),L97&gt;=AZ$4),1,""))</f>
        <v/>
      </c>
      <c r="BA97" s="26">
        <f>IF(OR(J97="",L97=""),"",IF(AND(J97&lt;=EOMONTH(BA$4,0),L97&gt;=BA$4),1,""))</f>
        <v/>
      </c>
      <c r="BB97" s="26">
        <f>IF(OR(J97="",L97=""),"",IF(AND(J97&lt;=EOMONTH(BB$4,0),L97&gt;=BB$4),1,""))</f>
        <v/>
      </c>
    </row>
    <row r="98">
      <c r="A98" s="27" t="n"/>
      <c r="B98" s="28" t="n"/>
      <c r="C98" s="29" t="n"/>
      <c r="D98" s="30">
        <f>IF(E98="","","CWA-"&amp;MID(E98,5,4))</f>
        <v/>
      </c>
      <c r="E98" s="29" t="n"/>
      <c r="F98" s="31" t="n"/>
      <c r="G98" s="29" t="n"/>
      <c r="H98" s="28" t="n"/>
      <c r="I98" s="29" t="n"/>
      <c r="J98" s="32" t="n"/>
      <c r="K98" s="28" t="n"/>
      <c r="L98" s="33">
        <f>IF(OR(J98="",K98=""),"",J98+7*K98-1)</f>
        <v/>
      </c>
      <c r="M98" s="33">
        <f>IF(J98="","",J98-7*$E$3)</f>
        <v/>
      </c>
      <c r="N98" s="33">
        <f>IF(J98="","",J98-7*$H$3)</f>
        <v/>
      </c>
      <c r="O98" s="33">
        <f>IF(J98="","",J98-1*$K$3)</f>
        <v/>
      </c>
      <c r="P98" s="30">
        <f>IF(OR(E98="",I98="",I98="—"),IF(E98="","","OK"),IFERROR(IF(INDEX($L$6:$L$155,MATCH(I98,$E$6:$E$155,0))&gt;=J98,"Conflicto con predecesor","OK"),"Predecesor no encontrado"))</f>
        <v/>
      </c>
      <c r="Q98" s="29" t="n"/>
      <c r="R98" s="31" t="n"/>
      <c r="S98" s="26">
        <f>IF(OR(J98="",L98=""),"",IF(AND(J98&lt;=EOMONTH(S$4,0),L98&gt;=S$4),1,""))</f>
        <v/>
      </c>
      <c r="T98" s="26">
        <f>IF(OR(J98="",L98=""),"",IF(AND(J98&lt;=EOMONTH(T$4,0),L98&gt;=T$4),1,""))</f>
        <v/>
      </c>
      <c r="U98" s="26">
        <f>IF(OR(J98="",L98=""),"",IF(AND(J98&lt;=EOMONTH(U$4,0),L98&gt;=U$4),1,""))</f>
        <v/>
      </c>
      <c r="V98" s="26">
        <f>IF(OR(J98="",L98=""),"",IF(AND(J98&lt;=EOMONTH(V$4,0),L98&gt;=V$4),1,""))</f>
        <v/>
      </c>
      <c r="W98" s="26">
        <f>IF(OR(J98="",L98=""),"",IF(AND(J98&lt;=EOMONTH(W$4,0),L98&gt;=W$4),1,""))</f>
        <v/>
      </c>
      <c r="X98" s="26">
        <f>IF(OR(J98="",L98=""),"",IF(AND(J98&lt;=EOMONTH(X$4,0),L98&gt;=X$4),1,""))</f>
        <v/>
      </c>
      <c r="Y98" s="26">
        <f>IF(OR(J98="",L98=""),"",IF(AND(J98&lt;=EOMONTH(Y$4,0),L98&gt;=Y$4),1,""))</f>
        <v/>
      </c>
      <c r="Z98" s="26">
        <f>IF(OR(J98="",L98=""),"",IF(AND(J98&lt;=EOMONTH(Z$4,0),L98&gt;=Z$4),1,""))</f>
        <v/>
      </c>
      <c r="AA98" s="26">
        <f>IF(OR(J98="",L98=""),"",IF(AND(J98&lt;=EOMONTH(AA$4,0),L98&gt;=AA$4),1,""))</f>
        <v/>
      </c>
      <c r="AB98" s="26">
        <f>IF(OR(J98="",L98=""),"",IF(AND(J98&lt;=EOMONTH(AB$4,0),L98&gt;=AB$4),1,""))</f>
        <v/>
      </c>
      <c r="AC98" s="26">
        <f>IF(OR(J98="",L98=""),"",IF(AND(J98&lt;=EOMONTH(AC$4,0),L98&gt;=AC$4),1,""))</f>
        <v/>
      </c>
      <c r="AD98" s="26">
        <f>IF(OR(J98="",L98=""),"",IF(AND(J98&lt;=EOMONTH(AD$4,0),L98&gt;=AD$4),1,""))</f>
        <v/>
      </c>
      <c r="AE98" s="26">
        <f>IF(OR(J98="",L98=""),"",IF(AND(J98&lt;=EOMONTH(AE$4,0),L98&gt;=AE$4),1,""))</f>
        <v/>
      </c>
      <c r="AF98" s="26">
        <f>IF(OR(J98="",L98=""),"",IF(AND(J98&lt;=EOMONTH(AF$4,0),L98&gt;=AF$4),1,""))</f>
        <v/>
      </c>
      <c r="AG98" s="26">
        <f>IF(OR(J98="",L98=""),"",IF(AND(J98&lt;=EOMONTH(AG$4,0),L98&gt;=AG$4),1,""))</f>
        <v/>
      </c>
      <c r="AH98" s="26">
        <f>IF(OR(J98="",L98=""),"",IF(AND(J98&lt;=EOMONTH(AH$4,0),L98&gt;=AH$4),1,""))</f>
        <v/>
      </c>
      <c r="AI98" s="26">
        <f>IF(OR(J98="",L98=""),"",IF(AND(J98&lt;=EOMONTH(AI$4,0),L98&gt;=AI$4),1,""))</f>
        <v/>
      </c>
      <c r="AJ98" s="26">
        <f>IF(OR(J98="",L98=""),"",IF(AND(J98&lt;=EOMONTH(AJ$4,0),L98&gt;=AJ$4),1,""))</f>
        <v/>
      </c>
      <c r="AK98" s="26">
        <f>IF(OR(J98="",L98=""),"",IF(AND(J98&lt;=EOMONTH(AK$4,0),L98&gt;=AK$4),1,""))</f>
        <v/>
      </c>
      <c r="AL98" s="26">
        <f>IF(OR(J98="",L98=""),"",IF(AND(J98&lt;=EOMONTH(AL$4,0),L98&gt;=AL$4),1,""))</f>
        <v/>
      </c>
      <c r="AM98" s="26">
        <f>IF(OR(J98="",L98=""),"",IF(AND(J98&lt;=EOMONTH(AM$4,0),L98&gt;=AM$4),1,""))</f>
        <v/>
      </c>
      <c r="AN98" s="26">
        <f>IF(OR(J98="",L98=""),"",IF(AND(J98&lt;=EOMONTH(AN$4,0),L98&gt;=AN$4),1,""))</f>
        <v/>
      </c>
      <c r="AO98" s="26">
        <f>IF(OR(J98="",L98=""),"",IF(AND(J98&lt;=EOMONTH(AO$4,0),L98&gt;=AO$4),1,""))</f>
        <v/>
      </c>
      <c r="AP98" s="26">
        <f>IF(OR(J98="",L98=""),"",IF(AND(J98&lt;=EOMONTH(AP$4,0),L98&gt;=AP$4),1,""))</f>
        <v/>
      </c>
      <c r="AQ98" s="26">
        <f>IF(OR(J98="",L98=""),"",IF(AND(J98&lt;=EOMONTH(AQ$4,0),L98&gt;=AQ$4),1,""))</f>
        <v/>
      </c>
      <c r="AR98" s="26">
        <f>IF(OR(J98="",L98=""),"",IF(AND(J98&lt;=EOMONTH(AR$4,0),L98&gt;=AR$4),1,""))</f>
        <v/>
      </c>
      <c r="AS98" s="26">
        <f>IF(OR(J98="",L98=""),"",IF(AND(J98&lt;=EOMONTH(AS$4,0),L98&gt;=AS$4),1,""))</f>
        <v/>
      </c>
      <c r="AT98" s="26">
        <f>IF(OR(J98="",L98=""),"",IF(AND(J98&lt;=EOMONTH(AT$4,0),L98&gt;=AT$4),1,""))</f>
        <v/>
      </c>
      <c r="AU98" s="26">
        <f>IF(OR(J98="",L98=""),"",IF(AND(J98&lt;=EOMONTH(AU$4,0),L98&gt;=AU$4),1,""))</f>
        <v/>
      </c>
      <c r="AV98" s="26">
        <f>IF(OR(J98="",L98=""),"",IF(AND(J98&lt;=EOMONTH(AV$4,0),L98&gt;=AV$4),1,""))</f>
        <v/>
      </c>
      <c r="AW98" s="26">
        <f>IF(OR(J98="",L98=""),"",IF(AND(J98&lt;=EOMONTH(AW$4,0),L98&gt;=AW$4),1,""))</f>
        <v/>
      </c>
      <c r="AX98" s="26">
        <f>IF(OR(J98="",L98=""),"",IF(AND(J98&lt;=EOMONTH(AX$4,0),L98&gt;=AX$4),1,""))</f>
        <v/>
      </c>
      <c r="AY98" s="26">
        <f>IF(OR(J98="",L98=""),"",IF(AND(J98&lt;=EOMONTH(AY$4,0),L98&gt;=AY$4),1,""))</f>
        <v/>
      </c>
      <c r="AZ98" s="26">
        <f>IF(OR(J98="",L98=""),"",IF(AND(J98&lt;=EOMONTH(AZ$4,0),L98&gt;=AZ$4),1,""))</f>
        <v/>
      </c>
      <c r="BA98" s="26">
        <f>IF(OR(J98="",L98=""),"",IF(AND(J98&lt;=EOMONTH(BA$4,0),L98&gt;=BA$4),1,""))</f>
        <v/>
      </c>
      <c r="BB98" s="26">
        <f>IF(OR(J98="",L98=""),"",IF(AND(J98&lt;=EOMONTH(BB$4,0),L98&gt;=BB$4),1,""))</f>
        <v/>
      </c>
    </row>
    <row r="99">
      <c r="A99" s="27" t="n"/>
      <c r="B99" s="28" t="n"/>
      <c r="C99" s="29" t="n"/>
      <c r="D99" s="30">
        <f>IF(E99="","","CWA-"&amp;MID(E99,5,4))</f>
        <v/>
      </c>
      <c r="E99" s="29" t="n"/>
      <c r="F99" s="31" t="n"/>
      <c r="G99" s="29" t="n"/>
      <c r="H99" s="28" t="n"/>
      <c r="I99" s="29" t="n"/>
      <c r="J99" s="32" t="n"/>
      <c r="K99" s="28" t="n"/>
      <c r="L99" s="33">
        <f>IF(OR(J99="",K99=""),"",J99+7*K99-1)</f>
        <v/>
      </c>
      <c r="M99" s="33">
        <f>IF(J99="","",J99-7*$E$3)</f>
        <v/>
      </c>
      <c r="N99" s="33">
        <f>IF(J99="","",J99-7*$H$3)</f>
        <v/>
      </c>
      <c r="O99" s="33">
        <f>IF(J99="","",J99-1*$K$3)</f>
        <v/>
      </c>
      <c r="P99" s="30">
        <f>IF(OR(E99="",I99="",I99="—"),IF(E99="","","OK"),IFERROR(IF(INDEX($L$6:$L$155,MATCH(I99,$E$6:$E$155,0))&gt;=J99,"Conflicto con predecesor","OK"),"Predecesor no encontrado"))</f>
        <v/>
      </c>
      <c r="Q99" s="29" t="n"/>
      <c r="R99" s="31" t="n"/>
      <c r="S99" s="26">
        <f>IF(OR(J99="",L99=""),"",IF(AND(J99&lt;=EOMONTH(S$4,0),L99&gt;=S$4),1,""))</f>
        <v/>
      </c>
      <c r="T99" s="26">
        <f>IF(OR(J99="",L99=""),"",IF(AND(J99&lt;=EOMONTH(T$4,0),L99&gt;=T$4),1,""))</f>
        <v/>
      </c>
      <c r="U99" s="26">
        <f>IF(OR(J99="",L99=""),"",IF(AND(J99&lt;=EOMONTH(U$4,0),L99&gt;=U$4),1,""))</f>
        <v/>
      </c>
      <c r="V99" s="26">
        <f>IF(OR(J99="",L99=""),"",IF(AND(J99&lt;=EOMONTH(V$4,0),L99&gt;=V$4),1,""))</f>
        <v/>
      </c>
      <c r="W99" s="26">
        <f>IF(OR(J99="",L99=""),"",IF(AND(J99&lt;=EOMONTH(W$4,0),L99&gt;=W$4),1,""))</f>
        <v/>
      </c>
      <c r="X99" s="26">
        <f>IF(OR(J99="",L99=""),"",IF(AND(J99&lt;=EOMONTH(X$4,0),L99&gt;=X$4),1,""))</f>
        <v/>
      </c>
      <c r="Y99" s="26">
        <f>IF(OR(J99="",L99=""),"",IF(AND(J99&lt;=EOMONTH(Y$4,0),L99&gt;=Y$4),1,""))</f>
        <v/>
      </c>
      <c r="Z99" s="26">
        <f>IF(OR(J99="",L99=""),"",IF(AND(J99&lt;=EOMONTH(Z$4,0),L99&gt;=Z$4),1,""))</f>
        <v/>
      </c>
      <c r="AA99" s="26">
        <f>IF(OR(J99="",L99=""),"",IF(AND(J99&lt;=EOMONTH(AA$4,0),L99&gt;=AA$4),1,""))</f>
        <v/>
      </c>
      <c r="AB99" s="26">
        <f>IF(OR(J99="",L99=""),"",IF(AND(J99&lt;=EOMONTH(AB$4,0),L99&gt;=AB$4),1,""))</f>
        <v/>
      </c>
      <c r="AC99" s="26">
        <f>IF(OR(J99="",L99=""),"",IF(AND(J99&lt;=EOMONTH(AC$4,0),L99&gt;=AC$4),1,""))</f>
        <v/>
      </c>
      <c r="AD99" s="26">
        <f>IF(OR(J99="",L99=""),"",IF(AND(J99&lt;=EOMONTH(AD$4,0),L99&gt;=AD$4),1,""))</f>
        <v/>
      </c>
      <c r="AE99" s="26">
        <f>IF(OR(J99="",L99=""),"",IF(AND(J99&lt;=EOMONTH(AE$4,0),L99&gt;=AE$4),1,""))</f>
        <v/>
      </c>
      <c r="AF99" s="26">
        <f>IF(OR(J99="",L99=""),"",IF(AND(J99&lt;=EOMONTH(AF$4,0),L99&gt;=AF$4),1,""))</f>
        <v/>
      </c>
      <c r="AG99" s="26">
        <f>IF(OR(J99="",L99=""),"",IF(AND(J99&lt;=EOMONTH(AG$4,0),L99&gt;=AG$4),1,""))</f>
        <v/>
      </c>
      <c r="AH99" s="26">
        <f>IF(OR(J99="",L99=""),"",IF(AND(J99&lt;=EOMONTH(AH$4,0),L99&gt;=AH$4),1,""))</f>
        <v/>
      </c>
      <c r="AI99" s="26">
        <f>IF(OR(J99="",L99=""),"",IF(AND(J99&lt;=EOMONTH(AI$4,0),L99&gt;=AI$4),1,""))</f>
        <v/>
      </c>
      <c r="AJ99" s="26">
        <f>IF(OR(J99="",L99=""),"",IF(AND(J99&lt;=EOMONTH(AJ$4,0),L99&gt;=AJ$4),1,""))</f>
        <v/>
      </c>
      <c r="AK99" s="26">
        <f>IF(OR(J99="",L99=""),"",IF(AND(J99&lt;=EOMONTH(AK$4,0),L99&gt;=AK$4),1,""))</f>
        <v/>
      </c>
      <c r="AL99" s="26">
        <f>IF(OR(J99="",L99=""),"",IF(AND(J99&lt;=EOMONTH(AL$4,0),L99&gt;=AL$4),1,""))</f>
        <v/>
      </c>
      <c r="AM99" s="26">
        <f>IF(OR(J99="",L99=""),"",IF(AND(J99&lt;=EOMONTH(AM$4,0),L99&gt;=AM$4),1,""))</f>
        <v/>
      </c>
      <c r="AN99" s="26">
        <f>IF(OR(J99="",L99=""),"",IF(AND(J99&lt;=EOMONTH(AN$4,0),L99&gt;=AN$4),1,""))</f>
        <v/>
      </c>
      <c r="AO99" s="26">
        <f>IF(OR(J99="",L99=""),"",IF(AND(J99&lt;=EOMONTH(AO$4,0),L99&gt;=AO$4),1,""))</f>
        <v/>
      </c>
      <c r="AP99" s="26">
        <f>IF(OR(J99="",L99=""),"",IF(AND(J99&lt;=EOMONTH(AP$4,0),L99&gt;=AP$4),1,""))</f>
        <v/>
      </c>
      <c r="AQ99" s="26">
        <f>IF(OR(J99="",L99=""),"",IF(AND(J99&lt;=EOMONTH(AQ$4,0),L99&gt;=AQ$4),1,""))</f>
        <v/>
      </c>
      <c r="AR99" s="26">
        <f>IF(OR(J99="",L99=""),"",IF(AND(J99&lt;=EOMONTH(AR$4,0),L99&gt;=AR$4),1,""))</f>
        <v/>
      </c>
      <c r="AS99" s="26">
        <f>IF(OR(J99="",L99=""),"",IF(AND(J99&lt;=EOMONTH(AS$4,0),L99&gt;=AS$4),1,""))</f>
        <v/>
      </c>
      <c r="AT99" s="26">
        <f>IF(OR(J99="",L99=""),"",IF(AND(J99&lt;=EOMONTH(AT$4,0),L99&gt;=AT$4),1,""))</f>
        <v/>
      </c>
      <c r="AU99" s="26">
        <f>IF(OR(J99="",L99=""),"",IF(AND(J99&lt;=EOMONTH(AU$4,0),L99&gt;=AU$4),1,""))</f>
        <v/>
      </c>
      <c r="AV99" s="26">
        <f>IF(OR(J99="",L99=""),"",IF(AND(J99&lt;=EOMONTH(AV$4,0),L99&gt;=AV$4),1,""))</f>
        <v/>
      </c>
      <c r="AW99" s="26">
        <f>IF(OR(J99="",L99=""),"",IF(AND(J99&lt;=EOMONTH(AW$4,0),L99&gt;=AW$4),1,""))</f>
        <v/>
      </c>
      <c r="AX99" s="26">
        <f>IF(OR(J99="",L99=""),"",IF(AND(J99&lt;=EOMONTH(AX$4,0),L99&gt;=AX$4),1,""))</f>
        <v/>
      </c>
      <c r="AY99" s="26">
        <f>IF(OR(J99="",L99=""),"",IF(AND(J99&lt;=EOMONTH(AY$4,0),L99&gt;=AY$4),1,""))</f>
        <v/>
      </c>
      <c r="AZ99" s="26">
        <f>IF(OR(J99="",L99=""),"",IF(AND(J99&lt;=EOMONTH(AZ$4,0),L99&gt;=AZ$4),1,""))</f>
        <v/>
      </c>
      <c r="BA99" s="26">
        <f>IF(OR(J99="",L99=""),"",IF(AND(J99&lt;=EOMONTH(BA$4,0),L99&gt;=BA$4),1,""))</f>
        <v/>
      </c>
      <c r="BB99" s="26">
        <f>IF(OR(J99="",L99=""),"",IF(AND(J99&lt;=EOMONTH(BB$4,0),L99&gt;=BB$4),1,""))</f>
        <v/>
      </c>
    </row>
    <row r="100">
      <c r="A100" s="27" t="n"/>
      <c r="B100" s="28" t="n"/>
      <c r="C100" s="29" t="n"/>
      <c r="D100" s="30">
        <f>IF(E100="","","CWA-"&amp;MID(E100,5,4))</f>
        <v/>
      </c>
      <c r="E100" s="29" t="n"/>
      <c r="F100" s="31" t="n"/>
      <c r="G100" s="29" t="n"/>
      <c r="H100" s="28" t="n"/>
      <c r="I100" s="29" t="n"/>
      <c r="J100" s="32" t="n"/>
      <c r="K100" s="28" t="n"/>
      <c r="L100" s="33">
        <f>IF(OR(J100="",K100=""),"",J100+7*K100-1)</f>
        <v/>
      </c>
      <c r="M100" s="33">
        <f>IF(J100="","",J100-7*$E$3)</f>
        <v/>
      </c>
      <c r="N100" s="33">
        <f>IF(J100="","",J100-7*$H$3)</f>
        <v/>
      </c>
      <c r="O100" s="33">
        <f>IF(J100="","",J100-1*$K$3)</f>
        <v/>
      </c>
      <c r="P100" s="30">
        <f>IF(OR(E100="",I100="",I100="—"),IF(E100="","","OK"),IFERROR(IF(INDEX($L$6:$L$155,MATCH(I100,$E$6:$E$155,0))&gt;=J100,"Conflicto con predecesor","OK"),"Predecesor no encontrado"))</f>
        <v/>
      </c>
      <c r="Q100" s="29" t="n"/>
      <c r="R100" s="31" t="n"/>
      <c r="S100" s="26">
        <f>IF(OR(J100="",L100=""),"",IF(AND(J100&lt;=EOMONTH(S$4,0),L100&gt;=S$4),1,""))</f>
        <v/>
      </c>
      <c r="T100" s="26">
        <f>IF(OR(J100="",L100=""),"",IF(AND(J100&lt;=EOMONTH(T$4,0),L100&gt;=T$4),1,""))</f>
        <v/>
      </c>
      <c r="U100" s="26">
        <f>IF(OR(J100="",L100=""),"",IF(AND(J100&lt;=EOMONTH(U$4,0),L100&gt;=U$4),1,""))</f>
        <v/>
      </c>
      <c r="V100" s="26">
        <f>IF(OR(J100="",L100=""),"",IF(AND(J100&lt;=EOMONTH(V$4,0),L100&gt;=V$4),1,""))</f>
        <v/>
      </c>
      <c r="W100" s="26">
        <f>IF(OR(J100="",L100=""),"",IF(AND(J100&lt;=EOMONTH(W$4,0),L100&gt;=W$4),1,""))</f>
        <v/>
      </c>
      <c r="X100" s="26">
        <f>IF(OR(J100="",L100=""),"",IF(AND(J100&lt;=EOMONTH(X$4,0),L100&gt;=X$4),1,""))</f>
        <v/>
      </c>
      <c r="Y100" s="26">
        <f>IF(OR(J100="",L100=""),"",IF(AND(J100&lt;=EOMONTH(Y$4,0),L100&gt;=Y$4),1,""))</f>
        <v/>
      </c>
      <c r="Z100" s="26">
        <f>IF(OR(J100="",L100=""),"",IF(AND(J100&lt;=EOMONTH(Z$4,0),L100&gt;=Z$4),1,""))</f>
        <v/>
      </c>
      <c r="AA100" s="26">
        <f>IF(OR(J100="",L100=""),"",IF(AND(J100&lt;=EOMONTH(AA$4,0),L100&gt;=AA$4),1,""))</f>
        <v/>
      </c>
      <c r="AB100" s="26">
        <f>IF(OR(J100="",L100=""),"",IF(AND(J100&lt;=EOMONTH(AB$4,0),L100&gt;=AB$4),1,""))</f>
        <v/>
      </c>
      <c r="AC100" s="26">
        <f>IF(OR(J100="",L100=""),"",IF(AND(J100&lt;=EOMONTH(AC$4,0),L100&gt;=AC$4),1,""))</f>
        <v/>
      </c>
      <c r="AD100" s="26">
        <f>IF(OR(J100="",L100=""),"",IF(AND(J100&lt;=EOMONTH(AD$4,0),L100&gt;=AD$4),1,""))</f>
        <v/>
      </c>
      <c r="AE100" s="26">
        <f>IF(OR(J100="",L100=""),"",IF(AND(J100&lt;=EOMONTH(AE$4,0),L100&gt;=AE$4),1,""))</f>
        <v/>
      </c>
      <c r="AF100" s="26">
        <f>IF(OR(J100="",L100=""),"",IF(AND(J100&lt;=EOMONTH(AF$4,0),L100&gt;=AF$4),1,""))</f>
        <v/>
      </c>
      <c r="AG100" s="26">
        <f>IF(OR(J100="",L100=""),"",IF(AND(J100&lt;=EOMONTH(AG$4,0),L100&gt;=AG$4),1,""))</f>
        <v/>
      </c>
      <c r="AH100" s="26">
        <f>IF(OR(J100="",L100=""),"",IF(AND(J100&lt;=EOMONTH(AH$4,0),L100&gt;=AH$4),1,""))</f>
        <v/>
      </c>
      <c r="AI100" s="26">
        <f>IF(OR(J100="",L100=""),"",IF(AND(J100&lt;=EOMONTH(AI$4,0),L100&gt;=AI$4),1,""))</f>
        <v/>
      </c>
      <c r="AJ100" s="26">
        <f>IF(OR(J100="",L100=""),"",IF(AND(J100&lt;=EOMONTH(AJ$4,0),L100&gt;=AJ$4),1,""))</f>
        <v/>
      </c>
      <c r="AK100" s="26">
        <f>IF(OR(J100="",L100=""),"",IF(AND(J100&lt;=EOMONTH(AK$4,0),L100&gt;=AK$4),1,""))</f>
        <v/>
      </c>
      <c r="AL100" s="26">
        <f>IF(OR(J100="",L100=""),"",IF(AND(J100&lt;=EOMONTH(AL$4,0),L100&gt;=AL$4),1,""))</f>
        <v/>
      </c>
      <c r="AM100" s="26">
        <f>IF(OR(J100="",L100=""),"",IF(AND(J100&lt;=EOMONTH(AM$4,0),L100&gt;=AM$4),1,""))</f>
        <v/>
      </c>
      <c r="AN100" s="26">
        <f>IF(OR(J100="",L100=""),"",IF(AND(J100&lt;=EOMONTH(AN$4,0),L100&gt;=AN$4),1,""))</f>
        <v/>
      </c>
      <c r="AO100" s="26">
        <f>IF(OR(J100="",L100=""),"",IF(AND(J100&lt;=EOMONTH(AO$4,0),L100&gt;=AO$4),1,""))</f>
        <v/>
      </c>
      <c r="AP100" s="26">
        <f>IF(OR(J100="",L100=""),"",IF(AND(J100&lt;=EOMONTH(AP$4,0),L100&gt;=AP$4),1,""))</f>
        <v/>
      </c>
      <c r="AQ100" s="26">
        <f>IF(OR(J100="",L100=""),"",IF(AND(J100&lt;=EOMONTH(AQ$4,0),L100&gt;=AQ$4),1,""))</f>
        <v/>
      </c>
      <c r="AR100" s="26">
        <f>IF(OR(J100="",L100=""),"",IF(AND(J100&lt;=EOMONTH(AR$4,0),L100&gt;=AR$4),1,""))</f>
        <v/>
      </c>
      <c r="AS100" s="26">
        <f>IF(OR(J100="",L100=""),"",IF(AND(J100&lt;=EOMONTH(AS$4,0),L100&gt;=AS$4),1,""))</f>
        <v/>
      </c>
      <c r="AT100" s="26">
        <f>IF(OR(J100="",L100=""),"",IF(AND(J100&lt;=EOMONTH(AT$4,0),L100&gt;=AT$4),1,""))</f>
        <v/>
      </c>
      <c r="AU100" s="26">
        <f>IF(OR(J100="",L100=""),"",IF(AND(J100&lt;=EOMONTH(AU$4,0),L100&gt;=AU$4),1,""))</f>
        <v/>
      </c>
      <c r="AV100" s="26">
        <f>IF(OR(J100="",L100=""),"",IF(AND(J100&lt;=EOMONTH(AV$4,0),L100&gt;=AV$4),1,""))</f>
        <v/>
      </c>
      <c r="AW100" s="26">
        <f>IF(OR(J100="",L100=""),"",IF(AND(J100&lt;=EOMONTH(AW$4,0),L100&gt;=AW$4),1,""))</f>
        <v/>
      </c>
      <c r="AX100" s="26">
        <f>IF(OR(J100="",L100=""),"",IF(AND(J100&lt;=EOMONTH(AX$4,0),L100&gt;=AX$4),1,""))</f>
        <v/>
      </c>
      <c r="AY100" s="26">
        <f>IF(OR(J100="",L100=""),"",IF(AND(J100&lt;=EOMONTH(AY$4,0),L100&gt;=AY$4),1,""))</f>
        <v/>
      </c>
      <c r="AZ100" s="26">
        <f>IF(OR(J100="",L100=""),"",IF(AND(J100&lt;=EOMONTH(AZ$4,0),L100&gt;=AZ$4),1,""))</f>
        <v/>
      </c>
      <c r="BA100" s="26">
        <f>IF(OR(J100="",L100=""),"",IF(AND(J100&lt;=EOMONTH(BA$4,0),L100&gt;=BA$4),1,""))</f>
        <v/>
      </c>
      <c r="BB100" s="26">
        <f>IF(OR(J100="",L100=""),"",IF(AND(J100&lt;=EOMONTH(BB$4,0),L100&gt;=BB$4),1,""))</f>
        <v/>
      </c>
    </row>
    <row r="101">
      <c r="A101" s="27" t="n"/>
      <c r="B101" s="28" t="n"/>
      <c r="C101" s="29" t="n"/>
      <c r="D101" s="30">
        <f>IF(E101="","","CWA-"&amp;MID(E101,5,4))</f>
        <v/>
      </c>
      <c r="E101" s="29" t="n"/>
      <c r="F101" s="31" t="n"/>
      <c r="G101" s="29" t="n"/>
      <c r="H101" s="28" t="n"/>
      <c r="I101" s="29" t="n"/>
      <c r="J101" s="32" t="n"/>
      <c r="K101" s="28" t="n"/>
      <c r="L101" s="33">
        <f>IF(OR(J101="",K101=""),"",J101+7*K101-1)</f>
        <v/>
      </c>
      <c r="M101" s="33">
        <f>IF(J101="","",J101-7*$E$3)</f>
        <v/>
      </c>
      <c r="N101" s="33">
        <f>IF(J101="","",J101-7*$H$3)</f>
        <v/>
      </c>
      <c r="O101" s="33">
        <f>IF(J101="","",J101-1*$K$3)</f>
        <v/>
      </c>
      <c r="P101" s="30">
        <f>IF(OR(E101="",I101="",I101="—"),IF(E101="","","OK"),IFERROR(IF(INDEX($L$6:$L$155,MATCH(I101,$E$6:$E$155,0))&gt;=J101,"Conflicto con predecesor","OK"),"Predecesor no encontrado"))</f>
        <v/>
      </c>
      <c r="Q101" s="29" t="n"/>
      <c r="R101" s="31" t="n"/>
      <c r="S101" s="26">
        <f>IF(OR(J101="",L101=""),"",IF(AND(J101&lt;=EOMONTH(S$4,0),L101&gt;=S$4),1,""))</f>
        <v/>
      </c>
      <c r="T101" s="26">
        <f>IF(OR(J101="",L101=""),"",IF(AND(J101&lt;=EOMONTH(T$4,0),L101&gt;=T$4),1,""))</f>
        <v/>
      </c>
      <c r="U101" s="26">
        <f>IF(OR(J101="",L101=""),"",IF(AND(J101&lt;=EOMONTH(U$4,0),L101&gt;=U$4),1,""))</f>
        <v/>
      </c>
      <c r="V101" s="26">
        <f>IF(OR(J101="",L101=""),"",IF(AND(J101&lt;=EOMONTH(V$4,0),L101&gt;=V$4),1,""))</f>
        <v/>
      </c>
      <c r="W101" s="26">
        <f>IF(OR(J101="",L101=""),"",IF(AND(J101&lt;=EOMONTH(W$4,0),L101&gt;=W$4),1,""))</f>
        <v/>
      </c>
      <c r="X101" s="26">
        <f>IF(OR(J101="",L101=""),"",IF(AND(J101&lt;=EOMONTH(X$4,0),L101&gt;=X$4),1,""))</f>
        <v/>
      </c>
      <c r="Y101" s="26">
        <f>IF(OR(J101="",L101=""),"",IF(AND(J101&lt;=EOMONTH(Y$4,0),L101&gt;=Y$4),1,""))</f>
        <v/>
      </c>
      <c r="Z101" s="26">
        <f>IF(OR(J101="",L101=""),"",IF(AND(J101&lt;=EOMONTH(Z$4,0),L101&gt;=Z$4),1,""))</f>
        <v/>
      </c>
      <c r="AA101" s="26">
        <f>IF(OR(J101="",L101=""),"",IF(AND(J101&lt;=EOMONTH(AA$4,0),L101&gt;=AA$4),1,""))</f>
        <v/>
      </c>
      <c r="AB101" s="26">
        <f>IF(OR(J101="",L101=""),"",IF(AND(J101&lt;=EOMONTH(AB$4,0),L101&gt;=AB$4),1,""))</f>
        <v/>
      </c>
      <c r="AC101" s="26">
        <f>IF(OR(J101="",L101=""),"",IF(AND(J101&lt;=EOMONTH(AC$4,0),L101&gt;=AC$4),1,""))</f>
        <v/>
      </c>
      <c r="AD101" s="26">
        <f>IF(OR(J101="",L101=""),"",IF(AND(J101&lt;=EOMONTH(AD$4,0),L101&gt;=AD$4),1,""))</f>
        <v/>
      </c>
      <c r="AE101" s="26">
        <f>IF(OR(J101="",L101=""),"",IF(AND(J101&lt;=EOMONTH(AE$4,0),L101&gt;=AE$4),1,""))</f>
        <v/>
      </c>
      <c r="AF101" s="26">
        <f>IF(OR(J101="",L101=""),"",IF(AND(J101&lt;=EOMONTH(AF$4,0),L101&gt;=AF$4),1,""))</f>
        <v/>
      </c>
      <c r="AG101" s="26">
        <f>IF(OR(J101="",L101=""),"",IF(AND(J101&lt;=EOMONTH(AG$4,0),L101&gt;=AG$4),1,""))</f>
        <v/>
      </c>
      <c r="AH101" s="26">
        <f>IF(OR(J101="",L101=""),"",IF(AND(J101&lt;=EOMONTH(AH$4,0),L101&gt;=AH$4),1,""))</f>
        <v/>
      </c>
      <c r="AI101" s="26">
        <f>IF(OR(J101="",L101=""),"",IF(AND(J101&lt;=EOMONTH(AI$4,0),L101&gt;=AI$4),1,""))</f>
        <v/>
      </c>
      <c r="AJ101" s="26">
        <f>IF(OR(J101="",L101=""),"",IF(AND(J101&lt;=EOMONTH(AJ$4,0),L101&gt;=AJ$4),1,""))</f>
        <v/>
      </c>
      <c r="AK101" s="26">
        <f>IF(OR(J101="",L101=""),"",IF(AND(J101&lt;=EOMONTH(AK$4,0),L101&gt;=AK$4),1,""))</f>
        <v/>
      </c>
      <c r="AL101" s="26">
        <f>IF(OR(J101="",L101=""),"",IF(AND(J101&lt;=EOMONTH(AL$4,0),L101&gt;=AL$4),1,""))</f>
        <v/>
      </c>
      <c r="AM101" s="26">
        <f>IF(OR(J101="",L101=""),"",IF(AND(J101&lt;=EOMONTH(AM$4,0),L101&gt;=AM$4),1,""))</f>
        <v/>
      </c>
      <c r="AN101" s="26">
        <f>IF(OR(J101="",L101=""),"",IF(AND(J101&lt;=EOMONTH(AN$4,0),L101&gt;=AN$4),1,""))</f>
        <v/>
      </c>
      <c r="AO101" s="26">
        <f>IF(OR(J101="",L101=""),"",IF(AND(J101&lt;=EOMONTH(AO$4,0),L101&gt;=AO$4),1,""))</f>
        <v/>
      </c>
      <c r="AP101" s="26">
        <f>IF(OR(J101="",L101=""),"",IF(AND(J101&lt;=EOMONTH(AP$4,0),L101&gt;=AP$4),1,""))</f>
        <v/>
      </c>
      <c r="AQ101" s="26">
        <f>IF(OR(J101="",L101=""),"",IF(AND(J101&lt;=EOMONTH(AQ$4,0),L101&gt;=AQ$4),1,""))</f>
        <v/>
      </c>
      <c r="AR101" s="26">
        <f>IF(OR(J101="",L101=""),"",IF(AND(J101&lt;=EOMONTH(AR$4,0),L101&gt;=AR$4),1,""))</f>
        <v/>
      </c>
      <c r="AS101" s="26">
        <f>IF(OR(J101="",L101=""),"",IF(AND(J101&lt;=EOMONTH(AS$4,0),L101&gt;=AS$4),1,""))</f>
        <v/>
      </c>
      <c r="AT101" s="26">
        <f>IF(OR(J101="",L101=""),"",IF(AND(J101&lt;=EOMONTH(AT$4,0),L101&gt;=AT$4),1,""))</f>
        <v/>
      </c>
      <c r="AU101" s="26">
        <f>IF(OR(J101="",L101=""),"",IF(AND(J101&lt;=EOMONTH(AU$4,0),L101&gt;=AU$4),1,""))</f>
        <v/>
      </c>
      <c r="AV101" s="26">
        <f>IF(OR(J101="",L101=""),"",IF(AND(J101&lt;=EOMONTH(AV$4,0),L101&gt;=AV$4),1,""))</f>
        <v/>
      </c>
      <c r="AW101" s="26">
        <f>IF(OR(J101="",L101=""),"",IF(AND(J101&lt;=EOMONTH(AW$4,0),L101&gt;=AW$4),1,""))</f>
        <v/>
      </c>
      <c r="AX101" s="26">
        <f>IF(OR(J101="",L101=""),"",IF(AND(J101&lt;=EOMONTH(AX$4,0),L101&gt;=AX$4),1,""))</f>
        <v/>
      </c>
      <c r="AY101" s="26">
        <f>IF(OR(J101="",L101=""),"",IF(AND(J101&lt;=EOMONTH(AY$4,0),L101&gt;=AY$4),1,""))</f>
        <v/>
      </c>
      <c r="AZ101" s="26">
        <f>IF(OR(J101="",L101=""),"",IF(AND(J101&lt;=EOMONTH(AZ$4,0),L101&gt;=AZ$4),1,""))</f>
        <v/>
      </c>
      <c r="BA101" s="26">
        <f>IF(OR(J101="",L101=""),"",IF(AND(J101&lt;=EOMONTH(BA$4,0),L101&gt;=BA$4),1,""))</f>
        <v/>
      </c>
      <c r="BB101" s="26">
        <f>IF(OR(J101="",L101=""),"",IF(AND(J101&lt;=EOMONTH(BB$4,0),L101&gt;=BB$4),1,""))</f>
        <v/>
      </c>
    </row>
    <row r="102">
      <c r="A102" s="27" t="n"/>
      <c r="B102" s="28" t="n"/>
      <c r="C102" s="29" t="n"/>
      <c r="D102" s="30">
        <f>IF(E102="","","CWA-"&amp;MID(E102,5,4))</f>
        <v/>
      </c>
      <c r="E102" s="29" t="n"/>
      <c r="F102" s="31" t="n"/>
      <c r="G102" s="29" t="n"/>
      <c r="H102" s="28" t="n"/>
      <c r="I102" s="29" t="n"/>
      <c r="J102" s="32" t="n"/>
      <c r="K102" s="28" t="n"/>
      <c r="L102" s="33">
        <f>IF(OR(J102="",K102=""),"",J102+7*K102-1)</f>
        <v/>
      </c>
      <c r="M102" s="33">
        <f>IF(J102="","",J102-7*$E$3)</f>
        <v/>
      </c>
      <c r="N102" s="33">
        <f>IF(J102="","",J102-7*$H$3)</f>
        <v/>
      </c>
      <c r="O102" s="33">
        <f>IF(J102="","",J102-1*$K$3)</f>
        <v/>
      </c>
      <c r="P102" s="30">
        <f>IF(OR(E102="",I102="",I102="—"),IF(E102="","","OK"),IFERROR(IF(INDEX($L$6:$L$155,MATCH(I102,$E$6:$E$155,0))&gt;=J102,"Conflicto con predecesor","OK"),"Predecesor no encontrado"))</f>
        <v/>
      </c>
      <c r="Q102" s="29" t="n"/>
      <c r="R102" s="31" t="n"/>
      <c r="S102" s="26">
        <f>IF(OR(J102="",L102=""),"",IF(AND(J102&lt;=EOMONTH(S$4,0),L102&gt;=S$4),1,""))</f>
        <v/>
      </c>
      <c r="T102" s="26">
        <f>IF(OR(J102="",L102=""),"",IF(AND(J102&lt;=EOMONTH(T$4,0),L102&gt;=T$4),1,""))</f>
        <v/>
      </c>
      <c r="U102" s="26">
        <f>IF(OR(J102="",L102=""),"",IF(AND(J102&lt;=EOMONTH(U$4,0),L102&gt;=U$4),1,""))</f>
        <v/>
      </c>
      <c r="V102" s="26">
        <f>IF(OR(J102="",L102=""),"",IF(AND(J102&lt;=EOMONTH(V$4,0),L102&gt;=V$4),1,""))</f>
        <v/>
      </c>
      <c r="W102" s="26">
        <f>IF(OR(J102="",L102=""),"",IF(AND(J102&lt;=EOMONTH(W$4,0),L102&gt;=W$4),1,""))</f>
        <v/>
      </c>
      <c r="X102" s="26">
        <f>IF(OR(J102="",L102=""),"",IF(AND(J102&lt;=EOMONTH(X$4,0),L102&gt;=X$4),1,""))</f>
        <v/>
      </c>
      <c r="Y102" s="26">
        <f>IF(OR(J102="",L102=""),"",IF(AND(J102&lt;=EOMONTH(Y$4,0),L102&gt;=Y$4),1,""))</f>
        <v/>
      </c>
      <c r="Z102" s="26">
        <f>IF(OR(J102="",L102=""),"",IF(AND(J102&lt;=EOMONTH(Z$4,0),L102&gt;=Z$4),1,""))</f>
        <v/>
      </c>
      <c r="AA102" s="26">
        <f>IF(OR(J102="",L102=""),"",IF(AND(J102&lt;=EOMONTH(AA$4,0),L102&gt;=AA$4),1,""))</f>
        <v/>
      </c>
      <c r="AB102" s="26">
        <f>IF(OR(J102="",L102=""),"",IF(AND(J102&lt;=EOMONTH(AB$4,0),L102&gt;=AB$4),1,""))</f>
        <v/>
      </c>
      <c r="AC102" s="26">
        <f>IF(OR(J102="",L102=""),"",IF(AND(J102&lt;=EOMONTH(AC$4,0),L102&gt;=AC$4),1,""))</f>
        <v/>
      </c>
      <c r="AD102" s="26">
        <f>IF(OR(J102="",L102=""),"",IF(AND(J102&lt;=EOMONTH(AD$4,0),L102&gt;=AD$4),1,""))</f>
        <v/>
      </c>
      <c r="AE102" s="26">
        <f>IF(OR(J102="",L102=""),"",IF(AND(J102&lt;=EOMONTH(AE$4,0),L102&gt;=AE$4),1,""))</f>
        <v/>
      </c>
      <c r="AF102" s="26">
        <f>IF(OR(J102="",L102=""),"",IF(AND(J102&lt;=EOMONTH(AF$4,0),L102&gt;=AF$4),1,""))</f>
        <v/>
      </c>
      <c r="AG102" s="26">
        <f>IF(OR(J102="",L102=""),"",IF(AND(J102&lt;=EOMONTH(AG$4,0),L102&gt;=AG$4),1,""))</f>
        <v/>
      </c>
      <c r="AH102" s="26">
        <f>IF(OR(J102="",L102=""),"",IF(AND(J102&lt;=EOMONTH(AH$4,0),L102&gt;=AH$4),1,""))</f>
        <v/>
      </c>
      <c r="AI102" s="26">
        <f>IF(OR(J102="",L102=""),"",IF(AND(J102&lt;=EOMONTH(AI$4,0),L102&gt;=AI$4),1,""))</f>
        <v/>
      </c>
      <c r="AJ102" s="26">
        <f>IF(OR(J102="",L102=""),"",IF(AND(J102&lt;=EOMONTH(AJ$4,0),L102&gt;=AJ$4),1,""))</f>
        <v/>
      </c>
      <c r="AK102" s="26">
        <f>IF(OR(J102="",L102=""),"",IF(AND(J102&lt;=EOMONTH(AK$4,0),L102&gt;=AK$4),1,""))</f>
        <v/>
      </c>
      <c r="AL102" s="26">
        <f>IF(OR(J102="",L102=""),"",IF(AND(J102&lt;=EOMONTH(AL$4,0),L102&gt;=AL$4),1,""))</f>
        <v/>
      </c>
      <c r="AM102" s="26">
        <f>IF(OR(J102="",L102=""),"",IF(AND(J102&lt;=EOMONTH(AM$4,0),L102&gt;=AM$4),1,""))</f>
        <v/>
      </c>
      <c r="AN102" s="26">
        <f>IF(OR(J102="",L102=""),"",IF(AND(J102&lt;=EOMONTH(AN$4,0),L102&gt;=AN$4),1,""))</f>
        <v/>
      </c>
      <c r="AO102" s="26">
        <f>IF(OR(J102="",L102=""),"",IF(AND(J102&lt;=EOMONTH(AO$4,0),L102&gt;=AO$4),1,""))</f>
        <v/>
      </c>
      <c r="AP102" s="26">
        <f>IF(OR(J102="",L102=""),"",IF(AND(J102&lt;=EOMONTH(AP$4,0),L102&gt;=AP$4),1,""))</f>
        <v/>
      </c>
      <c r="AQ102" s="26">
        <f>IF(OR(J102="",L102=""),"",IF(AND(J102&lt;=EOMONTH(AQ$4,0),L102&gt;=AQ$4),1,""))</f>
        <v/>
      </c>
      <c r="AR102" s="26">
        <f>IF(OR(J102="",L102=""),"",IF(AND(J102&lt;=EOMONTH(AR$4,0),L102&gt;=AR$4),1,""))</f>
        <v/>
      </c>
      <c r="AS102" s="26">
        <f>IF(OR(J102="",L102=""),"",IF(AND(J102&lt;=EOMONTH(AS$4,0),L102&gt;=AS$4),1,""))</f>
        <v/>
      </c>
      <c r="AT102" s="26">
        <f>IF(OR(J102="",L102=""),"",IF(AND(J102&lt;=EOMONTH(AT$4,0),L102&gt;=AT$4),1,""))</f>
        <v/>
      </c>
      <c r="AU102" s="26">
        <f>IF(OR(J102="",L102=""),"",IF(AND(J102&lt;=EOMONTH(AU$4,0),L102&gt;=AU$4),1,""))</f>
        <v/>
      </c>
      <c r="AV102" s="26">
        <f>IF(OR(J102="",L102=""),"",IF(AND(J102&lt;=EOMONTH(AV$4,0),L102&gt;=AV$4),1,""))</f>
        <v/>
      </c>
      <c r="AW102" s="26">
        <f>IF(OR(J102="",L102=""),"",IF(AND(J102&lt;=EOMONTH(AW$4,0),L102&gt;=AW$4),1,""))</f>
        <v/>
      </c>
      <c r="AX102" s="26">
        <f>IF(OR(J102="",L102=""),"",IF(AND(J102&lt;=EOMONTH(AX$4,0),L102&gt;=AX$4),1,""))</f>
        <v/>
      </c>
      <c r="AY102" s="26">
        <f>IF(OR(J102="",L102=""),"",IF(AND(J102&lt;=EOMONTH(AY$4,0),L102&gt;=AY$4),1,""))</f>
        <v/>
      </c>
      <c r="AZ102" s="26">
        <f>IF(OR(J102="",L102=""),"",IF(AND(J102&lt;=EOMONTH(AZ$4,0),L102&gt;=AZ$4),1,""))</f>
        <v/>
      </c>
      <c r="BA102" s="26">
        <f>IF(OR(J102="",L102=""),"",IF(AND(J102&lt;=EOMONTH(BA$4,0),L102&gt;=BA$4),1,""))</f>
        <v/>
      </c>
      <c r="BB102" s="26">
        <f>IF(OR(J102="",L102=""),"",IF(AND(J102&lt;=EOMONTH(BB$4,0),L102&gt;=BB$4),1,""))</f>
        <v/>
      </c>
    </row>
    <row r="103">
      <c r="A103" s="27" t="n"/>
      <c r="B103" s="28" t="n"/>
      <c r="C103" s="29" t="n"/>
      <c r="D103" s="30">
        <f>IF(E103="","","CWA-"&amp;MID(E103,5,4))</f>
        <v/>
      </c>
      <c r="E103" s="29" t="n"/>
      <c r="F103" s="31" t="n"/>
      <c r="G103" s="29" t="n"/>
      <c r="H103" s="28" t="n"/>
      <c r="I103" s="29" t="n"/>
      <c r="J103" s="32" t="n"/>
      <c r="K103" s="28" t="n"/>
      <c r="L103" s="33">
        <f>IF(OR(J103="",K103=""),"",J103+7*K103-1)</f>
        <v/>
      </c>
      <c r="M103" s="33">
        <f>IF(J103="","",J103-7*$E$3)</f>
        <v/>
      </c>
      <c r="N103" s="33">
        <f>IF(J103="","",J103-7*$H$3)</f>
        <v/>
      </c>
      <c r="O103" s="33">
        <f>IF(J103="","",J103-1*$K$3)</f>
        <v/>
      </c>
      <c r="P103" s="30">
        <f>IF(OR(E103="",I103="",I103="—"),IF(E103="","","OK"),IFERROR(IF(INDEX($L$6:$L$155,MATCH(I103,$E$6:$E$155,0))&gt;=J103,"Conflicto con predecesor","OK"),"Predecesor no encontrado"))</f>
        <v/>
      </c>
      <c r="Q103" s="29" t="n"/>
      <c r="R103" s="31" t="n"/>
      <c r="S103" s="26">
        <f>IF(OR(J103="",L103=""),"",IF(AND(J103&lt;=EOMONTH(S$4,0),L103&gt;=S$4),1,""))</f>
        <v/>
      </c>
      <c r="T103" s="26">
        <f>IF(OR(J103="",L103=""),"",IF(AND(J103&lt;=EOMONTH(T$4,0),L103&gt;=T$4),1,""))</f>
        <v/>
      </c>
      <c r="U103" s="26">
        <f>IF(OR(J103="",L103=""),"",IF(AND(J103&lt;=EOMONTH(U$4,0),L103&gt;=U$4),1,""))</f>
        <v/>
      </c>
      <c r="V103" s="26">
        <f>IF(OR(J103="",L103=""),"",IF(AND(J103&lt;=EOMONTH(V$4,0),L103&gt;=V$4),1,""))</f>
        <v/>
      </c>
      <c r="W103" s="26">
        <f>IF(OR(J103="",L103=""),"",IF(AND(J103&lt;=EOMONTH(W$4,0),L103&gt;=W$4),1,""))</f>
        <v/>
      </c>
      <c r="X103" s="26">
        <f>IF(OR(J103="",L103=""),"",IF(AND(J103&lt;=EOMONTH(X$4,0),L103&gt;=X$4),1,""))</f>
        <v/>
      </c>
      <c r="Y103" s="26">
        <f>IF(OR(J103="",L103=""),"",IF(AND(J103&lt;=EOMONTH(Y$4,0),L103&gt;=Y$4),1,""))</f>
        <v/>
      </c>
      <c r="Z103" s="26">
        <f>IF(OR(J103="",L103=""),"",IF(AND(J103&lt;=EOMONTH(Z$4,0),L103&gt;=Z$4),1,""))</f>
        <v/>
      </c>
      <c r="AA103" s="26">
        <f>IF(OR(J103="",L103=""),"",IF(AND(J103&lt;=EOMONTH(AA$4,0),L103&gt;=AA$4),1,""))</f>
        <v/>
      </c>
      <c r="AB103" s="26">
        <f>IF(OR(J103="",L103=""),"",IF(AND(J103&lt;=EOMONTH(AB$4,0),L103&gt;=AB$4),1,""))</f>
        <v/>
      </c>
      <c r="AC103" s="26">
        <f>IF(OR(J103="",L103=""),"",IF(AND(J103&lt;=EOMONTH(AC$4,0),L103&gt;=AC$4),1,""))</f>
        <v/>
      </c>
      <c r="AD103" s="26">
        <f>IF(OR(J103="",L103=""),"",IF(AND(J103&lt;=EOMONTH(AD$4,0),L103&gt;=AD$4),1,""))</f>
        <v/>
      </c>
      <c r="AE103" s="26">
        <f>IF(OR(J103="",L103=""),"",IF(AND(J103&lt;=EOMONTH(AE$4,0),L103&gt;=AE$4),1,""))</f>
        <v/>
      </c>
      <c r="AF103" s="26">
        <f>IF(OR(J103="",L103=""),"",IF(AND(J103&lt;=EOMONTH(AF$4,0),L103&gt;=AF$4),1,""))</f>
        <v/>
      </c>
      <c r="AG103" s="26">
        <f>IF(OR(J103="",L103=""),"",IF(AND(J103&lt;=EOMONTH(AG$4,0),L103&gt;=AG$4),1,""))</f>
        <v/>
      </c>
      <c r="AH103" s="26">
        <f>IF(OR(J103="",L103=""),"",IF(AND(J103&lt;=EOMONTH(AH$4,0),L103&gt;=AH$4),1,""))</f>
        <v/>
      </c>
      <c r="AI103" s="26">
        <f>IF(OR(J103="",L103=""),"",IF(AND(J103&lt;=EOMONTH(AI$4,0),L103&gt;=AI$4),1,""))</f>
        <v/>
      </c>
      <c r="AJ103" s="26">
        <f>IF(OR(J103="",L103=""),"",IF(AND(J103&lt;=EOMONTH(AJ$4,0),L103&gt;=AJ$4),1,""))</f>
        <v/>
      </c>
      <c r="AK103" s="26">
        <f>IF(OR(J103="",L103=""),"",IF(AND(J103&lt;=EOMONTH(AK$4,0),L103&gt;=AK$4),1,""))</f>
        <v/>
      </c>
      <c r="AL103" s="26">
        <f>IF(OR(J103="",L103=""),"",IF(AND(J103&lt;=EOMONTH(AL$4,0),L103&gt;=AL$4),1,""))</f>
        <v/>
      </c>
      <c r="AM103" s="26">
        <f>IF(OR(J103="",L103=""),"",IF(AND(J103&lt;=EOMONTH(AM$4,0),L103&gt;=AM$4),1,""))</f>
        <v/>
      </c>
      <c r="AN103" s="26">
        <f>IF(OR(J103="",L103=""),"",IF(AND(J103&lt;=EOMONTH(AN$4,0),L103&gt;=AN$4),1,""))</f>
        <v/>
      </c>
      <c r="AO103" s="26">
        <f>IF(OR(J103="",L103=""),"",IF(AND(J103&lt;=EOMONTH(AO$4,0),L103&gt;=AO$4),1,""))</f>
        <v/>
      </c>
      <c r="AP103" s="26">
        <f>IF(OR(J103="",L103=""),"",IF(AND(J103&lt;=EOMONTH(AP$4,0),L103&gt;=AP$4),1,""))</f>
        <v/>
      </c>
      <c r="AQ103" s="26">
        <f>IF(OR(J103="",L103=""),"",IF(AND(J103&lt;=EOMONTH(AQ$4,0),L103&gt;=AQ$4),1,""))</f>
        <v/>
      </c>
      <c r="AR103" s="26">
        <f>IF(OR(J103="",L103=""),"",IF(AND(J103&lt;=EOMONTH(AR$4,0),L103&gt;=AR$4),1,""))</f>
        <v/>
      </c>
      <c r="AS103" s="26">
        <f>IF(OR(J103="",L103=""),"",IF(AND(J103&lt;=EOMONTH(AS$4,0),L103&gt;=AS$4),1,""))</f>
        <v/>
      </c>
      <c r="AT103" s="26">
        <f>IF(OR(J103="",L103=""),"",IF(AND(J103&lt;=EOMONTH(AT$4,0),L103&gt;=AT$4),1,""))</f>
        <v/>
      </c>
      <c r="AU103" s="26">
        <f>IF(OR(J103="",L103=""),"",IF(AND(J103&lt;=EOMONTH(AU$4,0),L103&gt;=AU$4),1,""))</f>
        <v/>
      </c>
      <c r="AV103" s="26">
        <f>IF(OR(J103="",L103=""),"",IF(AND(J103&lt;=EOMONTH(AV$4,0),L103&gt;=AV$4),1,""))</f>
        <v/>
      </c>
      <c r="AW103" s="26">
        <f>IF(OR(J103="",L103=""),"",IF(AND(J103&lt;=EOMONTH(AW$4,0),L103&gt;=AW$4),1,""))</f>
        <v/>
      </c>
      <c r="AX103" s="26">
        <f>IF(OR(J103="",L103=""),"",IF(AND(J103&lt;=EOMONTH(AX$4,0),L103&gt;=AX$4),1,""))</f>
        <v/>
      </c>
      <c r="AY103" s="26">
        <f>IF(OR(J103="",L103=""),"",IF(AND(J103&lt;=EOMONTH(AY$4,0),L103&gt;=AY$4),1,""))</f>
        <v/>
      </c>
      <c r="AZ103" s="26">
        <f>IF(OR(J103="",L103=""),"",IF(AND(J103&lt;=EOMONTH(AZ$4,0),L103&gt;=AZ$4),1,""))</f>
        <v/>
      </c>
      <c r="BA103" s="26">
        <f>IF(OR(J103="",L103=""),"",IF(AND(J103&lt;=EOMONTH(BA$4,0),L103&gt;=BA$4),1,""))</f>
        <v/>
      </c>
      <c r="BB103" s="26">
        <f>IF(OR(J103="",L103=""),"",IF(AND(J103&lt;=EOMONTH(BB$4,0),L103&gt;=BB$4),1,""))</f>
        <v/>
      </c>
    </row>
    <row r="104">
      <c r="A104" s="27" t="n"/>
      <c r="B104" s="28" t="n"/>
      <c r="C104" s="29" t="n"/>
      <c r="D104" s="30">
        <f>IF(E104="","","CWA-"&amp;MID(E104,5,4))</f>
        <v/>
      </c>
      <c r="E104" s="29" t="n"/>
      <c r="F104" s="31" t="n"/>
      <c r="G104" s="29" t="n"/>
      <c r="H104" s="28" t="n"/>
      <c r="I104" s="29" t="n"/>
      <c r="J104" s="32" t="n"/>
      <c r="K104" s="28" t="n"/>
      <c r="L104" s="33">
        <f>IF(OR(J104="",K104=""),"",J104+7*K104-1)</f>
        <v/>
      </c>
      <c r="M104" s="33">
        <f>IF(J104="","",J104-7*$E$3)</f>
        <v/>
      </c>
      <c r="N104" s="33">
        <f>IF(J104="","",J104-7*$H$3)</f>
        <v/>
      </c>
      <c r="O104" s="33">
        <f>IF(J104="","",J104-1*$K$3)</f>
        <v/>
      </c>
      <c r="P104" s="30">
        <f>IF(OR(E104="",I104="",I104="—"),IF(E104="","","OK"),IFERROR(IF(INDEX($L$6:$L$155,MATCH(I104,$E$6:$E$155,0))&gt;=J104,"Conflicto con predecesor","OK"),"Predecesor no encontrado"))</f>
        <v/>
      </c>
      <c r="Q104" s="29" t="n"/>
      <c r="R104" s="31" t="n"/>
      <c r="S104" s="26">
        <f>IF(OR(J104="",L104=""),"",IF(AND(J104&lt;=EOMONTH(S$4,0),L104&gt;=S$4),1,""))</f>
        <v/>
      </c>
      <c r="T104" s="26">
        <f>IF(OR(J104="",L104=""),"",IF(AND(J104&lt;=EOMONTH(T$4,0),L104&gt;=T$4),1,""))</f>
        <v/>
      </c>
      <c r="U104" s="26">
        <f>IF(OR(J104="",L104=""),"",IF(AND(J104&lt;=EOMONTH(U$4,0),L104&gt;=U$4),1,""))</f>
        <v/>
      </c>
      <c r="V104" s="26">
        <f>IF(OR(J104="",L104=""),"",IF(AND(J104&lt;=EOMONTH(V$4,0),L104&gt;=V$4),1,""))</f>
        <v/>
      </c>
      <c r="W104" s="26">
        <f>IF(OR(J104="",L104=""),"",IF(AND(J104&lt;=EOMONTH(W$4,0),L104&gt;=W$4),1,""))</f>
        <v/>
      </c>
      <c r="X104" s="26">
        <f>IF(OR(J104="",L104=""),"",IF(AND(J104&lt;=EOMONTH(X$4,0),L104&gt;=X$4),1,""))</f>
        <v/>
      </c>
      <c r="Y104" s="26">
        <f>IF(OR(J104="",L104=""),"",IF(AND(J104&lt;=EOMONTH(Y$4,0),L104&gt;=Y$4),1,""))</f>
        <v/>
      </c>
      <c r="Z104" s="26">
        <f>IF(OR(J104="",L104=""),"",IF(AND(J104&lt;=EOMONTH(Z$4,0),L104&gt;=Z$4),1,""))</f>
        <v/>
      </c>
      <c r="AA104" s="26">
        <f>IF(OR(J104="",L104=""),"",IF(AND(J104&lt;=EOMONTH(AA$4,0),L104&gt;=AA$4),1,""))</f>
        <v/>
      </c>
      <c r="AB104" s="26">
        <f>IF(OR(J104="",L104=""),"",IF(AND(J104&lt;=EOMONTH(AB$4,0),L104&gt;=AB$4),1,""))</f>
        <v/>
      </c>
      <c r="AC104" s="26">
        <f>IF(OR(J104="",L104=""),"",IF(AND(J104&lt;=EOMONTH(AC$4,0),L104&gt;=AC$4),1,""))</f>
        <v/>
      </c>
      <c r="AD104" s="26">
        <f>IF(OR(J104="",L104=""),"",IF(AND(J104&lt;=EOMONTH(AD$4,0),L104&gt;=AD$4),1,""))</f>
        <v/>
      </c>
      <c r="AE104" s="26">
        <f>IF(OR(J104="",L104=""),"",IF(AND(J104&lt;=EOMONTH(AE$4,0),L104&gt;=AE$4),1,""))</f>
        <v/>
      </c>
      <c r="AF104" s="26">
        <f>IF(OR(J104="",L104=""),"",IF(AND(J104&lt;=EOMONTH(AF$4,0),L104&gt;=AF$4),1,""))</f>
        <v/>
      </c>
      <c r="AG104" s="26">
        <f>IF(OR(J104="",L104=""),"",IF(AND(J104&lt;=EOMONTH(AG$4,0),L104&gt;=AG$4),1,""))</f>
        <v/>
      </c>
      <c r="AH104" s="26">
        <f>IF(OR(J104="",L104=""),"",IF(AND(J104&lt;=EOMONTH(AH$4,0),L104&gt;=AH$4),1,""))</f>
        <v/>
      </c>
      <c r="AI104" s="26">
        <f>IF(OR(J104="",L104=""),"",IF(AND(J104&lt;=EOMONTH(AI$4,0),L104&gt;=AI$4),1,""))</f>
        <v/>
      </c>
      <c r="AJ104" s="26">
        <f>IF(OR(J104="",L104=""),"",IF(AND(J104&lt;=EOMONTH(AJ$4,0),L104&gt;=AJ$4),1,""))</f>
        <v/>
      </c>
      <c r="AK104" s="26">
        <f>IF(OR(J104="",L104=""),"",IF(AND(J104&lt;=EOMONTH(AK$4,0),L104&gt;=AK$4),1,""))</f>
        <v/>
      </c>
      <c r="AL104" s="26">
        <f>IF(OR(J104="",L104=""),"",IF(AND(J104&lt;=EOMONTH(AL$4,0),L104&gt;=AL$4),1,""))</f>
        <v/>
      </c>
      <c r="AM104" s="26">
        <f>IF(OR(J104="",L104=""),"",IF(AND(J104&lt;=EOMONTH(AM$4,0),L104&gt;=AM$4),1,""))</f>
        <v/>
      </c>
      <c r="AN104" s="26">
        <f>IF(OR(J104="",L104=""),"",IF(AND(J104&lt;=EOMONTH(AN$4,0),L104&gt;=AN$4),1,""))</f>
        <v/>
      </c>
      <c r="AO104" s="26">
        <f>IF(OR(J104="",L104=""),"",IF(AND(J104&lt;=EOMONTH(AO$4,0),L104&gt;=AO$4),1,""))</f>
        <v/>
      </c>
      <c r="AP104" s="26">
        <f>IF(OR(J104="",L104=""),"",IF(AND(J104&lt;=EOMONTH(AP$4,0),L104&gt;=AP$4),1,""))</f>
        <v/>
      </c>
      <c r="AQ104" s="26">
        <f>IF(OR(J104="",L104=""),"",IF(AND(J104&lt;=EOMONTH(AQ$4,0),L104&gt;=AQ$4),1,""))</f>
        <v/>
      </c>
      <c r="AR104" s="26">
        <f>IF(OR(J104="",L104=""),"",IF(AND(J104&lt;=EOMONTH(AR$4,0),L104&gt;=AR$4),1,""))</f>
        <v/>
      </c>
      <c r="AS104" s="26">
        <f>IF(OR(J104="",L104=""),"",IF(AND(J104&lt;=EOMONTH(AS$4,0),L104&gt;=AS$4),1,""))</f>
        <v/>
      </c>
      <c r="AT104" s="26">
        <f>IF(OR(J104="",L104=""),"",IF(AND(J104&lt;=EOMONTH(AT$4,0),L104&gt;=AT$4),1,""))</f>
        <v/>
      </c>
      <c r="AU104" s="26">
        <f>IF(OR(J104="",L104=""),"",IF(AND(J104&lt;=EOMONTH(AU$4,0),L104&gt;=AU$4),1,""))</f>
        <v/>
      </c>
      <c r="AV104" s="26">
        <f>IF(OR(J104="",L104=""),"",IF(AND(J104&lt;=EOMONTH(AV$4,0),L104&gt;=AV$4),1,""))</f>
        <v/>
      </c>
      <c r="AW104" s="26">
        <f>IF(OR(J104="",L104=""),"",IF(AND(J104&lt;=EOMONTH(AW$4,0),L104&gt;=AW$4),1,""))</f>
        <v/>
      </c>
      <c r="AX104" s="26">
        <f>IF(OR(J104="",L104=""),"",IF(AND(J104&lt;=EOMONTH(AX$4,0),L104&gt;=AX$4),1,""))</f>
        <v/>
      </c>
      <c r="AY104" s="26">
        <f>IF(OR(J104="",L104=""),"",IF(AND(J104&lt;=EOMONTH(AY$4,0),L104&gt;=AY$4),1,""))</f>
        <v/>
      </c>
      <c r="AZ104" s="26">
        <f>IF(OR(J104="",L104=""),"",IF(AND(J104&lt;=EOMONTH(AZ$4,0),L104&gt;=AZ$4),1,""))</f>
        <v/>
      </c>
      <c r="BA104" s="26">
        <f>IF(OR(J104="",L104=""),"",IF(AND(J104&lt;=EOMONTH(BA$4,0),L104&gt;=BA$4),1,""))</f>
        <v/>
      </c>
      <c r="BB104" s="26">
        <f>IF(OR(J104="",L104=""),"",IF(AND(J104&lt;=EOMONTH(BB$4,0),L104&gt;=BB$4),1,""))</f>
        <v/>
      </c>
    </row>
    <row r="105">
      <c r="A105" s="27" t="n"/>
      <c r="B105" s="28" t="n"/>
      <c r="C105" s="29" t="n"/>
      <c r="D105" s="30">
        <f>IF(E105="","","CWA-"&amp;MID(E105,5,4))</f>
        <v/>
      </c>
      <c r="E105" s="29" t="n"/>
      <c r="F105" s="31" t="n"/>
      <c r="G105" s="29" t="n"/>
      <c r="H105" s="28" t="n"/>
      <c r="I105" s="29" t="n"/>
      <c r="J105" s="32" t="n"/>
      <c r="K105" s="28" t="n"/>
      <c r="L105" s="33">
        <f>IF(OR(J105="",K105=""),"",J105+7*K105-1)</f>
        <v/>
      </c>
      <c r="M105" s="33">
        <f>IF(J105="","",J105-7*$E$3)</f>
        <v/>
      </c>
      <c r="N105" s="33">
        <f>IF(J105="","",J105-7*$H$3)</f>
        <v/>
      </c>
      <c r="O105" s="33">
        <f>IF(J105="","",J105-1*$K$3)</f>
        <v/>
      </c>
      <c r="P105" s="30">
        <f>IF(OR(E105="",I105="",I105="—"),IF(E105="","","OK"),IFERROR(IF(INDEX($L$6:$L$155,MATCH(I105,$E$6:$E$155,0))&gt;=J105,"Conflicto con predecesor","OK"),"Predecesor no encontrado"))</f>
        <v/>
      </c>
      <c r="Q105" s="29" t="n"/>
      <c r="R105" s="31" t="n"/>
      <c r="S105" s="26">
        <f>IF(OR(J105="",L105=""),"",IF(AND(J105&lt;=EOMONTH(S$4,0),L105&gt;=S$4),1,""))</f>
        <v/>
      </c>
      <c r="T105" s="26">
        <f>IF(OR(J105="",L105=""),"",IF(AND(J105&lt;=EOMONTH(T$4,0),L105&gt;=T$4),1,""))</f>
        <v/>
      </c>
      <c r="U105" s="26">
        <f>IF(OR(J105="",L105=""),"",IF(AND(J105&lt;=EOMONTH(U$4,0),L105&gt;=U$4),1,""))</f>
        <v/>
      </c>
      <c r="V105" s="26">
        <f>IF(OR(J105="",L105=""),"",IF(AND(J105&lt;=EOMONTH(V$4,0),L105&gt;=V$4),1,""))</f>
        <v/>
      </c>
      <c r="W105" s="26">
        <f>IF(OR(J105="",L105=""),"",IF(AND(J105&lt;=EOMONTH(W$4,0),L105&gt;=W$4),1,""))</f>
        <v/>
      </c>
      <c r="X105" s="26">
        <f>IF(OR(J105="",L105=""),"",IF(AND(J105&lt;=EOMONTH(X$4,0),L105&gt;=X$4),1,""))</f>
        <v/>
      </c>
      <c r="Y105" s="26">
        <f>IF(OR(J105="",L105=""),"",IF(AND(J105&lt;=EOMONTH(Y$4,0),L105&gt;=Y$4),1,""))</f>
        <v/>
      </c>
      <c r="Z105" s="26">
        <f>IF(OR(J105="",L105=""),"",IF(AND(J105&lt;=EOMONTH(Z$4,0),L105&gt;=Z$4),1,""))</f>
        <v/>
      </c>
      <c r="AA105" s="26">
        <f>IF(OR(J105="",L105=""),"",IF(AND(J105&lt;=EOMONTH(AA$4,0),L105&gt;=AA$4),1,""))</f>
        <v/>
      </c>
      <c r="AB105" s="26">
        <f>IF(OR(J105="",L105=""),"",IF(AND(J105&lt;=EOMONTH(AB$4,0),L105&gt;=AB$4),1,""))</f>
        <v/>
      </c>
      <c r="AC105" s="26">
        <f>IF(OR(J105="",L105=""),"",IF(AND(J105&lt;=EOMONTH(AC$4,0),L105&gt;=AC$4),1,""))</f>
        <v/>
      </c>
      <c r="AD105" s="26">
        <f>IF(OR(J105="",L105=""),"",IF(AND(J105&lt;=EOMONTH(AD$4,0),L105&gt;=AD$4),1,""))</f>
        <v/>
      </c>
      <c r="AE105" s="26">
        <f>IF(OR(J105="",L105=""),"",IF(AND(J105&lt;=EOMONTH(AE$4,0),L105&gt;=AE$4),1,""))</f>
        <v/>
      </c>
      <c r="AF105" s="26">
        <f>IF(OR(J105="",L105=""),"",IF(AND(J105&lt;=EOMONTH(AF$4,0),L105&gt;=AF$4),1,""))</f>
        <v/>
      </c>
      <c r="AG105" s="26">
        <f>IF(OR(J105="",L105=""),"",IF(AND(J105&lt;=EOMONTH(AG$4,0),L105&gt;=AG$4),1,""))</f>
        <v/>
      </c>
      <c r="AH105" s="26">
        <f>IF(OR(J105="",L105=""),"",IF(AND(J105&lt;=EOMONTH(AH$4,0),L105&gt;=AH$4),1,""))</f>
        <v/>
      </c>
      <c r="AI105" s="26">
        <f>IF(OR(J105="",L105=""),"",IF(AND(J105&lt;=EOMONTH(AI$4,0),L105&gt;=AI$4),1,""))</f>
        <v/>
      </c>
      <c r="AJ105" s="26">
        <f>IF(OR(J105="",L105=""),"",IF(AND(J105&lt;=EOMONTH(AJ$4,0),L105&gt;=AJ$4),1,""))</f>
        <v/>
      </c>
      <c r="AK105" s="26">
        <f>IF(OR(J105="",L105=""),"",IF(AND(J105&lt;=EOMONTH(AK$4,0),L105&gt;=AK$4),1,""))</f>
        <v/>
      </c>
      <c r="AL105" s="26">
        <f>IF(OR(J105="",L105=""),"",IF(AND(J105&lt;=EOMONTH(AL$4,0),L105&gt;=AL$4),1,""))</f>
        <v/>
      </c>
      <c r="AM105" s="26">
        <f>IF(OR(J105="",L105=""),"",IF(AND(J105&lt;=EOMONTH(AM$4,0),L105&gt;=AM$4),1,""))</f>
        <v/>
      </c>
      <c r="AN105" s="26">
        <f>IF(OR(J105="",L105=""),"",IF(AND(J105&lt;=EOMONTH(AN$4,0),L105&gt;=AN$4),1,""))</f>
        <v/>
      </c>
      <c r="AO105" s="26">
        <f>IF(OR(J105="",L105=""),"",IF(AND(J105&lt;=EOMONTH(AO$4,0),L105&gt;=AO$4),1,""))</f>
        <v/>
      </c>
      <c r="AP105" s="26">
        <f>IF(OR(J105="",L105=""),"",IF(AND(J105&lt;=EOMONTH(AP$4,0),L105&gt;=AP$4),1,""))</f>
        <v/>
      </c>
      <c r="AQ105" s="26">
        <f>IF(OR(J105="",L105=""),"",IF(AND(J105&lt;=EOMONTH(AQ$4,0),L105&gt;=AQ$4),1,""))</f>
        <v/>
      </c>
      <c r="AR105" s="26">
        <f>IF(OR(J105="",L105=""),"",IF(AND(J105&lt;=EOMONTH(AR$4,0),L105&gt;=AR$4),1,""))</f>
        <v/>
      </c>
      <c r="AS105" s="26">
        <f>IF(OR(J105="",L105=""),"",IF(AND(J105&lt;=EOMONTH(AS$4,0),L105&gt;=AS$4),1,""))</f>
        <v/>
      </c>
      <c r="AT105" s="26">
        <f>IF(OR(J105="",L105=""),"",IF(AND(J105&lt;=EOMONTH(AT$4,0),L105&gt;=AT$4),1,""))</f>
        <v/>
      </c>
      <c r="AU105" s="26">
        <f>IF(OR(J105="",L105=""),"",IF(AND(J105&lt;=EOMONTH(AU$4,0),L105&gt;=AU$4),1,""))</f>
        <v/>
      </c>
      <c r="AV105" s="26">
        <f>IF(OR(J105="",L105=""),"",IF(AND(J105&lt;=EOMONTH(AV$4,0),L105&gt;=AV$4),1,""))</f>
        <v/>
      </c>
      <c r="AW105" s="26">
        <f>IF(OR(J105="",L105=""),"",IF(AND(J105&lt;=EOMONTH(AW$4,0),L105&gt;=AW$4),1,""))</f>
        <v/>
      </c>
      <c r="AX105" s="26">
        <f>IF(OR(J105="",L105=""),"",IF(AND(J105&lt;=EOMONTH(AX$4,0),L105&gt;=AX$4),1,""))</f>
        <v/>
      </c>
      <c r="AY105" s="26">
        <f>IF(OR(J105="",L105=""),"",IF(AND(J105&lt;=EOMONTH(AY$4,0),L105&gt;=AY$4),1,""))</f>
        <v/>
      </c>
      <c r="AZ105" s="26">
        <f>IF(OR(J105="",L105=""),"",IF(AND(J105&lt;=EOMONTH(AZ$4,0),L105&gt;=AZ$4),1,""))</f>
        <v/>
      </c>
      <c r="BA105" s="26">
        <f>IF(OR(J105="",L105=""),"",IF(AND(J105&lt;=EOMONTH(BA$4,0),L105&gt;=BA$4),1,""))</f>
        <v/>
      </c>
      <c r="BB105" s="26">
        <f>IF(OR(J105="",L105=""),"",IF(AND(J105&lt;=EOMONTH(BB$4,0),L105&gt;=BB$4),1,""))</f>
        <v/>
      </c>
    </row>
    <row r="106">
      <c r="A106" s="27" t="n"/>
      <c r="B106" s="28" t="n"/>
      <c r="C106" s="29" t="n"/>
      <c r="D106" s="30">
        <f>IF(E106="","","CWA-"&amp;MID(E106,5,4))</f>
        <v/>
      </c>
      <c r="E106" s="29" t="n"/>
      <c r="F106" s="31" t="n"/>
      <c r="G106" s="29" t="n"/>
      <c r="H106" s="28" t="n"/>
      <c r="I106" s="29" t="n"/>
      <c r="J106" s="32" t="n"/>
      <c r="K106" s="28" t="n"/>
      <c r="L106" s="33">
        <f>IF(OR(J106="",K106=""),"",J106+7*K106-1)</f>
        <v/>
      </c>
      <c r="M106" s="33">
        <f>IF(J106="","",J106-7*$E$3)</f>
        <v/>
      </c>
      <c r="N106" s="33">
        <f>IF(J106="","",J106-7*$H$3)</f>
        <v/>
      </c>
      <c r="O106" s="33">
        <f>IF(J106="","",J106-1*$K$3)</f>
        <v/>
      </c>
      <c r="P106" s="30">
        <f>IF(OR(E106="",I106="",I106="—"),IF(E106="","","OK"),IFERROR(IF(INDEX($L$6:$L$155,MATCH(I106,$E$6:$E$155,0))&gt;=J106,"Conflicto con predecesor","OK"),"Predecesor no encontrado"))</f>
        <v/>
      </c>
      <c r="Q106" s="29" t="n"/>
      <c r="R106" s="31" t="n"/>
      <c r="S106" s="26">
        <f>IF(OR(J106="",L106=""),"",IF(AND(J106&lt;=EOMONTH(S$4,0),L106&gt;=S$4),1,""))</f>
        <v/>
      </c>
      <c r="T106" s="26">
        <f>IF(OR(J106="",L106=""),"",IF(AND(J106&lt;=EOMONTH(T$4,0),L106&gt;=T$4),1,""))</f>
        <v/>
      </c>
      <c r="U106" s="26">
        <f>IF(OR(J106="",L106=""),"",IF(AND(J106&lt;=EOMONTH(U$4,0),L106&gt;=U$4),1,""))</f>
        <v/>
      </c>
      <c r="V106" s="26">
        <f>IF(OR(J106="",L106=""),"",IF(AND(J106&lt;=EOMONTH(V$4,0),L106&gt;=V$4),1,""))</f>
        <v/>
      </c>
      <c r="W106" s="26">
        <f>IF(OR(J106="",L106=""),"",IF(AND(J106&lt;=EOMONTH(W$4,0),L106&gt;=W$4),1,""))</f>
        <v/>
      </c>
      <c r="X106" s="26">
        <f>IF(OR(J106="",L106=""),"",IF(AND(J106&lt;=EOMONTH(X$4,0),L106&gt;=X$4),1,""))</f>
        <v/>
      </c>
      <c r="Y106" s="26">
        <f>IF(OR(J106="",L106=""),"",IF(AND(J106&lt;=EOMONTH(Y$4,0),L106&gt;=Y$4),1,""))</f>
        <v/>
      </c>
      <c r="Z106" s="26">
        <f>IF(OR(J106="",L106=""),"",IF(AND(J106&lt;=EOMONTH(Z$4,0),L106&gt;=Z$4),1,""))</f>
        <v/>
      </c>
      <c r="AA106" s="26">
        <f>IF(OR(J106="",L106=""),"",IF(AND(J106&lt;=EOMONTH(AA$4,0),L106&gt;=AA$4),1,""))</f>
        <v/>
      </c>
      <c r="AB106" s="26">
        <f>IF(OR(J106="",L106=""),"",IF(AND(J106&lt;=EOMONTH(AB$4,0),L106&gt;=AB$4),1,""))</f>
        <v/>
      </c>
      <c r="AC106" s="26">
        <f>IF(OR(J106="",L106=""),"",IF(AND(J106&lt;=EOMONTH(AC$4,0),L106&gt;=AC$4),1,""))</f>
        <v/>
      </c>
      <c r="AD106" s="26">
        <f>IF(OR(J106="",L106=""),"",IF(AND(J106&lt;=EOMONTH(AD$4,0),L106&gt;=AD$4),1,""))</f>
        <v/>
      </c>
      <c r="AE106" s="26">
        <f>IF(OR(J106="",L106=""),"",IF(AND(J106&lt;=EOMONTH(AE$4,0),L106&gt;=AE$4),1,""))</f>
        <v/>
      </c>
      <c r="AF106" s="26">
        <f>IF(OR(J106="",L106=""),"",IF(AND(J106&lt;=EOMONTH(AF$4,0),L106&gt;=AF$4),1,""))</f>
        <v/>
      </c>
      <c r="AG106" s="26">
        <f>IF(OR(J106="",L106=""),"",IF(AND(J106&lt;=EOMONTH(AG$4,0),L106&gt;=AG$4),1,""))</f>
        <v/>
      </c>
      <c r="AH106" s="26">
        <f>IF(OR(J106="",L106=""),"",IF(AND(J106&lt;=EOMONTH(AH$4,0),L106&gt;=AH$4),1,""))</f>
        <v/>
      </c>
      <c r="AI106" s="26">
        <f>IF(OR(J106="",L106=""),"",IF(AND(J106&lt;=EOMONTH(AI$4,0),L106&gt;=AI$4),1,""))</f>
        <v/>
      </c>
      <c r="AJ106" s="26">
        <f>IF(OR(J106="",L106=""),"",IF(AND(J106&lt;=EOMONTH(AJ$4,0),L106&gt;=AJ$4),1,""))</f>
        <v/>
      </c>
      <c r="AK106" s="26">
        <f>IF(OR(J106="",L106=""),"",IF(AND(J106&lt;=EOMONTH(AK$4,0),L106&gt;=AK$4),1,""))</f>
        <v/>
      </c>
      <c r="AL106" s="26">
        <f>IF(OR(J106="",L106=""),"",IF(AND(J106&lt;=EOMONTH(AL$4,0),L106&gt;=AL$4),1,""))</f>
        <v/>
      </c>
      <c r="AM106" s="26">
        <f>IF(OR(J106="",L106=""),"",IF(AND(J106&lt;=EOMONTH(AM$4,0),L106&gt;=AM$4),1,""))</f>
        <v/>
      </c>
      <c r="AN106" s="26">
        <f>IF(OR(J106="",L106=""),"",IF(AND(J106&lt;=EOMONTH(AN$4,0),L106&gt;=AN$4),1,""))</f>
        <v/>
      </c>
      <c r="AO106" s="26">
        <f>IF(OR(J106="",L106=""),"",IF(AND(J106&lt;=EOMONTH(AO$4,0),L106&gt;=AO$4),1,""))</f>
        <v/>
      </c>
      <c r="AP106" s="26">
        <f>IF(OR(J106="",L106=""),"",IF(AND(J106&lt;=EOMONTH(AP$4,0),L106&gt;=AP$4),1,""))</f>
        <v/>
      </c>
      <c r="AQ106" s="26">
        <f>IF(OR(J106="",L106=""),"",IF(AND(J106&lt;=EOMONTH(AQ$4,0),L106&gt;=AQ$4),1,""))</f>
        <v/>
      </c>
      <c r="AR106" s="26">
        <f>IF(OR(J106="",L106=""),"",IF(AND(J106&lt;=EOMONTH(AR$4,0),L106&gt;=AR$4),1,""))</f>
        <v/>
      </c>
      <c r="AS106" s="26">
        <f>IF(OR(J106="",L106=""),"",IF(AND(J106&lt;=EOMONTH(AS$4,0),L106&gt;=AS$4),1,""))</f>
        <v/>
      </c>
      <c r="AT106" s="26">
        <f>IF(OR(J106="",L106=""),"",IF(AND(J106&lt;=EOMONTH(AT$4,0),L106&gt;=AT$4),1,""))</f>
        <v/>
      </c>
      <c r="AU106" s="26">
        <f>IF(OR(J106="",L106=""),"",IF(AND(J106&lt;=EOMONTH(AU$4,0),L106&gt;=AU$4),1,""))</f>
        <v/>
      </c>
      <c r="AV106" s="26">
        <f>IF(OR(J106="",L106=""),"",IF(AND(J106&lt;=EOMONTH(AV$4,0),L106&gt;=AV$4),1,""))</f>
        <v/>
      </c>
      <c r="AW106" s="26">
        <f>IF(OR(J106="",L106=""),"",IF(AND(J106&lt;=EOMONTH(AW$4,0),L106&gt;=AW$4),1,""))</f>
        <v/>
      </c>
      <c r="AX106" s="26">
        <f>IF(OR(J106="",L106=""),"",IF(AND(J106&lt;=EOMONTH(AX$4,0),L106&gt;=AX$4),1,""))</f>
        <v/>
      </c>
      <c r="AY106" s="26">
        <f>IF(OR(J106="",L106=""),"",IF(AND(J106&lt;=EOMONTH(AY$4,0),L106&gt;=AY$4),1,""))</f>
        <v/>
      </c>
      <c r="AZ106" s="26">
        <f>IF(OR(J106="",L106=""),"",IF(AND(J106&lt;=EOMONTH(AZ$4,0),L106&gt;=AZ$4),1,""))</f>
        <v/>
      </c>
      <c r="BA106" s="26">
        <f>IF(OR(J106="",L106=""),"",IF(AND(J106&lt;=EOMONTH(BA$4,0),L106&gt;=BA$4),1,""))</f>
        <v/>
      </c>
      <c r="BB106" s="26">
        <f>IF(OR(J106="",L106=""),"",IF(AND(J106&lt;=EOMONTH(BB$4,0),L106&gt;=BB$4),1,""))</f>
        <v/>
      </c>
    </row>
    <row r="107">
      <c r="A107" s="27" t="n"/>
      <c r="B107" s="28" t="n"/>
      <c r="C107" s="29" t="n"/>
      <c r="D107" s="30">
        <f>IF(E107="","","CWA-"&amp;MID(E107,5,4))</f>
        <v/>
      </c>
      <c r="E107" s="29" t="n"/>
      <c r="F107" s="31" t="n"/>
      <c r="G107" s="29" t="n"/>
      <c r="H107" s="28" t="n"/>
      <c r="I107" s="29" t="n"/>
      <c r="J107" s="32" t="n"/>
      <c r="K107" s="28" t="n"/>
      <c r="L107" s="33">
        <f>IF(OR(J107="",K107=""),"",J107+7*K107-1)</f>
        <v/>
      </c>
      <c r="M107" s="33">
        <f>IF(J107="","",J107-7*$E$3)</f>
        <v/>
      </c>
      <c r="N107" s="33">
        <f>IF(J107="","",J107-7*$H$3)</f>
        <v/>
      </c>
      <c r="O107" s="33">
        <f>IF(J107="","",J107-1*$K$3)</f>
        <v/>
      </c>
      <c r="P107" s="30">
        <f>IF(OR(E107="",I107="",I107="—"),IF(E107="","","OK"),IFERROR(IF(INDEX($L$6:$L$155,MATCH(I107,$E$6:$E$155,0))&gt;=J107,"Conflicto con predecesor","OK"),"Predecesor no encontrado"))</f>
        <v/>
      </c>
      <c r="Q107" s="29" t="n"/>
      <c r="R107" s="31" t="n"/>
      <c r="S107" s="26">
        <f>IF(OR(J107="",L107=""),"",IF(AND(J107&lt;=EOMONTH(S$4,0),L107&gt;=S$4),1,""))</f>
        <v/>
      </c>
      <c r="T107" s="26">
        <f>IF(OR(J107="",L107=""),"",IF(AND(J107&lt;=EOMONTH(T$4,0),L107&gt;=T$4),1,""))</f>
        <v/>
      </c>
      <c r="U107" s="26">
        <f>IF(OR(J107="",L107=""),"",IF(AND(J107&lt;=EOMONTH(U$4,0),L107&gt;=U$4),1,""))</f>
        <v/>
      </c>
      <c r="V107" s="26">
        <f>IF(OR(J107="",L107=""),"",IF(AND(J107&lt;=EOMONTH(V$4,0),L107&gt;=V$4),1,""))</f>
        <v/>
      </c>
      <c r="W107" s="26">
        <f>IF(OR(J107="",L107=""),"",IF(AND(J107&lt;=EOMONTH(W$4,0),L107&gt;=W$4),1,""))</f>
        <v/>
      </c>
      <c r="X107" s="26">
        <f>IF(OR(J107="",L107=""),"",IF(AND(J107&lt;=EOMONTH(X$4,0),L107&gt;=X$4),1,""))</f>
        <v/>
      </c>
      <c r="Y107" s="26">
        <f>IF(OR(J107="",L107=""),"",IF(AND(J107&lt;=EOMONTH(Y$4,0),L107&gt;=Y$4),1,""))</f>
        <v/>
      </c>
      <c r="Z107" s="26">
        <f>IF(OR(J107="",L107=""),"",IF(AND(J107&lt;=EOMONTH(Z$4,0),L107&gt;=Z$4),1,""))</f>
        <v/>
      </c>
      <c r="AA107" s="26">
        <f>IF(OR(J107="",L107=""),"",IF(AND(J107&lt;=EOMONTH(AA$4,0),L107&gt;=AA$4),1,""))</f>
        <v/>
      </c>
      <c r="AB107" s="26">
        <f>IF(OR(J107="",L107=""),"",IF(AND(J107&lt;=EOMONTH(AB$4,0),L107&gt;=AB$4),1,""))</f>
        <v/>
      </c>
      <c r="AC107" s="26">
        <f>IF(OR(J107="",L107=""),"",IF(AND(J107&lt;=EOMONTH(AC$4,0),L107&gt;=AC$4),1,""))</f>
        <v/>
      </c>
      <c r="AD107" s="26">
        <f>IF(OR(J107="",L107=""),"",IF(AND(J107&lt;=EOMONTH(AD$4,0),L107&gt;=AD$4),1,""))</f>
        <v/>
      </c>
      <c r="AE107" s="26">
        <f>IF(OR(J107="",L107=""),"",IF(AND(J107&lt;=EOMONTH(AE$4,0),L107&gt;=AE$4),1,""))</f>
        <v/>
      </c>
      <c r="AF107" s="26">
        <f>IF(OR(J107="",L107=""),"",IF(AND(J107&lt;=EOMONTH(AF$4,0),L107&gt;=AF$4),1,""))</f>
        <v/>
      </c>
      <c r="AG107" s="26">
        <f>IF(OR(J107="",L107=""),"",IF(AND(J107&lt;=EOMONTH(AG$4,0),L107&gt;=AG$4),1,""))</f>
        <v/>
      </c>
      <c r="AH107" s="26">
        <f>IF(OR(J107="",L107=""),"",IF(AND(J107&lt;=EOMONTH(AH$4,0),L107&gt;=AH$4),1,""))</f>
        <v/>
      </c>
      <c r="AI107" s="26">
        <f>IF(OR(J107="",L107=""),"",IF(AND(J107&lt;=EOMONTH(AI$4,0),L107&gt;=AI$4),1,""))</f>
        <v/>
      </c>
      <c r="AJ107" s="26">
        <f>IF(OR(J107="",L107=""),"",IF(AND(J107&lt;=EOMONTH(AJ$4,0),L107&gt;=AJ$4),1,""))</f>
        <v/>
      </c>
      <c r="AK107" s="26">
        <f>IF(OR(J107="",L107=""),"",IF(AND(J107&lt;=EOMONTH(AK$4,0),L107&gt;=AK$4),1,""))</f>
        <v/>
      </c>
      <c r="AL107" s="26">
        <f>IF(OR(J107="",L107=""),"",IF(AND(J107&lt;=EOMONTH(AL$4,0),L107&gt;=AL$4),1,""))</f>
        <v/>
      </c>
      <c r="AM107" s="26">
        <f>IF(OR(J107="",L107=""),"",IF(AND(J107&lt;=EOMONTH(AM$4,0),L107&gt;=AM$4),1,""))</f>
        <v/>
      </c>
      <c r="AN107" s="26">
        <f>IF(OR(J107="",L107=""),"",IF(AND(J107&lt;=EOMONTH(AN$4,0),L107&gt;=AN$4),1,""))</f>
        <v/>
      </c>
      <c r="AO107" s="26">
        <f>IF(OR(J107="",L107=""),"",IF(AND(J107&lt;=EOMONTH(AO$4,0),L107&gt;=AO$4),1,""))</f>
        <v/>
      </c>
      <c r="AP107" s="26">
        <f>IF(OR(J107="",L107=""),"",IF(AND(J107&lt;=EOMONTH(AP$4,0),L107&gt;=AP$4),1,""))</f>
        <v/>
      </c>
      <c r="AQ107" s="26">
        <f>IF(OR(J107="",L107=""),"",IF(AND(J107&lt;=EOMONTH(AQ$4,0),L107&gt;=AQ$4),1,""))</f>
        <v/>
      </c>
      <c r="AR107" s="26">
        <f>IF(OR(J107="",L107=""),"",IF(AND(J107&lt;=EOMONTH(AR$4,0),L107&gt;=AR$4),1,""))</f>
        <v/>
      </c>
      <c r="AS107" s="26">
        <f>IF(OR(J107="",L107=""),"",IF(AND(J107&lt;=EOMONTH(AS$4,0),L107&gt;=AS$4),1,""))</f>
        <v/>
      </c>
      <c r="AT107" s="26">
        <f>IF(OR(J107="",L107=""),"",IF(AND(J107&lt;=EOMONTH(AT$4,0),L107&gt;=AT$4),1,""))</f>
        <v/>
      </c>
      <c r="AU107" s="26">
        <f>IF(OR(J107="",L107=""),"",IF(AND(J107&lt;=EOMONTH(AU$4,0),L107&gt;=AU$4),1,""))</f>
        <v/>
      </c>
      <c r="AV107" s="26">
        <f>IF(OR(J107="",L107=""),"",IF(AND(J107&lt;=EOMONTH(AV$4,0),L107&gt;=AV$4),1,""))</f>
        <v/>
      </c>
      <c r="AW107" s="26">
        <f>IF(OR(J107="",L107=""),"",IF(AND(J107&lt;=EOMONTH(AW$4,0),L107&gt;=AW$4),1,""))</f>
        <v/>
      </c>
      <c r="AX107" s="26">
        <f>IF(OR(J107="",L107=""),"",IF(AND(J107&lt;=EOMONTH(AX$4,0),L107&gt;=AX$4),1,""))</f>
        <v/>
      </c>
      <c r="AY107" s="26">
        <f>IF(OR(J107="",L107=""),"",IF(AND(J107&lt;=EOMONTH(AY$4,0),L107&gt;=AY$4),1,""))</f>
        <v/>
      </c>
      <c r="AZ107" s="26">
        <f>IF(OR(J107="",L107=""),"",IF(AND(J107&lt;=EOMONTH(AZ$4,0),L107&gt;=AZ$4),1,""))</f>
        <v/>
      </c>
      <c r="BA107" s="26">
        <f>IF(OR(J107="",L107=""),"",IF(AND(J107&lt;=EOMONTH(BA$4,0),L107&gt;=BA$4),1,""))</f>
        <v/>
      </c>
      <c r="BB107" s="26">
        <f>IF(OR(J107="",L107=""),"",IF(AND(J107&lt;=EOMONTH(BB$4,0),L107&gt;=BB$4),1,""))</f>
        <v/>
      </c>
    </row>
    <row r="108">
      <c r="A108" s="27" t="n"/>
      <c r="B108" s="28" t="n"/>
      <c r="C108" s="29" t="n"/>
      <c r="D108" s="30">
        <f>IF(E108="","","CWA-"&amp;MID(E108,5,4))</f>
        <v/>
      </c>
      <c r="E108" s="29" t="n"/>
      <c r="F108" s="31" t="n"/>
      <c r="G108" s="29" t="n"/>
      <c r="H108" s="28" t="n"/>
      <c r="I108" s="29" t="n"/>
      <c r="J108" s="32" t="n"/>
      <c r="K108" s="28" t="n"/>
      <c r="L108" s="33">
        <f>IF(OR(J108="",K108=""),"",J108+7*K108-1)</f>
        <v/>
      </c>
      <c r="M108" s="33">
        <f>IF(J108="","",J108-7*$E$3)</f>
        <v/>
      </c>
      <c r="N108" s="33">
        <f>IF(J108="","",J108-7*$H$3)</f>
        <v/>
      </c>
      <c r="O108" s="33">
        <f>IF(J108="","",J108-1*$K$3)</f>
        <v/>
      </c>
      <c r="P108" s="30">
        <f>IF(OR(E108="",I108="",I108="—"),IF(E108="","","OK"),IFERROR(IF(INDEX($L$6:$L$155,MATCH(I108,$E$6:$E$155,0))&gt;=J108,"Conflicto con predecesor","OK"),"Predecesor no encontrado"))</f>
        <v/>
      </c>
      <c r="Q108" s="29" t="n"/>
      <c r="R108" s="31" t="n"/>
      <c r="S108" s="26">
        <f>IF(OR(J108="",L108=""),"",IF(AND(J108&lt;=EOMONTH(S$4,0),L108&gt;=S$4),1,""))</f>
        <v/>
      </c>
      <c r="T108" s="26">
        <f>IF(OR(J108="",L108=""),"",IF(AND(J108&lt;=EOMONTH(T$4,0),L108&gt;=T$4),1,""))</f>
        <v/>
      </c>
      <c r="U108" s="26">
        <f>IF(OR(J108="",L108=""),"",IF(AND(J108&lt;=EOMONTH(U$4,0),L108&gt;=U$4),1,""))</f>
        <v/>
      </c>
      <c r="V108" s="26">
        <f>IF(OR(J108="",L108=""),"",IF(AND(J108&lt;=EOMONTH(V$4,0),L108&gt;=V$4),1,""))</f>
        <v/>
      </c>
      <c r="W108" s="26">
        <f>IF(OR(J108="",L108=""),"",IF(AND(J108&lt;=EOMONTH(W$4,0),L108&gt;=W$4),1,""))</f>
        <v/>
      </c>
      <c r="X108" s="26">
        <f>IF(OR(J108="",L108=""),"",IF(AND(J108&lt;=EOMONTH(X$4,0),L108&gt;=X$4),1,""))</f>
        <v/>
      </c>
      <c r="Y108" s="26">
        <f>IF(OR(J108="",L108=""),"",IF(AND(J108&lt;=EOMONTH(Y$4,0),L108&gt;=Y$4),1,""))</f>
        <v/>
      </c>
      <c r="Z108" s="26">
        <f>IF(OR(J108="",L108=""),"",IF(AND(J108&lt;=EOMONTH(Z$4,0),L108&gt;=Z$4),1,""))</f>
        <v/>
      </c>
      <c r="AA108" s="26">
        <f>IF(OR(J108="",L108=""),"",IF(AND(J108&lt;=EOMONTH(AA$4,0),L108&gt;=AA$4),1,""))</f>
        <v/>
      </c>
      <c r="AB108" s="26">
        <f>IF(OR(J108="",L108=""),"",IF(AND(J108&lt;=EOMONTH(AB$4,0),L108&gt;=AB$4),1,""))</f>
        <v/>
      </c>
      <c r="AC108" s="26">
        <f>IF(OR(J108="",L108=""),"",IF(AND(J108&lt;=EOMONTH(AC$4,0),L108&gt;=AC$4),1,""))</f>
        <v/>
      </c>
      <c r="AD108" s="26">
        <f>IF(OR(J108="",L108=""),"",IF(AND(J108&lt;=EOMONTH(AD$4,0),L108&gt;=AD$4),1,""))</f>
        <v/>
      </c>
      <c r="AE108" s="26">
        <f>IF(OR(J108="",L108=""),"",IF(AND(J108&lt;=EOMONTH(AE$4,0),L108&gt;=AE$4),1,""))</f>
        <v/>
      </c>
      <c r="AF108" s="26">
        <f>IF(OR(J108="",L108=""),"",IF(AND(J108&lt;=EOMONTH(AF$4,0),L108&gt;=AF$4),1,""))</f>
        <v/>
      </c>
      <c r="AG108" s="26">
        <f>IF(OR(J108="",L108=""),"",IF(AND(J108&lt;=EOMONTH(AG$4,0),L108&gt;=AG$4),1,""))</f>
        <v/>
      </c>
      <c r="AH108" s="26">
        <f>IF(OR(J108="",L108=""),"",IF(AND(J108&lt;=EOMONTH(AH$4,0),L108&gt;=AH$4),1,""))</f>
        <v/>
      </c>
      <c r="AI108" s="26">
        <f>IF(OR(J108="",L108=""),"",IF(AND(J108&lt;=EOMONTH(AI$4,0),L108&gt;=AI$4),1,""))</f>
        <v/>
      </c>
      <c r="AJ108" s="26">
        <f>IF(OR(J108="",L108=""),"",IF(AND(J108&lt;=EOMONTH(AJ$4,0),L108&gt;=AJ$4),1,""))</f>
        <v/>
      </c>
      <c r="AK108" s="26">
        <f>IF(OR(J108="",L108=""),"",IF(AND(J108&lt;=EOMONTH(AK$4,0),L108&gt;=AK$4),1,""))</f>
        <v/>
      </c>
      <c r="AL108" s="26">
        <f>IF(OR(J108="",L108=""),"",IF(AND(J108&lt;=EOMONTH(AL$4,0),L108&gt;=AL$4),1,""))</f>
        <v/>
      </c>
      <c r="AM108" s="26">
        <f>IF(OR(J108="",L108=""),"",IF(AND(J108&lt;=EOMONTH(AM$4,0),L108&gt;=AM$4),1,""))</f>
        <v/>
      </c>
      <c r="AN108" s="26">
        <f>IF(OR(J108="",L108=""),"",IF(AND(J108&lt;=EOMONTH(AN$4,0),L108&gt;=AN$4),1,""))</f>
        <v/>
      </c>
      <c r="AO108" s="26">
        <f>IF(OR(J108="",L108=""),"",IF(AND(J108&lt;=EOMONTH(AO$4,0),L108&gt;=AO$4),1,""))</f>
        <v/>
      </c>
      <c r="AP108" s="26">
        <f>IF(OR(J108="",L108=""),"",IF(AND(J108&lt;=EOMONTH(AP$4,0),L108&gt;=AP$4),1,""))</f>
        <v/>
      </c>
      <c r="AQ108" s="26">
        <f>IF(OR(J108="",L108=""),"",IF(AND(J108&lt;=EOMONTH(AQ$4,0),L108&gt;=AQ$4),1,""))</f>
        <v/>
      </c>
      <c r="AR108" s="26">
        <f>IF(OR(J108="",L108=""),"",IF(AND(J108&lt;=EOMONTH(AR$4,0),L108&gt;=AR$4),1,""))</f>
        <v/>
      </c>
      <c r="AS108" s="26">
        <f>IF(OR(J108="",L108=""),"",IF(AND(J108&lt;=EOMONTH(AS$4,0),L108&gt;=AS$4),1,""))</f>
        <v/>
      </c>
      <c r="AT108" s="26">
        <f>IF(OR(J108="",L108=""),"",IF(AND(J108&lt;=EOMONTH(AT$4,0),L108&gt;=AT$4),1,""))</f>
        <v/>
      </c>
      <c r="AU108" s="26">
        <f>IF(OR(J108="",L108=""),"",IF(AND(J108&lt;=EOMONTH(AU$4,0),L108&gt;=AU$4),1,""))</f>
        <v/>
      </c>
      <c r="AV108" s="26">
        <f>IF(OR(J108="",L108=""),"",IF(AND(J108&lt;=EOMONTH(AV$4,0),L108&gt;=AV$4),1,""))</f>
        <v/>
      </c>
      <c r="AW108" s="26">
        <f>IF(OR(J108="",L108=""),"",IF(AND(J108&lt;=EOMONTH(AW$4,0),L108&gt;=AW$4),1,""))</f>
        <v/>
      </c>
      <c r="AX108" s="26">
        <f>IF(OR(J108="",L108=""),"",IF(AND(J108&lt;=EOMONTH(AX$4,0),L108&gt;=AX$4),1,""))</f>
        <v/>
      </c>
      <c r="AY108" s="26">
        <f>IF(OR(J108="",L108=""),"",IF(AND(J108&lt;=EOMONTH(AY$4,0),L108&gt;=AY$4),1,""))</f>
        <v/>
      </c>
      <c r="AZ108" s="26">
        <f>IF(OR(J108="",L108=""),"",IF(AND(J108&lt;=EOMONTH(AZ$4,0),L108&gt;=AZ$4),1,""))</f>
        <v/>
      </c>
      <c r="BA108" s="26">
        <f>IF(OR(J108="",L108=""),"",IF(AND(J108&lt;=EOMONTH(BA$4,0),L108&gt;=BA$4),1,""))</f>
        <v/>
      </c>
      <c r="BB108" s="26">
        <f>IF(OR(J108="",L108=""),"",IF(AND(J108&lt;=EOMONTH(BB$4,0),L108&gt;=BB$4),1,""))</f>
        <v/>
      </c>
    </row>
    <row r="109">
      <c r="A109" s="27" t="n"/>
      <c r="B109" s="28" t="n"/>
      <c r="C109" s="29" t="n"/>
      <c r="D109" s="30">
        <f>IF(E109="","","CWA-"&amp;MID(E109,5,4))</f>
        <v/>
      </c>
      <c r="E109" s="29" t="n"/>
      <c r="F109" s="31" t="n"/>
      <c r="G109" s="29" t="n"/>
      <c r="H109" s="28" t="n"/>
      <c r="I109" s="29" t="n"/>
      <c r="J109" s="32" t="n"/>
      <c r="K109" s="28" t="n"/>
      <c r="L109" s="33">
        <f>IF(OR(J109="",K109=""),"",J109+7*K109-1)</f>
        <v/>
      </c>
      <c r="M109" s="33">
        <f>IF(J109="","",J109-7*$E$3)</f>
        <v/>
      </c>
      <c r="N109" s="33">
        <f>IF(J109="","",J109-7*$H$3)</f>
        <v/>
      </c>
      <c r="O109" s="33">
        <f>IF(J109="","",J109-1*$K$3)</f>
        <v/>
      </c>
      <c r="P109" s="30">
        <f>IF(OR(E109="",I109="",I109="—"),IF(E109="","","OK"),IFERROR(IF(INDEX($L$6:$L$155,MATCH(I109,$E$6:$E$155,0))&gt;=J109,"Conflicto con predecesor","OK"),"Predecesor no encontrado"))</f>
        <v/>
      </c>
      <c r="Q109" s="29" t="n"/>
      <c r="R109" s="31" t="n"/>
      <c r="S109" s="26">
        <f>IF(OR(J109="",L109=""),"",IF(AND(J109&lt;=EOMONTH(S$4,0),L109&gt;=S$4),1,""))</f>
        <v/>
      </c>
      <c r="T109" s="26">
        <f>IF(OR(J109="",L109=""),"",IF(AND(J109&lt;=EOMONTH(T$4,0),L109&gt;=T$4),1,""))</f>
        <v/>
      </c>
      <c r="U109" s="26">
        <f>IF(OR(J109="",L109=""),"",IF(AND(J109&lt;=EOMONTH(U$4,0),L109&gt;=U$4),1,""))</f>
        <v/>
      </c>
      <c r="V109" s="26">
        <f>IF(OR(J109="",L109=""),"",IF(AND(J109&lt;=EOMONTH(V$4,0),L109&gt;=V$4),1,""))</f>
        <v/>
      </c>
      <c r="W109" s="26">
        <f>IF(OR(J109="",L109=""),"",IF(AND(J109&lt;=EOMONTH(W$4,0),L109&gt;=W$4),1,""))</f>
        <v/>
      </c>
      <c r="X109" s="26">
        <f>IF(OR(J109="",L109=""),"",IF(AND(J109&lt;=EOMONTH(X$4,0),L109&gt;=X$4),1,""))</f>
        <v/>
      </c>
      <c r="Y109" s="26">
        <f>IF(OR(J109="",L109=""),"",IF(AND(J109&lt;=EOMONTH(Y$4,0),L109&gt;=Y$4),1,""))</f>
        <v/>
      </c>
      <c r="Z109" s="26">
        <f>IF(OR(J109="",L109=""),"",IF(AND(J109&lt;=EOMONTH(Z$4,0),L109&gt;=Z$4),1,""))</f>
        <v/>
      </c>
      <c r="AA109" s="26">
        <f>IF(OR(J109="",L109=""),"",IF(AND(J109&lt;=EOMONTH(AA$4,0),L109&gt;=AA$4),1,""))</f>
        <v/>
      </c>
      <c r="AB109" s="26">
        <f>IF(OR(J109="",L109=""),"",IF(AND(J109&lt;=EOMONTH(AB$4,0),L109&gt;=AB$4),1,""))</f>
        <v/>
      </c>
      <c r="AC109" s="26">
        <f>IF(OR(J109="",L109=""),"",IF(AND(J109&lt;=EOMONTH(AC$4,0),L109&gt;=AC$4),1,""))</f>
        <v/>
      </c>
      <c r="AD109" s="26">
        <f>IF(OR(J109="",L109=""),"",IF(AND(J109&lt;=EOMONTH(AD$4,0),L109&gt;=AD$4),1,""))</f>
        <v/>
      </c>
      <c r="AE109" s="26">
        <f>IF(OR(J109="",L109=""),"",IF(AND(J109&lt;=EOMONTH(AE$4,0),L109&gt;=AE$4),1,""))</f>
        <v/>
      </c>
      <c r="AF109" s="26">
        <f>IF(OR(J109="",L109=""),"",IF(AND(J109&lt;=EOMONTH(AF$4,0),L109&gt;=AF$4),1,""))</f>
        <v/>
      </c>
      <c r="AG109" s="26">
        <f>IF(OR(J109="",L109=""),"",IF(AND(J109&lt;=EOMONTH(AG$4,0),L109&gt;=AG$4),1,""))</f>
        <v/>
      </c>
      <c r="AH109" s="26">
        <f>IF(OR(J109="",L109=""),"",IF(AND(J109&lt;=EOMONTH(AH$4,0),L109&gt;=AH$4),1,""))</f>
        <v/>
      </c>
      <c r="AI109" s="26">
        <f>IF(OR(J109="",L109=""),"",IF(AND(J109&lt;=EOMONTH(AI$4,0),L109&gt;=AI$4),1,""))</f>
        <v/>
      </c>
      <c r="AJ109" s="26">
        <f>IF(OR(J109="",L109=""),"",IF(AND(J109&lt;=EOMONTH(AJ$4,0),L109&gt;=AJ$4),1,""))</f>
        <v/>
      </c>
      <c r="AK109" s="26">
        <f>IF(OR(J109="",L109=""),"",IF(AND(J109&lt;=EOMONTH(AK$4,0),L109&gt;=AK$4),1,""))</f>
        <v/>
      </c>
      <c r="AL109" s="26">
        <f>IF(OR(J109="",L109=""),"",IF(AND(J109&lt;=EOMONTH(AL$4,0),L109&gt;=AL$4),1,""))</f>
        <v/>
      </c>
      <c r="AM109" s="26">
        <f>IF(OR(J109="",L109=""),"",IF(AND(J109&lt;=EOMONTH(AM$4,0),L109&gt;=AM$4),1,""))</f>
        <v/>
      </c>
      <c r="AN109" s="26">
        <f>IF(OR(J109="",L109=""),"",IF(AND(J109&lt;=EOMONTH(AN$4,0),L109&gt;=AN$4),1,""))</f>
        <v/>
      </c>
      <c r="AO109" s="26">
        <f>IF(OR(J109="",L109=""),"",IF(AND(J109&lt;=EOMONTH(AO$4,0),L109&gt;=AO$4),1,""))</f>
        <v/>
      </c>
      <c r="AP109" s="26">
        <f>IF(OR(J109="",L109=""),"",IF(AND(J109&lt;=EOMONTH(AP$4,0),L109&gt;=AP$4),1,""))</f>
        <v/>
      </c>
      <c r="AQ109" s="26">
        <f>IF(OR(J109="",L109=""),"",IF(AND(J109&lt;=EOMONTH(AQ$4,0),L109&gt;=AQ$4),1,""))</f>
        <v/>
      </c>
      <c r="AR109" s="26">
        <f>IF(OR(J109="",L109=""),"",IF(AND(J109&lt;=EOMONTH(AR$4,0),L109&gt;=AR$4),1,""))</f>
        <v/>
      </c>
      <c r="AS109" s="26">
        <f>IF(OR(J109="",L109=""),"",IF(AND(J109&lt;=EOMONTH(AS$4,0),L109&gt;=AS$4),1,""))</f>
        <v/>
      </c>
      <c r="AT109" s="26">
        <f>IF(OR(J109="",L109=""),"",IF(AND(J109&lt;=EOMONTH(AT$4,0),L109&gt;=AT$4),1,""))</f>
        <v/>
      </c>
      <c r="AU109" s="26">
        <f>IF(OR(J109="",L109=""),"",IF(AND(J109&lt;=EOMONTH(AU$4,0),L109&gt;=AU$4),1,""))</f>
        <v/>
      </c>
      <c r="AV109" s="26">
        <f>IF(OR(J109="",L109=""),"",IF(AND(J109&lt;=EOMONTH(AV$4,0),L109&gt;=AV$4),1,""))</f>
        <v/>
      </c>
      <c r="AW109" s="26">
        <f>IF(OR(J109="",L109=""),"",IF(AND(J109&lt;=EOMONTH(AW$4,0),L109&gt;=AW$4),1,""))</f>
        <v/>
      </c>
      <c r="AX109" s="26">
        <f>IF(OR(J109="",L109=""),"",IF(AND(J109&lt;=EOMONTH(AX$4,0),L109&gt;=AX$4),1,""))</f>
        <v/>
      </c>
      <c r="AY109" s="26">
        <f>IF(OR(J109="",L109=""),"",IF(AND(J109&lt;=EOMONTH(AY$4,0),L109&gt;=AY$4),1,""))</f>
        <v/>
      </c>
      <c r="AZ109" s="26">
        <f>IF(OR(J109="",L109=""),"",IF(AND(J109&lt;=EOMONTH(AZ$4,0),L109&gt;=AZ$4),1,""))</f>
        <v/>
      </c>
      <c r="BA109" s="26">
        <f>IF(OR(J109="",L109=""),"",IF(AND(J109&lt;=EOMONTH(BA$4,0),L109&gt;=BA$4),1,""))</f>
        <v/>
      </c>
      <c r="BB109" s="26">
        <f>IF(OR(J109="",L109=""),"",IF(AND(J109&lt;=EOMONTH(BB$4,0),L109&gt;=BB$4),1,""))</f>
        <v/>
      </c>
    </row>
    <row r="110">
      <c r="A110" s="27" t="n"/>
      <c r="B110" s="28" t="n"/>
      <c r="C110" s="29" t="n"/>
      <c r="D110" s="30">
        <f>IF(E110="","","CWA-"&amp;MID(E110,5,4))</f>
        <v/>
      </c>
      <c r="E110" s="29" t="n"/>
      <c r="F110" s="31" t="n"/>
      <c r="G110" s="29" t="n"/>
      <c r="H110" s="28" t="n"/>
      <c r="I110" s="29" t="n"/>
      <c r="J110" s="32" t="n"/>
      <c r="K110" s="28" t="n"/>
      <c r="L110" s="33">
        <f>IF(OR(J110="",K110=""),"",J110+7*K110-1)</f>
        <v/>
      </c>
      <c r="M110" s="33">
        <f>IF(J110="","",J110-7*$E$3)</f>
        <v/>
      </c>
      <c r="N110" s="33">
        <f>IF(J110="","",J110-7*$H$3)</f>
        <v/>
      </c>
      <c r="O110" s="33">
        <f>IF(J110="","",J110-1*$K$3)</f>
        <v/>
      </c>
      <c r="P110" s="30">
        <f>IF(OR(E110="",I110="",I110="—"),IF(E110="","","OK"),IFERROR(IF(INDEX($L$6:$L$155,MATCH(I110,$E$6:$E$155,0))&gt;=J110,"Conflicto con predecesor","OK"),"Predecesor no encontrado"))</f>
        <v/>
      </c>
      <c r="Q110" s="29" t="n"/>
      <c r="R110" s="31" t="n"/>
      <c r="S110" s="26">
        <f>IF(OR(J110="",L110=""),"",IF(AND(J110&lt;=EOMONTH(S$4,0),L110&gt;=S$4),1,""))</f>
        <v/>
      </c>
      <c r="T110" s="26">
        <f>IF(OR(J110="",L110=""),"",IF(AND(J110&lt;=EOMONTH(T$4,0),L110&gt;=T$4),1,""))</f>
        <v/>
      </c>
      <c r="U110" s="26">
        <f>IF(OR(J110="",L110=""),"",IF(AND(J110&lt;=EOMONTH(U$4,0),L110&gt;=U$4),1,""))</f>
        <v/>
      </c>
      <c r="V110" s="26">
        <f>IF(OR(J110="",L110=""),"",IF(AND(J110&lt;=EOMONTH(V$4,0),L110&gt;=V$4),1,""))</f>
        <v/>
      </c>
      <c r="W110" s="26">
        <f>IF(OR(J110="",L110=""),"",IF(AND(J110&lt;=EOMONTH(W$4,0),L110&gt;=W$4),1,""))</f>
        <v/>
      </c>
      <c r="X110" s="26">
        <f>IF(OR(J110="",L110=""),"",IF(AND(J110&lt;=EOMONTH(X$4,0),L110&gt;=X$4),1,""))</f>
        <v/>
      </c>
      <c r="Y110" s="26">
        <f>IF(OR(J110="",L110=""),"",IF(AND(J110&lt;=EOMONTH(Y$4,0),L110&gt;=Y$4),1,""))</f>
        <v/>
      </c>
      <c r="Z110" s="26">
        <f>IF(OR(J110="",L110=""),"",IF(AND(J110&lt;=EOMONTH(Z$4,0),L110&gt;=Z$4),1,""))</f>
        <v/>
      </c>
      <c r="AA110" s="26">
        <f>IF(OR(J110="",L110=""),"",IF(AND(J110&lt;=EOMONTH(AA$4,0),L110&gt;=AA$4),1,""))</f>
        <v/>
      </c>
      <c r="AB110" s="26">
        <f>IF(OR(J110="",L110=""),"",IF(AND(J110&lt;=EOMONTH(AB$4,0),L110&gt;=AB$4),1,""))</f>
        <v/>
      </c>
      <c r="AC110" s="26">
        <f>IF(OR(J110="",L110=""),"",IF(AND(J110&lt;=EOMONTH(AC$4,0),L110&gt;=AC$4),1,""))</f>
        <v/>
      </c>
      <c r="AD110" s="26">
        <f>IF(OR(J110="",L110=""),"",IF(AND(J110&lt;=EOMONTH(AD$4,0),L110&gt;=AD$4),1,""))</f>
        <v/>
      </c>
      <c r="AE110" s="26">
        <f>IF(OR(J110="",L110=""),"",IF(AND(J110&lt;=EOMONTH(AE$4,0),L110&gt;=AE$4),1,""))</f>
        <v/>
      </c>
      <c r="AF110" s="26">
        <f>IF(OR(J110="",L110=""),"",IF(AND(J110&lt;=EOMONTH(AF$4,0),L110&gt;=AF$4),1,""))</f>
        <v/>
      </c>
      <c r="AG110" s="26">
        <f>IF(OR(J110="",L110=""),"",IF(AND(J110&lt;=EOMONTH(AG$4,0),L110&gt;=AG$4),1,""))</f>
        <v/>
      </c>
      <c r="AH110" s="26">
        <f>IF(OR(J110="",L110=""),"",IF(AND(J110&lt;=EOMONTH(AH$4,0),L110&gt;=AH$4),1,""))</f>
        <v/>
      </c>
      <c r="AI110" s="26">
        <f>IF(OR(J110="",L110=""),"",IF(AND(J110&lt;=EOMONTH(AI$4,0),L110&gt;=AI$4),1,""))</f>
        <v/>
      </c>
      <c r="AJ110" s="26">
        <f>IF(OR(J110="",L110=""),"",IF(AND(J110&lt;=EOMONTH(AJ$4,0),L110&gt;=AJ$4),1,""))</f>
        <v/>
      </c>
      <c r="AK110" s="26">
        <f>IF(OR(J110="",L110=""),"",IF(AND(J110&lt;=EOMONTH(AK$4,0),L110&gt;=AK$4),1,""))</f>
        <v/>
      </c>
      <c r="AL110" s="26">
        <f>IF(OR(J110="",L110=""),"",IF(AND(J110&lt;=EOMONTH(AL$4,0),L110&gt;=AL$4),1,""))</f>
        <v/>
      </c>
      <c r="AM110" s="26">
        <f>IF(OR(J110="",L110=""),"",IF(AND(J110&lt;=EOMONTH(AM$4,0),L110&gt;=AM$4),1,""))</f>
        <v/>
      </c>
      <c r="AN110" s="26">
        <f>IF(OR(J110="",L110=""),"",IF(AND(J110&lt;=EOMONTH(AN$4,0),L110&gt;=AN$4),1,""))</f>
        <v/>
      </c>
      <c r="AO110" s="26">
        <f>IF(OR(J110="",L110=""),"",IF(AND(J110&lt;=EOMONTH(AO$4,0),L110&gt;=AO$4),1,""))</f>
        <v/>
      </c>
      <c r="AP110" s="26">
        <f>IF(OR(J110="",L110=""),"",IF(AND(J110&lt;=EOMONTH(AP$4,0),L110&gt;=AP$4),1,""))</f>
        <v/>
      </c>
      <c r="AQ110" s="26">
        <f>IF(OR(J110="",L110=""),"",IF(AND(J110&lt;=EOMONTH(AQ$4,0),L110&gt;=AQ$4),1,""))</f>
        <v/>
      </c>
      <c r="AR110" s="26">
        <f>IF(OR(J110="",L110=""),"",IF(AND(J110&lt;=EOMONTH(AR$4,0),L110&gt;=AR$4),1,""))</f>
        <v/>
      </c>
      <c r="AS110" s="26">
        <f>IF(OR(J110="",L110=""),"",IF(AND(J110&lt;=EOMONTH(AS$4,0),L110&gt;=AS$4),1,""))</f>
        <v/>
      </c>
      <c r="AT110" s="26">
        <f>IF(OR(J110="",L110=""),"",IF(AND(J110&lt;=EOMONTH(AT$4,0),L110&gt;=AT$4),1,""))</f>
        <v/>
      </c>
      <c r="AU110" s="26">
        <f>IF(OR(J110="",L110=""),"",IF(AND(J110&lt;=EOMONTH(AU$4,0),L110&gt;=AU$4),1,""))</f>
        <v/>
      </c>
      <c r="AV110" s="26">
        <f>IF(OR(J110="",L110=""),"",IF(AND(J110&lt;=EOMONTH(AV$4,0),L110&gt;=AV$4),1,""))</f>
        <v/>
      </c>
      <c r="AW110" s="26">
        <f>IF(OR(J110="",L110=""),"",IF(AND(J110&lt;=EOMONTH(AW$4,0),L110&gt;=AW$4),1,""))</f>
        <v/>
      </c>
      <c r="AX110" s="26">
        <f>IF(OR(J110="",L110=""),"",IF(AND(J110&lt;=EOMONTH(AX$4,0),L110&gt;=AX$4),1,""))</f>
        <v/>
      </c>
      <c r="AY110" s="26">
        <f>IF(OR(J110="",L110=""),"",IF(AND(J110&lt;=EOMONTH(AY$4,0),L110&gt;=AY$4),1,""))</f>
        <v/>
      </c>
      <c r="AZ110" s="26">
        <f>IF(OR(J110="",L110=""),"",IF(AND(J110&lt;=EOMONTH(AZ$4,0),L110&gt;=AZ$4),1,""))</f>
        <v/>
      </c>
      <c r="BA110" s="26">
        <f>IF(OR(J110="",L110=""),"",IF(AND(J110&lt;=EOMONTH(BA$4,0),L110&gt;=BA$4),1,""))</f>
        <v/>
      </c>
      <c r="BB110" s="26">
        <f>IF(OR(J110="",L110=""),"",IF(AND(J110&lt;=EOMONTH(BB$4,0),L110&gt;=BB$4),1,""))</f>
        <v/>
      </c>
    </row>
    <row r="111">
      <c r="A111" s="27" t="n"/>
      <c r="B111" s="28" t="n"/>
      <c r="C111" s="29" t="n"/>
      <c r="D111" s="30">
        <f>IF(E111="","","CWA-"&amp;MID(E111,5,4))</f>
        <v/>
      </c>
      <c r="E111" s="29" t="n"/>
      <c r="F111" s="31" t="n"/>
      <c r="G111" s="29" t="n"/>
      <c r="H111" s="28" t="n"/>
      <c r="I111" s="29" t="n"/>
      <c r="J111" s="32" t="n"/>
      <c r="K111" s="28" t="n"/>
      <c r="L111" s="33">
        <f>IF(OR(J111="",K111=""),"",J111+7*K111-1)</f>
        <v/>
      </c>
      <c r="M111" s="33">
        <f>IF(J111="","",J111-7*$E$3)</f>
        <v/>
      </c>
      <c r="N111" s="33">
        <f>IF(J111="","",J111-7*$H$3)</f>
        <v/>
      </c>
      <c r="O111" s="33">
        <f>IF(J111="","",J111-1*$K$3)</f>
        <v/>
      </c>
      <c r="P111" s="30">
        <f>IF(OR(E111="",I111="",I111="—"),IF(E111="","","OK"),IFERROR(IF(INDEX($L$6:$L$155,MATCH(I111,$E$6:$E$155,0))&gt;=J111,"Conflicto con predecesor","OK"),"Predecesor no encontrado"))</f>
        <v/>
      </c>
      <c r="Q111" s="29" t="n"/>
      <c r="R111" s="31" t="n"/>
      <c r="S111" s="26">
        <f>IF(OR(J111="",L111=""),"",IF(AND(J111&lt;=EOMONTH(S$4,0),L111&gt;=S$4),1,""))</f>
        <v/>
      </c>
      <c r="T111" s="26">
        <f>IF(OR(J111="",L111=""),"",IF(AND(J111&lt;=EOMONTH(T$4,0),L111&gt;=T$4),1,""))</f>
        <v/>
      </c>
      <c r="U111" s="26">
        <f>IF(OR(J111="",L111=""),"",IF(AND(J111&lt;=EOMONTH(U$4,0),L111&gt;=U$4),1,""))</f>
        <v/>
      </c>
      <c r="V111" s="26">
        <f>IF(OR(J111="",L111=""),"",IF(AND(J111&lt;=EOMONTH(V$4,0),L111&gt;=V$4),1,""))</f>
        <v/>
      </c>
      <c r="W111" s="26">
        <f>IF(OR(J111="",L111=""),"",IF(AND(J111&lt;=EOMONTH(W$4,0),L111&gt;=W$4),1,""))</f>
        <v/>
      </c>
      <c r="X111" s="26">
        <f>IF(OR(J111="",L111=""),"",IF(AND(J111&lt;=EOMONTH(X$4,0),L111&gt;=X$4),1,""))</f>
        <v/>
      </c>
      <c r="Y111" s="26">
        <f>IF(OR(J111="",L111=""),"",IF(AND(J111&lt;=EOMONTH(Y$4,0),L111&gt;=Y$4),1,""))</f>
        <v/>
      </c>
      <c r="Z111" s="26">
        <f>IF(OR(J111="",L111=""),"",IF(AND(J111&lt;=EOMONTH(Z$4,0),L111&gt;=Z$4),1,""))</f>
        <v/>
      </c>
      <c r="AA111" s="26">
        <f>IF(OR(J111="",L111=""),"",IF(AND(J111&lt;=EOMONTH(AA$4,0),L111&gt;=AA$4),1,""))</f>
        <v/>
      </c>
      <c r="AB111" s="26">
        <f>IF(OR(J111="",L111=""),"",IF(AND(J111&lt;=EOMONTH(AB$4,0),L111&gt;=AB$4),1,""))</f>
        <v/>
      </c>
      <c r="AC111" s="26">
        <f>IF(OR(J111="",L111=""),"",IF(AND(J111&lt;=EOMONTH(AC$4,0),L111&gt;=AC$4),1,""))</f>
        <v/>
      </c>
      <c r="AD111" s="26">
        <f>IF(OR(J111="",L111=""),"",IF(AND(J111&lt;=EOMONTH(AD$4,0),L111&gt;=AD$4),1,""))</f>
        <v/>
      </c>
      <c r="AE111" s="26">
        <f>IF(OR(J111="",L111=""),"",IF(AND(J111&lt;=EOMONTH(AE$4,0),L111&gt;=AE$4),1,""))</f>
        <v/>
      </c>
      <c r="AF111" s="26">
        <f>IF(OR(J111="",L111=""),"",IF(AND(J111&lt;=EOMONTH(AF$4,0),L111&gt;=AF$4),1,""))</f>
        <v/>
      </c>
      <c r="AG111" s="26">
        <f>IF(OR(J111="",L111=""),"",IF(AND(J111&lt;=EOMONTH(AG$4,0),L111&gt;=AG$4),1,""))</f>
        <v/>
      </c>
      <c r="AH111" s="26">
        <f>IF(OR(J111="",L111=""),"",IF(AND(J111&lt;=EOMONTH(AH$4,0),L111&gt;=AH$4),1,""))</f>
        <v/>
      </c>
      <c r="AI111" s="26">
        <f>IF(OR(J111="",L111=""),"",IF(AND(J111&lt;=EOMONTH(AI$4,0),L111&gt;=AI$4),1,""))</f>
        <v/>
      </c>
      <c r="AJ111" s="26">
        <f>IF(OR(J111="",L111=""),"",IF(AND(J111&lt;=EOMONTH(AJ$4,0),L111&gt;=AJ$4),1,""))</f>
        <v/>
      </c>
      <c r="AK111" s="26">
        <f>IF(OR(J111="",L111=""),"",IF(AND(J111&lt;=EOMONTH(AK$4,0),L111&gt;=AK$4),1,""))</f>
        <v/>
      </c>
      <c r="AL111" s="26">
        <f>IF(OR(J111="",L111=""),"",IF(AND(J111&lt;=EOMONTH(AL$4,0),L111&gt;=AL$4),1,""))</f>
        <v/>
      </c>
      <c r="AM111" s="26">
        <f>IF(OR(J111="",L111=""),"",IF(AND(J111&lt;=EOMONTH(AM$4,0),L111&gt;=AM$4),1,""))</f>
        <v/>
      </c>
      <c r="AN111" s="26">
        <f>IF(OR(J111="",L111=""),"",IF(AND(J111&lt;=EOMONTH(AN$4,0),L111&gt;=AN$4),1,""))</f>
        <v/>
      </c>
      <c r="AO111" s="26">
        <f>IF(OR(J111="",L111=""),"",IF(AND(J111&lt;=EOMONTH(AO$4,0),L111&gt;=AO$4),1,""))</f>
        <v/>
      </c>
      <c r="AP111" s="26">
        <f>IF(OR(J111="",L111=""),"",IF(AND(J111&lt;=EOMONTH(AP$4,0),L111&gt;=AP$4),1,""))</f>
        <v/>
      </c>
      <c r="AQ111" s="26">
        <f>IF(OR(J111="",L111=""),"",IF(AND(J111&lt;=EOMONTH(AQ$4,0),L111&gt;=AQ$4),1,""))</f>
        <v/>
      </c>
      <c r="AR111" s="26">
        <f>IF(OR(J111="",L111=""),"",IF(AND(J111&lt;=EOMONTH(AR$4,0),L111&gt;=AR$4),1,""))</f>
        <v/>
      </c>
      <c r="AS111" s="26">
        <f>IF(OR(J111="",L111=""),"",IF(AND(J111&lt;=EOMONTH(AS$4,0),L111&gt;=AS$4),1,""))</f>
        <v/>
      </c>
      <c r="AT111" s="26">
        <f>IF(OR(J111="",L111=""),"",IF(AND(J111&lt;=EOMONTH(AT$4,0),L111&gt;=AT$4),1,""))</f>
        <v/>
      </c>
      <c r="AU111" s="26">
        <f>IF(OR(J111="",L111=""),"",IF(AND(J111&lt;=EOMONTH(AU$4,0),L111&gt;=AU$4),1,""))</f>
        <v/>
      </c>
      <c r="AV111" s="26">
        <f>IF(OR(J111="",L111=""),"",IF(AND(J111&lt;=EOMONTH(AV$4,0),L111&gt;=AV$4),1,""))</f>
        <v/>
      </c>
      <c r="AW111" s="26">
        <f>IF(OR(J111="",L111=""),"",IF(AND(J111&lt;=EOMONTH(AW$4,0),L111&gt;=AW$4),1,""))</f>
        <v/>
      </c>
      <c r="AX111" s="26">
        <f>IF(OR(J111="",L111=""),"",IF(AND(J111&lt;=EOMONTH(AX$4,0),L111&gt;=AX$4),1,""))</f>
        <v/>
      </c>
      <c r="AY111" s="26">
        <f>IF(OR(J111="",L111=""),"",IF(AND(J111&lt;=EOMONTH(AY$4,0),L111&gt;=AY$4),1,""))</f>
        <v/>
      </c>
      <c r="AZ111" s="26">
        <f>IF(OR(J111="",L111=""),"",IF(AND(J111&lt;=EOMONTH(AZ$4,0),L111&gt;=AZ$4),1,""))</f>
        <v/>
      </c>
      <c r="BA111" s="26">
        <f>IF(OR(J111="",L111=""),"",IF(AND(J111&lt;=EOMONTH(BA$4,0),L111&gt;=BA$4),1,""))</f>
        <v/>
      </c>
      <c r="BB111" s="26">
        <f>IF(OR(J111="",L111=""),"",IF(AND(J111&lt;=EOMONTH(BB$4,0),L111&gt;=BB$4),1,""))</f>
        <v/>
      </c>
    </row>
    <row r="112">
      <c r="A112" s="27" t="n"/>
      <c r="B112" s="28" t="n"/>
      <c r="C112" s="29" t="n"/>
      <c r="D112" s="30">
        <f>IF(E112="","","CWA-"&amp;MID(E112,5,4))</f>
        <v/>
      </c>
      <c r="E112" s="29" t="n"/>
      <c r="F112" s="31" t="n"/>
      <c r="G112" s="29" t="n"/>
      <c r="H112" s="28" t="n"/>
      <c r="I112" s="29" t="n"/>
      <c r="J112" s="32" t="n"/>
      <c r="K112" s="28" t="n"/>
      <c r="L112" s="33">
        <f>IF(OR(J112="",K112=""),"",J112+7*K112-1)</f>
        <v/>
      </c>
      <c r="M112" s="33">
        <f>IF(J112="","",J112-7*$E$3)</f>
        <v/>
      </c>
      <c r="N112" s="33">
        <f>IF(J112="","",J112-7*$H$3)</f>
        <v/>
      </c>
      <c r="O112" s="33">
        <f>IF(J112="","",J112-1*$K$3)</f>
        <v/>
      </c>
      <c r="P112" s="30">
        <f>IF(OR(E112="",I112="",I112="—"),IF(E112="","","OK"),IFERROR(IF(INDEX($L$6:$L$155,MATCH(I112,$E$6:$E$155,0))&gt;=J112,"Conflicto con predecesor","OK"),"Predecesor no encontrado"))</f>
        <v/>
      </c>
      <c r="Q112" s="29" t="n"/>
      <c r="R112" s="31" t="n"/>
      <c r="S112" s="26">
        <f>IF(OR(J112="",L112=""),"",IF(AND(J112&lt;=EOMONTH(S$4,0),L112&gt;=S$4),1,""))</f>
        <v/>
      </c>
      <c r="T112" s="26">
        <f>IF(OR(J112="",L112=""),"",IF(AND(J112&lt;=EOMONTH(T$4,0),L112&gt;=T$4),1,""))</f>
        <v/>
      </c>
      <c r="U112" s="26">
        <f>IF(OR(J112="",L112=""),"",IF(AND(J112&lt;=EOMONTH(U$4,0),L112&gt;=U$4),1,""))</f>
        <v/>
      </c>
      <c r="V112" s="26">
        <f>IF(OR(J112="",L112=""),"",IF(AND(J112&lt;=EOMONTH(V$4,0),L112&gt;=V$4),1,""))</f>
        <v/>
      </c>
      <c r="W112" s="26">
        <f>IF(OR(J112="",L112=""),"",IF(AND(J112&lt;=EOMONTH(W$4,0),L112&gt;=W$4),1,""))</f>
        <v/>
      </c>
      <c r="X112" s="26">
        <f>IF(OR(J112="",L112=""),"",IF(AND(J112&lt;=EOMONTH(X$4,0),L112&gt;=X$4),1,""))</f>
        <v/>
      </c>
      <c r="Y112" s="26">
        <f>IF(OR(J112="",L112=""),"",IF(AND(J112&lt;=EOMONTH(Y$4,0),L112&gt;=Y$4),1,""))</f>
        <v/>
      </c>
      <c r="Z112" s="26">
        <f>IF(OR(J112="",L112=""),"",IF(AND(J112&lt;=EOMONTH(Z$4,0),L112&gt;=Z$4),1,""))</f>
        <v/>
      </c>
      <c r="AA112" s="26">
        <f>IF(OR(J112="",L112=""),"",IF(AND(J112&lt;=EOMONTH(AA$4,0),L112&gt;=AA$4),1,""))</f>
        <v/>
      </c>
      <c r="AB112" s="26">
        <f>IF(OR(J112="",L112=""),"",IF(AND(J112&lt;=EOMONTH(AB$4,0),L112&gt;=AB$4),1,""))</f>
        <v/>
      </c>
      <c r="AC112" s="26">
        <f>IF(OR(J112="",L112=""),"",IF(AND(J112&lt;=EOMONTH(AC$4,0),L112&gt;=AC$4),1,""))</f>
        <v/>
      </c>
      <c r="AD112" s="26">
        <f>IF(OR(J112="",L112=""),"",IF(AND(J112&lt;=EOMONTH(AD$4,0),L112&gt;=AD$4),1,""))</f>
        <v/>
      </c>
      <c r="AE112" s="26">
        <f>IF(OR(J112="",L112=""),"",IF(AND(J112&lt;=EOMONTH(AE$4,0),L112&gt;=AE$4),1,""))</f>
        <v/>
      </c>
      <c r="AF112" s="26">
        <f>IF(OR(J112="",L112=""),"",IF(AND(J112&lt;=EOMONTH(AF$4,0),L112&gt;=AF$4),1,""))</f>
        <v/>
      </c>
      <c r="AG112" s="26">
        <f>IF(OR(J112="",L112=""),"",IF(AND(J112&lt;=EOMONTH(AG$4,0),L112&gt;=AG$4),1,""))</f>
        <v/>
      </c>
      <c r="AH112" s="26">
        <f>IF(OR(J112="",L112=""),"",IF(AND(J112&lt;=EOMONTH(AH$4,0),L112&gt;=AH$4),1,""))</f>
        <v/>
      </c>
      <c r="AI112" s="26">
        <f>IF(OR(J112="",L112=""),"",IF(AND(J112&lt;=EOMONTH(AI$4,0),L112&gt;=AI$4),1,""))</f>
        <v/>
      </c>
      <c r="AJ112" s="26">
        <f>IF(OR(J112="",L112=""),"",IF(AND(J112&lt;=EOMONTH(AJ$4,0),L112&gt;=AJ$4),1,""))</f>
        <v/>
      </c>
      <c r="AK112" s="26">
        <f>IF(OR(J112="",L112=""),"",IF(AND(J112&lt;=EOMONTH(AK$4,0),L112&gt;=AK$4),1,""))</f>
        <v/>
      </c>
      <c r="AL112" s="26">
        <f>IF(OR(J112="",L112=""),"",IF(AND(J112&lt;=EOMONTH(AL$4,0),L112&gt;=AL$4),1,""))</f>
        <v/>
      </c>
      <c r="AM112" s="26">
        <f>IF(OR(J112="",L112=""),"",IF(AND(J112&lt;=EOMONTH(AM$4,0),L112&gt;=AM$4),1,""))</f>
        <v/>
      </c>
      <c r="AN112" s="26">
        <f>IF(OR(J112="",L112=""),"",IF(AND(J112&lt;=EOMONTH(AN$4,0),L112&gt;=AN$4),1,""))</f>
        <v/>
      </c>
      <c r="AO112" s="26">
        <f>IF(OR(J112="",L112=""),"",IF(AND(J112&lt;=EOMONTH(AO$4,0),L112&gt;=AO$4),1,""))</f>
        <v/>
      </c>
      <c r="AP112" s="26">
        <f>IF(OR(J112="",L112=""),"",IF(AND(J112&lt;=EOMONTH(AP$4,0),L112&gt;=AP$4),1,""))</f>
        <v/>
      </c>
      <c r="AQ112" s="26">
        <f>IF(OR(J112="",L112=""),"",IF(AND(J112&lt;=EOMONTH(AQ$4,0),L112&gt;=AQ$4),1,""))</f>
        <v/>
      </c>
      <c r="AR112" s="26">
        <f>IF(OR(J112="",L112=""),"",IF(AND(J112&lt;=EOMONTH(AR$4,0),L112&gt;=AR$4),1,""))</f>
        <v/>
      </c>
      <c r="AS112" s="26">
        <f>IF(OR(J112="",L112=""),"",IF(AND(J112&lt;=EOMONTH(AS$4,0),L112&gt;=AS$4),1,""))</f>
        <v/>
      </c>
      <c r="AT112" s="26">
        <f>IF(OR(J112="",L112=""),"",IF(AND(J112&lt;=EOMONTH(AT$4,0),L112&gt;=AT$4),1,""))</f>
        <v/>
      </c>
      <c r="AU112" s="26">
        <f>IF(OR(J112="",L112=""),"",IF(AND(J112&lt;=EOMONTH(AU$4,0),L112&gt;=AU$4),1,""))</f>
        <v/>
      </c>
      <c r="AV112" s="26">
        <f>IF(OR(J112="",L112=""),"",IF(AND(J112&lt;=EOMONTH(AV$4,0),L112&gt;=AV$4),1,""))</f>
        <v/>
      </c>
      <c r="AW112" s="26">
        <f>IF(OR(J112="",L112=""),"",IF(AND(J112&lt;=EOMONTH(AW$4,0),L112&gt;=AW$4),1,""))</f>
        <v/>
      </c>
      <c r="AX112" s="26">
        <f>IF(OR(J112="",L112=""),"",IF(AND(J112&lt;=EOMONTH(AX$4,0),L112&gt;=AX$4),1,""))</f>
        <v/>
      </c>
      <c r="AY112" s="26">
        <f>IF(OR(J112="",L112=""),"",IF(AND(J112&lt;=EOMONTH(AY$4,0),L112&gt;=AY$4),1,""))</f>
        <v/>
      </c>
      <c r="AZ112" s="26">
        <f>IF(OR(J112="",L112=""),"",IF(AND(J112&lt;=EOMONTH(AZ$4,0),L112&gt;=AZ$4),1,""))</f>
        <v/>
      </c>
      <c r="BA112" s="26">
        <f>IF(OR(J112="",L112=""),"",IF(AND(J112&lt;=EOMONTH(BA$4,0),L112&gt;=BA$4),1,""))</f>
        <v/>
      </c>
      <c r="BB112" s="26">
        <f>IF(OR(J112="",L112=""),"",IF(AND(J112&lt;=EOMONTH(BB$4,0),L112&gt;=BB$4),1,""))</f>
        <v/>
      </c>
    </row>
    <row r="113">
      <c r="A113" s="27" t="n"/>
      <c r="B113" s="28" t="n"/>
      <c r="C113" s="29" t="n"/>
      <c r="D113" s="30">
        <f>IF(E113="","","CWA-"&amp;MID(E113,5,4))</f>
        <v/>
      </c>
      <c r="E113" s="29" t="n"/>
      <c r="F113" s="31" t="n"/>
      <c r="G113" s="29" t="n"/>
      <c r="H113" s="28" t="n"/>
      <c r="I113" s="29" t="n"/>
      <c r="J113" s="32" t="n"/>
      <c r="K113" s="28" t="n"/>
      <c r="L113" s="33">
        <f>IF(OR(J113="",K113=""),"",J113+7*K113-1)</f>
        <v/>
      </c>
      <c r="M113" s="33">
        <f>IF(J113="","",J113-7*$E$3)</f>
        <v/>
      </c>
      <c r="N113" s="33">
        <f>IF(J113="","",J113-7*$H$3)</f>
        <v/>
      </c>
      <c r="O113" s="33">
        <f>IF(J113="","",J113-1*$K$3)</f>
        <v/>
      </c>
      <c r="P113" s="30">
        <f>IF(OR(E113="",I113="",I113="—"),IF(E113="","","OK"),IFERROR(IF(INDEX($L$6:$L$155,MATCH(I113,$E$6:$E$155,0))&gt;=J113,"Conflicto con predecesor","OK"),"Predecesor no encontrado"))</f>
        <v/>
      </c>
      <c r="Q113" s="29" t="n"/>
      <c r="R113" s="31" t="n"/>
      <c r="S113" s="26">
        <f>IF(OR(J113="",L113=""),"",IF(AND(J113&lt;=EOMONTH(S$4,0),L113&gt;=S$4),1,""))</f>
        <v/>
      </c>
      <c r="T113" s="26">
        <f>IF(OR(J113="",L113=""),"",IF(AND(J113&lt;=EOMONTH(T$4,0),L113&gt;=T$4),1,""))</f>
        <v/>
      </c>
      <c r="U113" s="26">
        <f>IF(OR(J113="",L113=""),"",IF(AND(J113&lt;=EOMONTH(U$4,0),L113&gt;=U$4),1,""))</f>
        <v/>
      </c>
      <c r="V113" s="26">
        <f>IF(OR(J113="",L113=""),"",IF(AND(J113&lt;=EOMONTH(V$4,0),L113&gt;=V$4),1,""))</f>
        <v/>
      </c>
      <c r="W113" s="26">
        <f>IF(OR(J113="",L113=""),"",IF(AND(J113&lt;=EOMONTH(W$4,0),L113&gt;=W$4),1,""))</f>
        <v/>
      </c>
      <c r="X113" s="26">
        <f>IF(OR(J113="",L113=""),"",IF(AND(J113&lt;=EOMONTH(X$4,0),L113&gt;=X$4),1,""))</f>
        <v/>
      </c>
      <c r="Y113" s="26">
        <f>IF(OR(J113="",L113=""),"",IF(AND(J113&lt;=EOMONTH(Y$4,0),L113&gt;=Y$4),1,""))</f>
        <v/>
      </c>
      <c r="Z113" s="26">
        <f>IF(OR(J113="",L113=""),"",IF(AND(J113&lt;=EOMONTH(Z$4,0),L113&gt;=Z$4),1,""))</f>
        <v/>
      </c>
      <c r="AA113" s="26">
        <f>IF(OR(J113="",L113=""),"",IF(AND(J113&lt;=EOMONTH(AA$4,0),L113&gt;=AA$4),1,""))</f>
        <v/>
      </c>
      <c r="AB113" s="26">
        <f>IF(OR(J113="",L113=""),"",IF(AND(J113&lt;=EOMONTH(AB$4,0),L113&gt;=AB$4),1,""))</f>
        <v/>
      </c>
      <c r="AC113" s="26">
        <f>IF(OR(J113="",L113=""),"",IF(AND(J113&lt;=EOMONTH(AC$4,0),L113&gt;=AC$4),1,""))</f>
        <v/>
      </c>
      <c r="AD113" s="26">
        <f>IF(OR(J113="",L113=""),"",IF(AND(J113&lt;=EOMONTH(AD$4,0),L113&gt;=AD$4),1,""))</f>
        <v/>
      </c>
      <c r="AE113" s="26">
        <f>IF(OR(J113="",L113=""),"",IF(AND(J113&lt;=EOMONTH(AE$4,0),L113&gt;=AE$4),1,""))</f>
        <v/>
      </c>
      <c r="AF113" s="26">
        <f>IF(OR(J113="",L113=""),"",IF(AND(J113&lt;=EOMONTH(AF$4,0),L113&gt;=AF$4),1,""))</f>
        <v/>
      </c>
      <c r="AG113" s="26">
        <f>IF(OR(J113="",L113=""),"",IF(AND(J113&lt;=EOMONTH(AG$4,0),L113&gt;=AG$4),1,""))</f>
        <v/>
      </c>
      <c r="AH113" s="26">
        <f>IF(OR(J113="",L113=""),"",IF(AND(J113&lt;=EOMONTH(AH$4,0),L113&gt;=AH$4),1,""))</f>
        <v/>
      </c>
      <c r="AI113" s="26">
        <f>IF(OR(J113="",L113=""),"",IF(AND(J113&lt;=EOMONTH(AI$4,0),L113&gt;=AI$4),1,""))</f>
        <v/>
      </c>
      <c r="AJ113" s="26">
        <f>IF(OR(J113="",L113=""),"",IF(AND(J113&lt;=EOMONTH(AJ$4,0),L113&gt;=AJ$4),1,""))</f>
        <v/>
      </c>
      <c r="AK113" s="26">
        <f>IF(OR(J113="",L113=""),"",IF(AND(J113&lt;=EOMONTH(AK$4,0),L113&gt;=AK$4),1,""))</f>
        <v/>
      </c>
      <c r="AL113" s="26">
        <f>IF(OR(J113="",L113=""),"",IF(AND(J113&lt;=EOMONTH(AL$4,0),L113&gt;=AL$4),1,""))</f>
        <v/>
      </c>
      <c r="AM113" s="26">
        <f>IF(OR(J113="",L113=""),"",IF(AND(J113&lt;=EOMONTH(AM$4,0),L113&gt;=AM$4),1,""))</f>
        <v/>
      </c>
      <c r="AN113" s="26">
        <f>IF(OR(J113="",L113=""),"",IF(AND(J113&lt;=EOMONTH(AN$4,0),L113&gt;=AN$4),1,""))</f>
        <v/>
      </c>
      <c r="AO113" s="26">
        <f>IF(OR(J113="",L113=""),"",IF(AND(J113&lt;=EOMONTH(AO$4,0),L113&gt;=AO$4),1,""))</f>
        <v/>
      </c>
      <c r="AP113" s="26">
        <f>IF(OR(J113="",L113=""),"",IF(AND(J113&lt;=EOMONTH(AP$4,0),L113&gt;=AP$4),1,""))</f>
        <v/>
      </c>
      <c r="AQ113" s="26">
        <f>IF(OR(J113="",L113=""),"",IF(AND(J113&lt;=EOMONTH(AQ$4,0),L113&gt;=AQ$4),1,""))</f>
        <v/>
      </c>
      <c r="AR113" s="26">
        <f>IF(OR(J113="",L113=""),"",IF(AND(J113&lt;=EOMONTH(AR$4,0),L113&gt;=AR$4),1,""))</f>
        <v/>
      </c>
      <c r="AS113" s="26">
        <f>IF(OR(J113="",L113=""),"",IF(AND(J113&lt;=EOMONTH(AS$4,0),L113&gt;=AS$4),1,""))</f>
        <v/>
      </c>
      <c r="AT113" s="26">
        <f>IF(OR(J113="",L113=""),"",IF(AND(J113&lt;=EOMONTH(AT$4,0),L113&gt;=AT$4),1,""))</f>
        <v/>
      </c>
      <c r="AU113" s="26">
        <f>IF(OR(J113="",L113=""),"",IF(AND(J113&lt;=EOMONTH(AU$4,0),L113&gt;=AU$4),1,""))</f>
        <v/>
      </c>
      <c r="AV113" s="26">
        <f>IF(OR(J113="",L113=""),"",IF(AND(J113&lt;=EOMONTH(AV$4,0),L113&gt;=AV$4),1,""))</f>
        <v/>
      </c>
      <c r="AW113" s="26">
        <f>IF(OR(J113="",L113=""),"",IF(AND(J113&lt;=EOMONTH(AW$4,0),L113&gt;=AW$4),1,""))</f>
        <v/>
      </c>
      <c r="AX113" s="26">
        <f>IF(OR(J113="",L113=""),"",IF(AND(J113&lt;=EOMONTH(AX$4,0),L113&gt;=AX$4),1,""))</f>
        <v/>
      </c>
      <c r="AY113" s="26">
        <f>IF(OR(J113="",L113=""),"",IF(AND(J113&lt;=EOMONTH(AY$4,0),L113&gt;=AY$4),1,""))</f>
        <v/>
      </c>
      <c r="AZ113" s="26">
        <f>IF(OR(J113="",L113=""),"",IF(AND(J113&lt;=EOMONTH(AZ$4,0),L113&gt;=AZ$4),1,""))</f>
        <v/>
      </c>
      <c r="BA113" s="26">
        <f>IF(OR(J113="",L113=""),"",IF(AND(J113&lt;=EOMONTH(BA$4,0),L113&gt;=BA$4),1,""))</f>
        <v/>
      </c>
      <c r="BB113" s="26">
        <f>IF(OR(J113="",L113=""),"",IF(AND(J113&lt;=EOMONTH(BB$4,0),L113&gt;=BB$4),1,""))</f>
        <v/>
      </c>
    </row>
    <row r="114">
      <c r="A114" s="27" t="n"/>
      <c r="B114" s="28" t="n"/>
      <c r="C114" s="29" t="n"/>
      <c r="D114" s="30">
        <f>IF(E114="","","CWA-"&amp;MID(E114,5,4))</f>
        <v/>
      </c>
      <c r="E114" s="29" t="n"/>
      <c r="F114" s="31" t="n"/>
      <c r="G114" s="29" t="n"/>
      <c r="H114" s="28" t="n"/>
      <c r="I114" s="29" t="n"/>
      <c r="J114" s="32" t="n"/>
      <c r="K114" s="28" t="n"/>
      <c r="L114" s="33">
        <f>IF(OR(J114="",K114=""),"",J114+7*K114-1)</f>
        <v/>
      </c>
      <c r="M114" s="33">
        <f>IF(J114="","",J114-7*$E$3)</f>
        <v/>
      </c>
      <c r="N114" s="33">
        <f>IF(J114="","",J114-7*$H$3)</f>
        <v/>
      </c>
      <c r="O114" s="33">
        <f>IF(J114="","",J114-1*$K$3)</f>
        <v/>
      </c>
      <c r="P114" s="30">
        <f>IF(OR(E114="",I114="",I114="—"),IF(E114="","","OK"),IFERROR(IF(INDEX($L$6:$L$155,MATCH(I114,$E$6:$E$155,0))&gt;=J114,"Conflicto con predecesor","OK"),"Predecesor no encontrado"))</f>
        <v/>
      </c>
      <c r="Q114" s="29" t="n"/>
      <c r="R114" s="31" t="n"/>
      <c r="S114" s="26">
        <f>IF(OR(J114="",L114=""),"",IF(AND(J114&lt;=EOMONTH(S$4,0),L114&gt;=S$4),1,""))</f>
        <v/>
      </c>
      <c r="T114" s="26">
        <f>IF(OR(J114="",L114=""),"",IF(AND(J114&lt;=EOMONTH(T$4,0),L114&gt;=T$4),1,""))</f>
        <v/>
      </c>
      <c r="U114" s="26">
        <f>IF(OR(J114="",L114=""),"",IF(AND(J114&lt;=EOMONTH(U$4,0),L114&gt;=U$4),1,""))</f>
        <v/>
      </c>
      <c r="V114" s="26">
        <f>IF(OR(J114="",L114=""),"",IF(AND(J114&lt;=EOMONTH(V$4,0),L114&gt;=V$4),1,""))</f>
        <v/>
      </c>
      <c r="W114" s="26">
        <f>IF(OR(J114="",L114=""),"",IF(AND(J114&lt;=EOMONTH(W$4,0),L114&gt;=W$4),1,""))</f>
        <v/>
      </c>
      <c r="X114" s="26">
        <f>IF(OR(J114="",L114=""),"",IF(AND(J114&lt;=EOMONTH(X$4,0),L114&gt;=X$4),1,""))</f>
        <v/>
      </c>
      <c r="Y114" s="26">
        <f>IF(OR(J114="",L114=""),"",IF(AND(J114&lt;=EOMONTH(Y$4,0),L114&gt;=Y$4),1,""))</f>
        <v/>
      </c>
      <c r="Z114" s="26">
        <f>IF(OR(J114="",L114=""),"",IF(AND(J114&lt;=EOMONTH(Z$4,0),L114&gt;=Z$4),1,""))</f>
        <v/>
      </c>
      <c r="AA114" s="26">
        <f>IF(OR(J114="",L114=""),"",IF(AND(J114&lt;=EOMONTH(AA$4,0),L114&gt;=AA$4),1,""))</f>
        <v/>
      </c>
      <c r="AB114" s="26">
        <f>IF(OR(J114="",L114=""),"",IF(AND(J114&lt;=EOMONTH(AB$4,0),L114&gt;=AB$4),1,""))</f>
        <v/>
      </c>
      <c r="AC114" s="26">
        <f>IF(OR(J114="",L114=""),"",IF(AND(J114&lt;=EOMONTH(AC$4,0),L114&gt;=AC$4),1,""))</f>
        <v/>
      </c>
      <c r="AD114" s="26">
        <f>IF(OR(J114="",L114=""),"",IF(AND(J114&lt;=EOMONTH(AD$4,0),L114&gt;=AD$4),1,""))</f>
        <v/>
      </c>
      <c r="AE114" s="26">
        <f>IF(OR(J114="",L114=""),"",IF(AND(J114&lt;=EOMONTH(AE$4,0),L114&gt;=AE$4),1,""))</f>
        <v/>
      </c>
      <c r="AF114" s="26">
        <f>IF(OR(J114="",L114=""),"",IF(AND(J114&lt;=EOMONTH(AF$4,0),L114&gt;=AF$4),1,""))</f>
        <v/>
      </c>
      <c r="AG114" s="26">
        <f>IF(OR(J114="",L114=""),"",IF(AND(J114&lt;=EOMONTH(AG$4,0),L114&gt;=AG$4),1,""))</f>
        <v/>
      </c>
      <c r="AH114" s="26">
        <f>IF(OR(J114="",L114=""),"",IF(AND(J114&lt;=EOMONTH(AH$4,0),L114&gt;=AH$4),1,""))</f>
        <v/>
      </c>
      <c r="AI114" s="26">
        <f>IF(OR(J114="",L114=""),"",IF(AND(J114&lt;=EOMONTH(AI$4,0),L114&gt;=AI$4),1,""))</f>
        <v/>
      </c>
      <c r="AJ114" s="26">
        <f>IF(OR(J114="",L114=""),"",IF(AND(J114&lt;=EOMONTH(AJ$4,0),L114&gt;=AJ$4),1,""))</f>
        <v/>
      </c>
      <c r="AK114" s="26">
        <f>IF(OR(J114="",L114=""),"",IF(AND(J114&lt;=EOMONTH(AK$4,0),L114&gt;=AK$4),1,""))</f>
        <v/>
      </c>
      <c r="AL114" s="26">
        <f>IF(OR(J114="",L114=""),"",IF(AND(J114&lt;=EOMONTH(AL$4,0),L114&gt;=AL$4),1,""))</f>
        <v/>
      </c>
      <c r="AM114" s="26">
        <f>IF(OR(J114="",L114=""),"",IF(AND(J114&lt;=EOMONTH(AM$4,0),L114&gt;=AM$4),1,""))</f>
        <v/>
      </c>
      <c r="AN114" s="26">
        <f>IF(OR(J114="",L114=""),"",IF(AND(J114&lt;=EOMONTH(AN$4,0),L114&gt;=AN$4),1,""))</f>
        <v/>
      </c>
      <c r="AO114" s="26">
        <f>IF(OR(J114="",L114=""),"",IF(AND(J114&lt;=EOMONTH(AO$4,0),L114&gt;=AO$4),1,""))</f>
        <v/>
      </c>
      <c r="AP114" s="26">
        <f>IF(OR(J114="",L114=""),"",IF(AND(J114&lt;=EOMONTH(AP$4,0),L114&gt;=AP$4),1,""))</f>
        <v/>
      </c>
      <c r="AQ114" s="26">
        <f>IF(OR(J114="",L114=""),"",IF(AND(J114&lt;=EOMONTH(AQ$4,0),L114&gt;=AQ$4),1,""))</f>
        <v/>
      </c>
      <c r="AR114" s="26">
        <f>IF(OR(J114="",L114=""),"",IF(AND(J114&lt;=EOMONTH(AR$4,0),L114&gt;=AR$4),1,""))</f>
        <v/>
      </c>
      <c r="AS114" s="26">
        <f>IF(OR(J114="",L114=""),"",IF(AND(J114&lt;=EOMONTH(AS$4,0),L114&gt;=AS$4),1,""))</f>
        <v/>
      </c>
      <c r="AT114" s="26">
        <f>IF(OR(J114="",L114=""),"",IF(AND(J114&lt;=EOMONTH(AT$4,0),L114&gt;=AT$4),1,""))</f>
        <v/>
      </c>
      <c r="AU114" s="26">
        <f>IF(OR(J114="",L114=""),"",IF(AND(J114&lt;=EOMONTH(AU$4,0),L114&gt;=AU$4),1,""))</f>
        <v/>
      </c>
      <c r="AV114" s="26">
        <f>IF(OR(J114="",L114=""),"",IF(AND(J114&lt;=EOMONTH(AV$4,0),L114&gt;=AV$4),1,""))</f>
        <v/>
      </c>
      <c r="AW114" s="26">
        <f>IF(OR(J114="",L114=""),"",IF(AND(J114&lt;=EOMONTH(AW$4,0),L114&gt;=AW$4),1,""))</f>
        <v/>
      </c>
      <c r="AX114" s="26">
        <f>IF(OR(J114="",L114=""),"",IF(AND(J114&lt;=EOMONTH(AX$4,0),L114&gt;=AX$4),1,""))</f>
        <v/>
      </c>
      <c r="AY114" s="26">
        <f>IF(OR(J114="",L114=""),"",IF(AND(J114&lt;=EOMONTH(AY$4,0),L114&gt;=AY$4),1,""))</f>
        <v/>
      </c>
      <c r="AZ114" s="26">
        <f>IF(OR(J114="",L114=""),"",IF(AND(J114&lt;=EOMONTH(AZ$4,0),L114&gt;=AZ$4),1,""))</f>
        <v/>
      </c>
      <c r="BA114" s="26">
        <f>IF(OR(J114="",L114=""),"",IF(AND(J114&lt;=EOMONTH(BA$4,0),L114&gt;=BA$4),1,""))</f>
        <v/>
      </c>
      <c r="BB114" s="26">
        <f>IF(OR(J114="",L114=""),"",IF(AND(J114&lt;=EOMONTH(BB$4,0),L114&gt;=BB$4),1,""))</f>
        <v/>
      </c>
    </row>
    <row r="115">
      <c r="A115" s="27" t="n"/>
      <c r="B115" s="28" t="n"/>
      <c r="C115" s="29" t="n"/>
      <c r="D115" s="30">
        <f>IF(E115="","","CWA-"&amp;MID(E115,5,4))</f>
        <v/>
      </c>
      <c r="E115" s="29" t="n"/>
      <c r="F115" s="31" t="n"/>
      <c r="G115" s="29" t="n"/>
      <c r="H115" s="28" t="n"/>
      <c r="I115" s="29" t="n"/>
      <c r="J115" s="32" t="n"/>
      <c r="K115" s="28" t="n"/>
      <c r="L115" s="33">
        <f>IF(OR(J115="",K115=""),"",J115+7*K115-1)</f>
        <v/>
      </c>
      <c r="M115" s="33">
        <f>IF(J115="","",J115-7*$E$3)</f>
        <v/>
      </c>
      <c r="N115" s="33">
        <f>IF(J115="","",J115-7*$H$3)</f>
        <v/>
      </c>
      <c r="O115" s="33">
        <f>IF(J115="","",J115-1*$K$3)</f>
        <v/>
      </c>
      <c r="P115" s="30">
        <f>IF(OR(E115="",I115="",I115="—"),IF(E115="","","OK"),IFERROR(IF(INDEX($L$6:$L$155,MATCH(I115,$E$6:$E$155,0))&gt;=J115,"Conflicto con predecesor","OK"),"Predecesor no encontrado"))</f>
        <v/>
      </c>
      <c r="Q115" s="29" t="n"/>
      <c r="R115" s="31" t="n"/>
      <c r="S115" s="26">
        <f>IF(OR(J115="",L115=""),"",IF(AND(J115&lt;=EOMONTH(S$4,0),L115&gt;=S$4),1,""))</f>
        <v/>
      </c>
      <c r="T115" s="26">
        <f>IF(OR(J115="",L115=""),"",IF(AND(J115&lt;=EOMONTH(T$4,0),L115&gt;=T$4),1,""))</f>
        <v/>
      </c>
      <c r="U115" s="26">
        <f>IF(OR(J115="",L115=""),"",IF(AND(J115&lt;=EOMONTH(U$4,0),L115&gt;=U$4),1,""))</f>
        <v/>
      </c>
      <c r="V115" s="26">
        <f>IF(OR(J115="",L115=""),"",IF(AND(J115&lt;=EOMONTH(V$4,0),L115&gt;=V$4),1,""))</f>
        <v/>
      </c>
      <c r="W115" s="26">
        <f>IF(OR(J115="",L115=""),"",IF(AND(J115&lt;=EOMONTH(W$4,0),L115&gt;=W$4),1,""))</f>
        <v/>
      </c>
      <c r="X115" s="26">
        <f>IF(OR(J115="",L115=""),"",IF(AND(J115&lt;=EOMONTH(X$4,0),L115&gt;=X$4),1,""))</f>
        <v/>
      </c>
      <c r="Y115" s="26">
        <f>IF(OR(J115="",L115=""),"",IF(AND(J115&lt;=EOMONTH(Y$4,0),L115&gt;=Y$4),1,""))</f>
        <v/>
      </c>
      <c r="Z115" s="26">
        <f>IF(OR(J115="",L115=""),"",IF(AND(J115&lt;=EOMONTH(Z$4,0),L115&gt;=Z$4),1,""))</f>
        <v/>
      </c>
      <c r="AA115" s="26">
        <f>IF(OR(J115="",L115=""),"",IF(AND(J115&lt;=EOMONTH(AA$4,0),L115&gt;=AA$4),1,""))</f>
        <v/>
      </c>
      <c r="AB115" s="26">
        <f>IF(OR(J115="",L115=""),"",IF(AND(J115&lt;=EOMONTH(AB$4,0),L115&gt;=AB$4),1,""))</f>
        <v/>
      </c>
      <c r="AC115" s="26">
        <f>IF(OR(J115="",L115=""),"",IF(AND(J115&lt;=EOMONTH(AC$4,0),L115&gt;=AC$4),1,""))</f>
        <v/>
      </c>
      <c r="AD115" s="26">
        <f>IF(OR(J115="",L115=""),"",IF(AND(J115&lt;=EOMONTH(AD$4,0),L115&gt;=AD$4),1,""))</f>
        <v/>
      </c>
      <c r="AE115" s="26">
        <f>IF(OR(J115="",L115=""),"",IF(AND(J115&lt;=EOMONTH(AE$4,0),L115&gt;=AE$4),1,""))</f>
        <v/>
      </c>
      <c r="AF115" s="26">
        <f>IF(OR(J115="",L115=""),"",IF(AND(J115&lt;=EOMONTH(AF$4,0),L115&gt;=AF$4),1,""))</f>
        <v/>
      </c>
      <c r="AG115" s="26">
        <f>IF(OR(J115="",L115=""),"",IF(AND(J115&lt;=EOMONTH(AG$4,0),L115&gt;=AG$4),1,""))</f>
        <v/>
      </c>
      <c r="AH115" s="26">
        <f>IF(OR(J115="",L115=""),"",IF(AND(J115&lt;=EOMONTH(AH$4,0),L115&gt;=AH$4),1,""))</f>
        <v/>
      </c>
      <c r="AI115" s="26">
        <f>IF(OR(J115="",L115=""),"",IF(AND(J115&lt;=EOMONTH(AI$4,0),L115&gt;=AI$4),1,""))</f>
        <v/>
      </c>
      <c r="AJ115" s="26">
        <f>IF(OR(J115="",L115=""),"",IF(AND(J115&lt;=EOMONTH(AJ$4,0),L115&gt;=AJ$4),1,""))</f>
        <v/>
      </c>
      <c r="AK115" s="26">
        <f>IF(OR(J115="",L115=""),"",IF(AND(J115&lt;=EOMONTH(AK$4,0),L115&gt;=AK$4),1,""))</f>
        <v/>
      </c>
      <c r="AL115" s="26">
        <f>IF(OR(J115="",L115=""),"",IF(AND(J115&lt;=EOMONTH(AL$4,0),L115&gt;=AL$4),1,""))</f>
        <v/>
      </c>
      <c r="AM115" s="26">
        <f>IF(OR(J115="",L115=""),"",IF(AND(J115&lt;=EOMONTH(AM$4,0),L115&gt;=AM$4),1,""))</f>
        <v/>
      </c>
      <c r="AN115" s="26">
        <f>IF(OR(J115="",L115=""),"",IF(AND(J115&lt;=EOMONTH(AN$4,0),L115&gt;=AN$4),1,""))</f>
        <v/>
      </c>
      <c r="AO115" s="26">
        <f>IF(OR(J115="",L115=""),"",IF(AND(J115&lt;=EOMONTH(AO$4,0),L115&gt;=AO$4),1,""))</f>
        <v/>
      </c>
      <c r="AP115" s="26">
        <f>IF(OR(J115="",L115=""),"",IF(AND(J115&lt;=EOMONTH(AP$4,0),L115&gt;=AP$4),1,""))</f>
        <v/>
      </c>
      <c r="AQ115" s="26">
        <f>IF(OR(J115="",L115=""),"",IF(AND(J115&lt;=EOMONTH(AQ$4,0),L115&gt;=AQ$4),1,""))</f>
        <v/>
      </c>
      <c r="AR115" s="26">
        <f>IF(OR(J115="",L115=""),"",IF(AND(J115&lt;=EOMONTH(AR$4,0),L115&gt;=AR$4),1,""))</f>
        <v/>
      </c>
      <c r="AS115" s="26">
        <f>IF(OR(J115="",L115=""),"",IF(AND(J115&lt;=EOMONTH(AS$4,0),L115&gt;=AS$4),1,""))</f>
        <v/>
      </c>
      <c r="AT115" s="26">
        <f>IF(OR(J115="",L115=""),"",IF(AND(J115&lt;=EOMONTH(AT$4,0),L115&gt;=AT$4),1,""))</f>
        <v/>
      </c>
      <c r="AU115" s="26">
        <f>IF(OR(J115="",L115=""),"",IF(AND(J115&lt;=EOMONTH(AU$4,0),L115&gt;=AU$4),1,""))</f>
        <v/>
      </c>
      <c r="AV115" s="26">
        <f>IF(OR(J115="",L115=""),"",IF(AND(J115&lt;=EOMONTH(AV$4,0),L115&gt;=AV$4),1,""))</f>
        <v/>
      </c>
      <c r="AW115" s="26">
        <f>IF(OR(J115="",L115=""),"",IF(AND(J115&lt;=EOMONTH(AW$4,0),L115&gt;=AW$4),1,""))</f>
        <v/>
      </c>
      <c r="AX115" s="26">
        <f>IF(OR(J115="",L115=""),"",IF(AND(J115&lt;=EOMONTH(AX$4,0),L115&gt;=AX$4),1,""))</f>
        <v/>
      </c>
      <c r="AY115" s="26">
        <f>IF(OR(J115="",L115=""),"",IF(AND(J115&lt;=EOMONTH(AY$4,0),L115&gt;=AY$4),1,""))</f>
        <v/>
      </c>
      <c r="AZ115" s="26">
        <f>IF(OR(J115="",L115=""),"",IF(AND(J115&lt;=EOMONTH(AZ$4,0),L115&gt;=AZ$4),1,""))</f>
        <v/>
      </c>
      <c r="BA115" s="26">
        <f>IF(OR(J115="",L115=""),"",IF(AND(J115&lt;=EOMONTH(BA$4,0),L115&gt;=BA$4),1,""))</f>
        <v/>
      </c>
      <c r="BB115" s="26">
        <f>IF(OR(J115="",L115=""),"",IF(AND(J115&lt;=EOMONTH(BB$4,0),L115&gt;=BB$4),1,""))</f>
        <v/>
      </c>
    </row>
    <row r="116">
      <c r="A116" s="27" t="n"/>
      <c r="B116" s="28" t="n"/>
      <c r="C116" s="29" t="n"/>
      <c r="D116" s="30">
        <f>IF(E116="","","CWA-"&amp;MID(E116,5,4))</f>
        <v/>
      </c>
      <c r="E116" s="29" t="n"/>
      <c r="F116" s="31" t="n"/>
      <c r="G116" s="29" t="n"/>
      <c r="H116" s="28" t="n"/>
      <c r="I116" s="29" t="n"/>
      <c r="J116" s="32" t="n"/>
      <c r="K116" s="28" t="n"/>
      <c r="L116" s="33">
        <f>IF(OR(J116="",K116=""),"",J116+7*K116-1)</f>
        <v/>
      </c>
      <c r="M116" s="33">
        <f>IF(J116="","",J116-7*$E$3)</f>
        <v/>
      </c>
      <c r="N116" s="33">
        <f>IF(J116="","",J116-7*$H$3)</f>
        <v/>
      </c>
      <c r="O116" s="33">
        <f>IF(J116="","",J116-1*$K$3)</f>
        <v/>
      </c>
      <c r="P116" s="30">
        <f>IF(OR(E116="",I116="",I116="—"),IF(E116="","","OK"),IFERROR(IF(INDEX($L$6:$L$155,MATCH(I116,$E$6:$E$155,0))&gt;=J116,"Conflicto con predecesor","OK"),"Predecesor no encontrado"))</f>
        <v/>
      </c>
      <c r="Q116" s="29" t="n"/>
      <c r="R116" s="31" t="n"/>
      <c r="S116" s="26">
        <f>IF(OR(J116="",L116=""),"",IF(AND(J116&lt;=EOMONTH(S$4,0),L116&gt;=S$4),1,""))</f>
        <v/>
      </c>
      <c r="T116" s="26">
        <f>IF(OR(J116="",L116=""),"",IF(AND(J116&lt;=EOMONTH(T$4,0),L116&gt;=T$4),1,""))</f>
        <v/>
      </c>
      <c r="U116" s="26">
        <f>IF(OR(J116="",L116=""),"",IF(AND(J116&lt;=EOMONTH(U$4,0),L116&gt;=U$4),1,""))</f>
        <v/>
      </c>
      <c r="V116" s="26">
        <f>IF(OR(J116="",L116=""),"",IF(AND(J116&lt;=EOMONTH(V$4,0),L116&gt;=V$4),1,""))</f>
        <v/>
      </c>
      <c r="W116" s="26">
        <f>IF(OR(J116="",L116=""),"",IF(AND(J116&lt;=EOMONTH(W$4,0),L116&gt;=W$4),1,""))</f>
        <v/>
      </c>
      <c r="X116" s="26">
        <f>IF(OR(J116="",L116=""),"",IF(AND(J116&lt;=EOMONTH(X$4,0),L116&gt;=X$4),1,""))</f>
        <v/>
      </c>
      <c r="Y116" s="26">
        <f>IF(OR(J116="",L116=""),"",IF(AND(J116&lt;=EOMONTH(Y$4,0),L116&gt;=Y$4),1,""))</f>
        <v/>
      </c>
      <c r="Z116" s="26">
        <f>IF(OR(J116="",L116=""),"",IF(AND(J116&lt;=EOMONTH(Z$4,0),L116&gt;=Z$4),1,""))</f>
        <v/>
      </c>
      <c r="AA116" s="26">
        <f>IF(OR(J116="",L116=""),"",IF(AND(J116&lt;=EOMONTH(AA$4,0),L116&gt;=AA$4),1,""))</f>
        <v/>
      </c>
      <c r="AB116" s="26">
        <f>IF(OR(J116="",L116=""),"",IF(AND(J116&lt;=EOMONTH(AB$4,0),L116&gt;=AB$4),1,""))</f>
        <v/>
      </c>
      <c r="AC116" s="26">
        <f>IF(OR(J116="",L116=""),"",IF(AND(J116&lt;=EOMONTH(AC$4,0),L116&gt;=AC$4),1,""))</f>
        <v/>
      </c>
      <c r="AD116" s="26">
        <f>IF(OR(J116="",L116=""),"",IF(AND(J116&lt;=EOMONTH(AD$4,0),L116&gt;=AD$4),1,""))</f>
        <v/>
      </c>
      <c r="AE116" s="26">
        <f>IF(OR(J116="",L116=""),"",IF(AND(J116&lt;=EOMONTH(AE$4,0),L116&gt;=AE$4),1,""))</f>
        <v/>
      </c>
      <c r="AF116" s="26">
        <f>IF(OR(J116="",L116=""),"",IF(AND(J116&lt;=EOMONTH(AF$4,0),L116&gt;=AF$4),1,""))</f>
        <v/>
      </c>
      <c r="AG116" s="26">
        <f>IF(OR(J116="",L116=""),"",IF(AND(J116&lt;=EOMONTH(AG$4,0),L116&gt;=AG$4),1,""))</f>
        <v/>
      </c>
      <c r="AH116" s="26">
        <f>IF(OR(J116="",L116=""),"",IF(AND(J116&lt;=EOMONTH(AH$4,0),L116&gt;=AH$4),1,""))</f>
        <v/>
      </c>
      <c r="AI116" s="26">
        <f>IF(OR(J116="",L116=""),"",IF(AND(J116&lt;=EOMONTH(AI$4,0),L116&gt;=AI$4),1,""))</f>
        <v/>
      </c>
      <c r="AJ116" s="26">
        <f>IF(OR(J116="",L116=""),"",IF(AND(J116&lt;=EOMONTH(AJ$4,0),L116&gt;=AJ$4),1,""))</f>
        <v/>
      </c>
      <c r="AK116" s="26">
        <f>IF(OR(J116="",L116=""),"",IF(AND(J116&lt;=EOMONTH(AK$4,0),L116&gt;=AK$4),1,""))</f>
        <v/>
      </c>
      <c r="AL116" s="26">
        <f>IF(OR(J116="",L116=""),"",IF(AND(J116&lt;=EOMONTH(AL$4,0),L116&gt;=AL$4),1,""))</f>
        <v/>
      </c>
      <c r="AM116" s="26">
        <f>IF(OR(J116="",L116=""),"",IF(AND(J116&lt;=EOMONTH(AM$4,0),L116&gt;=AM$4),1,""))</f>
        <v/>
      </c>
      <c r="AN116" s="26">
        <f>IF(OR(J116="",L116=""),"",IF(AND(J116&lt;=EOMONTH(AN$4,0),L116&gt;=AN$4),1,""))</f>
        <v/>
      </c>
      <c r="AO116" s="26">
        <f>IF(OR(J116="",L116=""),"",IF(AND(J116&lt;=EOMONTH(AO$4,0),L116&gt;=AO$4),1,""))</f>
        <v/>
      </c>
      <c r="AP116" s="26">
        <f>IF(OR(J116="",L116=""),"",IF(AND(J116&lt;=EOMONTH(AP$4,0),L116&gt;=AP$4),1,""))</f>
        <v/>
      </c>
      <c r="AQ116" s="26">
        <f>IF(OR(J116="",L116=""),"",IF(AND(J116&lt;=EOMONTH(AQ$4,0),L116&gt;=AQ$4),1,""))</f>
        <v/>
      </c>
      <c r="AR116" s="26">
        <f>IF(OR(J116="",L116=""),"",IF(AND(J116&lt;=EOMONTH(AR$4,0),L116&gt;=AR$4),1,""))</f>
        <v/>
      </c>
      <c r="AS116" s="26">
        <f>IF(OR(J116="",L116=""),"",IF(AND(J116&lt;=EOMONTH(AS$4,0),L116&gt;=AS$4),1,""))</f>
        <v/>
      </c>
      <c r="AT116" s="26">
        <f>IF(OR(J116="",L116=""),"",IF(AND(J116&lt;=EOMONTH(AT$4,0),L116&gt;=AT$4),1,""))</f>
        <v/>
      </c>
      <c r="AU116" s="26">
        <f>IF(OR(J116="",L116=""),"",IF(AND(J116&lt;=EOMONTH(AU$4,0),L116&gt;=AU$4),1,""))</f>
        <v/>
      </c>
      <c r="AV116" s="26">
        <f>IF(OR(J116="",L116=""),"",IF(AND(J116&lt;=EOMONTH(AV$4,0),L116&gt;=AV$4),1,""))</f>
        <v/>
      </c>
      <c r="AW116" s="26">
        <f>IF(OR(J116="",L116=""),"",IF(AND(J116&lt;=EOMONTH(AW$4,0),L116&gt;=AW$4),1,""))</f>
        <v/>
      </c>
      <c r="AX116" s="26">
        <f>IF(OR(J116="",L116=""),"",IF(AND(J116&lt;=EOMONTH(AX$4,0),L116&gt;=AX$4),1,""))</f>
        <v/>
      </c>
      <c r="AY116" s="26">
        <f>IF(OR(J116="",L116=""),"",IF(AND(J116&lt;=EOMONTH(AY$4,0),L116&gt;=AY$4),1,""))</f>
        <v/>
      </c>
      <c r="AZ116" s="26">
        <f>IF(OR(J116="",L116=""),"",IF(AND(J116&lt;=EOMONTH(AZ$4,0),L116&gt;=AZ$4),1,""))</f>
        <v/>
      </c>
      <c r="BA116" s="26">
        <f>IF(OR(J116="",L116=""),"",IF(AND(J116&lt;=EOMONTH(BA$4,0),L116&gt;=BA$4),1,""))</f>
        <v/>
      </c>
      <c r="BB116" s="26">
        <f>IF(OR(J116="",L116=""),"",IF(AND(J116&lt;=EOMONTH(BB$4,0),L116&gt;=BB$4),1,""))</f>
        <v/>
      </c>
    </row>
    <row r="117">
      <c r="A117" s="27" t="n"/>
      <c r="B117" s="28" t="n"/>
      <c r="C117" s="29" t="n"/>
      <c r="D117" s="30">
        <f>IF(E117="","","CWA-"&amp;MID(E117,5,4))</f>
        <v/>
      </c>
      <c r="E117" s="29" t="n"/>
      <c r="F117" s="31" t="n"/>
      <c r="G117" s="29" t="n"/>
      <c r="H117" s="28" t="n"/>
      <c r="I117" s="29" t="n"/>
      <c r="J117" s="32" t="n"/>
      <c r="K117" s="28" t="n"/>
      <c r="L117" s="33">
        <f>IF(OR(J117="",K117=""),"",J117+7*K117-1)</f>
        <v/>
      </c>
      <c r="M117" s="33">
        <f>IF(J117="","",J117-7*$E$3)</f>
        <v/>
      </c>
      <c r="N117" s="33">
        <f>IF(J117="","",J117-7*$H$3)</f>
        <v/>
      </c>
      <c r="O117" s="33">
        <f>IF(J117="","",J117-1*$K$3)</f>
        <v/>
      </c>
      <c r="P117" s="30">
        <f>IF(OR(E117="",I117="",I117="—"),IF(E117="","","OK"),IFERROR(IF(INDEX($L$6:$L$155,MATCH(I117,$E$6:$E$155,0))&gt;=J117,"Conflicto con predecesor","OK"),"Predecesor no encontrado"))</f>
        <v/>
      </c>
      <c r="Q117" s="29" t="n"/>
      <c r="R117" s="31" t="n"/>
      <c r="S117" s="26">
        <f>IF(OR(J117="",L117=""),"",IF(AND(J117&lt;=EOMONTH(S$4,0),L117&gt;=S$4),1,""))</f>
        <v/>
      </c>
      <c r="T117" s="26">
        <f>IF(OR(J117="",L117=""),"",IF(AND(J117&lt;=EOMONTH(T$4,0),L117&gt;=T$4),1,""))</f>
        <v/>
      </c>
      <c r="U117" s="26">
        <f>IF(OR(J117="",L117=""),"",IF(AND(J117&lt;=EOMONTH(U$4,0),L117&gt;=U$4),1,""))</f>
        <v/>
      </c>
      <c r="V117" s="26">
        <f>IF(OR(J117="",L117=""),"",IF(AND(J117&lt;=EOMONTH(V$4,0),L117&gt;=V$4),1,""))</f>
        <v/>
      </c>
      <c r="W117" s="26">
        <f>IF(OR(J117="",L117=""),"",IF(AND(J117&lt;=EOMONTH(W$4,0),L117&gt;=W$4),1,""))</f>
        <v/>
      </c>
      <c r="X117" s="26">
        <f>IF(OR(J117="",L117=""),"",IF(AND(J117&lt;=EOMONTH(X$4,0),L117&gt;=X$4),1,""))</f>
        <v/>
      </c>
      <c r="Y117" s="26">
        <f>IF(OR(J117="",L117=""),"",IF(AND(J117&lt;=EOMONTH(Y$4,0),L117&gt;=Y$4),1,""))</f>
        <v/>
      </c>
      <c r="Z117" s="26">
        <f>IF(OR(J117="",L117=""),"",IF(AND(J117&lt;=EOMONTH(Z$4,0),L117&gt;=Z$4),1,""))</f>
        <v/>
      </c>
      <c r="AA117" s="26">
        <f>IF(OR(J117="",L117=""),"",IF(AND(J117&lt;=EOMONTH(AA$4,0),L117&gt;=AA$4),1,""))</f>
        <v/>
      </c>
      <c r="AB117" s="26">
        <f>IF(OR(J117="",L117=""),"",IF(AND(J117&lt;=EOMONTH(AB$4,0),L117&gt;=AB$4),1,""))</f>
        <v/>
      </c>
      <c r="AC117" s="26">
        <f>IF(OR(J117="",L117=""),"",IF(AND(J117&lt;=EOMONTH(AC$4,0),L117&gt;=AC$4),1,""))</f>
        <v/>
      </c>
      <c r="AD117" s="26">
        <f>IF(OR(J117="",L117=""),"",IF(AND(J117&lt;=EOMONTH(AD$4,0),L117&gt;=AD$4),1,""))</f>
        <v/>
      </c>
      <c r="AE117" s="26">
        <f>IF(OR(J117="",L117=""),"",IF(AND(J117&lt;=EOMONTH(AE$4,0),L117&gt;=AE$4),1,""))</f>
        <v/>
      </c>
      <c r="AF117" s="26">
        <f>IF(OR(J117="",L117=""),"",IF(AND(J117&lt;=EOMONTH(AF$4,0),L117&gt;=AF$4),1,""))</f>
        <v/>
      </c>
      <c r="AG117" s="26">
        <f>IF(OR(J117="",L117=""),"",IF(AND(J117&lt;=EOMONTH(AG$4,0),L117&gt;=AG$4),1,""))</f>
        <v/>
      </c>
      <c r="AH117" s="26">
        <f>IF(OR(J117="",L117=""),"",IF(AND(J117&lt;=EOMONTH(AH$4,0),L117&gt;=AH$4),1,""))</f>
        <v/>
      </c>
      <c r="AI117" s="26">
        <f>IF(OR(J117="",L117=""),"",IF(AND(J117&lt;=EOMONTH(AI$4,0),L117&gt;=AI$4),1,""))</f>
        <v/>
      </c>
      <c r="AJ117" s="26">
        <f>IF(OR(J117="",L117=""),"",IF(AND(J117&lt;=EOMONTH(AJ$4,0),L117&gt;=AJ$4),1,""))</f>
        <v/>
      </c>
      <c r="AK117" s="26">
        <f>IF(OR(J117="",L117=""),"",IF(AND(J117&lt;=EOMONTH(AK$4,0),L117&gt;=AK$4),1,""))</f>
        <v/>
      </c>
      <c r="AL117" s="26">
        <f>IF(OR(J117="",L117=""),"",IF(AND(J117&lt;=EOMONTH(AL$4,0),L117&gt;=AL$4),1,""))</f>
        <v/>
      </c>
      <c r="AM117" s="26">
        <f>IF(OR(J117="",L117=""),"",IF(AND(J117&lt;=EOMONTH(AM$4,0),L117&gt;=AM$4),1,""))</f>
        <v/>
      </c>
      <c r="AN117" s="26">
        <f>IF(OR(J117="",L117=""),"",IF(AND(J117&lt;=EOMONTH(AN$4,0),L117&gt;=AN$4),1,""))</f>
        <v/>
      </c>
      <c r="AO117" s="26">
        <f>IF(OR(J117="",L117=""),"",IF(AND(J117&lt;=EOMONTH(AO$4,0),L117&gt;=AO$4),1,""))</f>
        <v/>
      </c>
      <c r="AP117" s="26">
        <f>IF(OR(J117="",L117=""),"",IF(AND(J117&lt;=EOMONTH(AP$4,0),L117&gt;=AP$4),1,""))</f>
        <v/>
      </c>
      <c r="AQ117" s="26">
        <f>IF(OR(J117="",L117=""),"",IF(AND(J117&lt;=EOMONTH(AQ$4,0),L117&gt;=AQ$4),1,""))</f>
        <v/>
      </c>
      <c r="AR117" s="26">
        <f>IF(OR(J117="",L117=""),"",IF(AND(J117&lt;=EOMONTH(AR$4,0),L117&gt;=AR$4),1,""))</f>
        <v/>
      </c>
      <c r="AS117" s="26">
        <f>IF(OR(J117="",L117=""),"",IF(AND(J117&lt;=EOMONTH(AS$4,0),L117&gt;=AS$4),1,""))</f>
        <v/>
      </c>
      <c r="AT117" s="26">
        <f>IF(OR(J117="",L117=""),"",IF(AND(J117&lt;=EOMONTH(AT$4,0),L117&gt;=AT$4),1,""))</f>
        <v/>
      </c>
      <c r="AU117" s="26">
        <f>IF(OR(J117="",L117=""),"",IF(AND(J117&lt;=EOMONTH(AU$4,0),L117&gt;=AU$4),1,""))</f>
        <v/>
      </c>
      <c r="AV117" s="26">
        <f>IF(OR(J117="",L117=""),"",IF(AND(J117&lt;=EOMONTH(AV$4,0),L117&gt;=AV$4),1,""))</f>
        <v/>
      </c>
      <c r="AW117" s="26">
        <f>IF(OR(J117="",L117=""),"",IF(AND(J117&lt;=EOMONTH(AW$4,0),L117&gt;=AW$4),1,""))</f>
        <v/>
      </c>
      <c r="AX117" s="26">
        <f>IF(OR(J117="",L117=""),"",IF(AND(J117&lt;=EOMONTH(AX$4,0),L117&gt;=AX$4),1,""))</f>
        <v/>
      </c>
      <c r="AY117" s="26">
        <f>IF(OR(J117="",L117=""),"",IF(AND(J117&lt;=EOMONTH(AY$4,0),L117&gt;=AY$4),1,""))</f>
        <v/>
      </c>
      <c r="AZ117" s="26">
        <f>IF(OR(J117="",L117=""),"",IF(AND(J117&lt;=EOMONTH(AZ$4,0),L117&gt;=AZ$4),1,""))</f>
        <v/>
      </c>
      <c r="BA117" s="26">
        <f>IF(OR(J117="",L117=""),"",IF(AND(J117&lt;=EOMONTH(BA$4,0),L117&gt;=BA$4),1,""))</f>
        <v/>
      </c>
      <c r="BB117" s="26">
        <f>IF(OR(J117="",L117=""),"",IF(AND(J117&lt;=EOMONTH(BB$4,0),L117&gt;=BB$4),1,""))</f>
        <v/>
      </c>
    </row>
    <row r="118">
      <c r="A118" s="27" t="n"/>
      <c r="B118" s="28" t="n"/>
      <c r="C118" s="29" t="n"/>
      <c r="D118" s="30">
        <f>IF(E118="","","CWA-"&amp;MID(E118,5,4))</f>
        <v/>
      </c>
      <c r="E118" s="29" t="n"/>
      <c r="F118" s="31" t="n"/>
      <c r="G118" s="29" t="n"/>
      <c r="H118" s="28" t="n"/>
      <c r="I118" s="29" t="n"/>
      <c r="J118" s="32" t="n"/>
      <c r="K118" s="28" t="n"/>
      <c r="L118" s="33">
        <f>IF(OR(J118="",K118=""),"",J118+7*K118-1)</f>
        <v/>
      </c>
      <c r="M118" s="33">
        <f>IF(J118="","",J118-7*$E$3)</f>
        <v/>
      </c>
      <c r="N118" s="33">
        <f>IF(J118="","",J118-7*$H$3)</f>
        <v/>
      </c>
      <c r="O118" s="33">
        <f>IF(J118="","",J118-1*$K$3)</f>
        <v/>
      </c>
      <c r="P118" s="30">
        <f>IF(OR(E118="",I118="",I118="—"),IF(E118="","","OK"),IFERROR(IF(INDEX($L$6:$L$155,MATCH(I118,$E$6:$E$155,0))&gt;=J118,"Conflicto con predecesor","OK"),"Predecesor no encontrado"))</f>
        <v/>
      </c>
      <c r="Q118" s="29" t="n"/>
      <c r="R118" s="31" t="n"/>
      <c r="S118" s="26">
        <f>IF(OR(J118="",L118=""),"",IF(AND(J118&lt;=EOMONTH(S$4,0),L118&gt;=S$4),1,""))</f>
        <v/>
      </c>
      <c r="T118" s="26">
        <f>IF(OR(J118="",L118=""),"",IF(AND(J118&lt;=EOMONTH(T$4,0),L118&gt;=T$4),1,""))</f>
        <v/>
      </c>
      <c r="U118" s="26">
        <f>IF(OR(J118="",L118=""),"",IF(AND(J118&lt;=EOMONTH(U$4,0),L118&gt;=U$4),1,""))</f>
        <v/>
      </c>
      <c r="V118" s="26">
        <f>IF(OR(J118="",L118=""),"",IF(AND(J118&lt;=EOMONTH(V$4,0),L118&gt;=V$4),1,""))</f>
        <v/>
      </c>
      <c r="W118" s="26">
        <f>IF(OR(J118="",L118=""),"",IF(AND(J118&lt;=EOMONTH(W$4,0),L118&gt;=W$4),1,""))</f>
        <v/>
      </c>
      <c r="X118" s="26">
        <f>IF(OR(J118="",L118=""),"",IF(AND(J118&lt;=EOMONTH(X$4,0),L118&gt;=X$4),1,""))</f>
        <v/>
      </c>
      <c r="Y118" s="26">
        <f>IF(OR(J118="",L118=""),"",IF(AND(J118&lt;=EOMONTH(Y$4,0),L118&gt;=Y$4),1,""))</f>
        <v/>
      </c>
      <c r="Z118" s="26">
        <f>IF(OR(J118="",L118=""),"",IF(AND(J118&lt;=EOMONTH(Z$4,0),L118&gt;=Z$4),1,""))</f>
        <v/>
      </c>
      <c r="AA118" s="26">
        <f>IF(OR(J118="",L118=""),"",IF(AND(J118&lt;=EOMONTH(AA$4,0),L118&gt;=AA$4),1,""))</f>
        <v/>
      </c>
      <c r="AB118" s="26">
        <f>IF(OR(J118="",L118=""),"",IF(AND(J118&lt;=EOMONTH(AB$4,0),L118&gt;=AB$4),1,""))</f>
        <v/>
      </c>
      <c r="AC118" s="26">
        <f>IF(OR(J118="",L118=""),"",IF(AND(J118&lt;=EOMONTH(AC$4,0),L118&gt;=AC$4),1,""))</f>
        <v/>
      </c>
      <c r="AD118" s="26">
        <f>IF(OR(J118="",L118=""),"",IF(AND(J118&lt;=EOMONTH(AD$4,0),L118&gt;=AD$4),1,""))</f>
        <v/>
      </c>
      <c r="AE118" s="26">
        <f>IF(OR(J118="",L118=""),"",IF(AND(J118&lt;=EOMONTH(AE$4,0),L118&gt;=AE$4),1,""))</f>
        <v/>
      </c>
      <c r="AF118" s="26">
        <f>IF(OR(J118="",L118=""),"",IF(AND(J118&lt;=EOMONTH(AF$4,0),L118&gt;=AF$4),1,""))</f>
        <v/>
      </c>
      <c r="AG118" s="26">
        <f>IF(OR(J118="",L118=""),"",IF(AND(J118&lt;=EOMONTH(AG$4,0),L118&gt;=AG$4),1,""))</f>
        <v/>
      </c>
      <c r="AH118" s="26">
        <f>IF(OR(J118="",L118=""),"",IF(AND(J118&lt;=EOMONTH(AH$4,0),L118&gt;=AH$4),1,""))</f>
        <v/>
      </c>
      <c r="AI118" s="26">
        <f>IF(OR(J118="",L118=""),"",IF(AND(J118&lt;=EOMONTH(AI$4,0),L118&gt;=AI$4),1,""))</f>
        <v/>
      </c>
      <c r="AJ118" s="26">
        <f>IF(OR(J118="",L118=""),"",IF(AND(J118&lt;=EOMONTH(AJ$4,0),L118&gt;=AJ$4),1,""))</f>
        <v/>
      </c>
      <c r="AK118" s="26">
        <f>IF(OR(J118="",L118=""),"",IF(AND(J118&lt;=EOMONTH(AK$4,0),L118&gt;=AK$4),1,""))</f>
        <v/>
      </c>
      <c r="AL118" s="26">
        <f>IF(OR(J118="",L118=""),"",IF(AND(J118&lt;=EOMONTH(AL$4,0),L118&gt;=AL$4),1,""))</f>
        <v/>
      </c>
      <c r="AM118" s="26">
        <f>IF(OR(J118="",L118=""),"",IF(AND(J118&lt;=EOMONTH(AM$4,0),L118&gt;=AM$4),1,""))</f>
        <v/>
      </c>
      <c r="AN118" s="26">
        <f>IF(OR(J118="",L118=""),"",IF(AND(J118&lt;=EOMONTH(AN$4,0),L118&gt;=AN$4),1,""))</f>
        <v/>
      </c>
      <c r="AO118" s="26">
        <f>IF(OR(J118="",L118=""),"",IF(AND(J118&lt;=EOMONTH(AO$4,0),L118&gt;=AO$4),1,""))</f>
        <v/>
      </c>
      <c r="AP118" s="26">
        <f>IF(OR(J118="",L118=""),"",IF(AND(J118&lt;=EOMONTH(AP$4,0),L118&gt;=AP$4),1,""))</f>
        <v/>
      </c>
      <c r="AQ118" s="26">
        <f>IF(OR(J118="",L118=""),"",IF(AND(J118&lt;=EOMONTH(AQ$4,0),L118&gt;=AQ$4),1,""))</f>
        <v/>
      </c>
      <c r="AR118" s="26">
        <f>IF(OR(J118="",L118=""),"",IF(AND(J118&lt;=EOMONTH(AR$4,0),L118&gt;=AR$4),1,""))</f>
        <v/>
      </c>
      <c r="AS118" s="26">
        <f>IF(OR(J118="",L118=""),"",IF(AND(J118&lt;=EOMONTH(AS$4,0),L118&gt;=AS$4),1,""))</f>
        <v/>
      </c>
      <c r="AT118" s="26">
        <f>IF(OR(J118="",L118=""),"",IF(AND(J118&lt;=EOMONTH(AT$4,0),L118&gt;=AT$4),1,""))</f>
        <v/>
      </c>
      <c r="AU118" s="26">
        <f>IF(OR(J118="",L118=""),"",IF(AND(J118&lt;=EOMONTH(AU$4,0),L118&gt;=AU$4),1,""))</f>
        <v/>
      </c>
      <c r="AV118" s="26">
        <f>IF(OR(J118="",L118=""),"",IF(AND(J118&lt;=EOMONTH(AV$4,0),L118&gt;=AV$4),1,""))</f>
        <v/>
      </c>
      <c r="AW118" s="26">
        <f>IF(OR(J118="",L118=""),"",IF(AND(J118&lt;=EOMONTH(AW$4,0),L118&gt;=AW$4),1,""))</f>
        <v/>
      </c>
      <c r="AX118" s="26">
        <f>IF(OR(J118="",L118=""),"",IF(AND(J118&lt;=EOMONTH(AX$4,0),L118&gt;=AX$4),1,""))</f>
        <v/>
      </c>
      <c r="AY118" s="26">
        <f>IF(OR(J118="",L118=""),"",IF(AND(J118&lt;=EOMONTH(AY$4,0),L118&gt;=AY$4),1,""))</f>
        <v/>
      </c>
      <c r="AZ118" s="26">
        <f>IF(OR(J118="",L118=""),"",IF(AND(J118&lt;=EOMONTH(AZ$4,0),L118&gt;=AZ$4),1,""))</f>
        <v/>
      </c>
      <c r="BA118" s="26">
        <f>IF(OR(J118="",L118=""),"",IF(AND(J118&lt;=EOMONTH(BA$4,0),L118&gt;=BA$4),1,""))</f>
        <v/>
      </c>
      <c r="BB118" s="26">
        <f>IF(OR(J118="",L118=""),"",IF(AND(J118&lt;=EOMONTH(BB$4,0),L118&gt;=BB$4),1,""))</f>
        <v/>
      </c>
    </row>
    <row r="119">
      <c r="A119" s="27" t="n"/>
      <c r="B119" s="28" t="n"/>
      <c r="C119" s="29" t="n"/>
      <c r="D119" s="30">
        <f>IF(E119="","","CWA-"&amp;MID(E119,5,4))</f>
        <v/>
      </c>
      <c r="E119" s="29" t="n"/>
      <c r="F119" s="31" t="n"/>
      <c r="G119" s="29" t="n"/>
      <c r="H119" s="28" t="n"/>
      <c r="I119" s="29" t="n"/>
      <c r="J119" s="32" t="n"/>
      <c r="K119" s="28" t="n"/>
      <c r="L119" s="33">
        <f>IF(OR(J119="",K119=""),"",J119+7*K119-1)</f>
        <v/>
      </c>
      <c r="M119" s="33">
        <f>IF(J119="","",J119-7*$E$3)</f>
        <v/>
      </c>
      <c r="N119" s="33">
        <f>IF(J119="","",J119-7*$H$3)</f>
        <v/>
      </c>
      <c r="O119" s="33">
        <f>IF(J119="","",J119-1*$K$3)</f>
        <v/>
      </c>
      <c r="P119" s="30">
        <f>IF(OR(E119="",I119="",I119="—"),IF(E119="","","OK"),IFERROR(IF(INDEX($L$6:$L$155,MATCH(I119,$E$6:$E$155,0))&gt;=J119,"Conflicto con predecesor","OK"),"Predecesor no encontrado"))</f>
        <v/>
      </c>
      <c r="Q119" s="29" t="n"/>
      <c r="R119" s="31" t="n"/>
      <c r="S119" s="26">
        <f>IF(OR(J119="",L119=""),"",IF(AND(J119&lt;=EOMONTH(S$4,0),L119&gt;=S$4),1,""))</f>
        <v/>
      </c>
      <c r="T119" s="26">
        <f>IF(OR(J119="",L119=""),"",IF(AND(J119&lt;=EOMONTH(T$4,0),L119&gt;=T$4),1,""))</f>
        <v/>
      </c>
      <c r="U119" s="26">
        <f>IF(OR(J119="",L119=""),"",IF(AND(J119&lt;=EOMONTH(U$4,0),L119&gt;=U$4),1,""))</f>
        <v/>
      </c>
      <c r="V119" s="26">
        <f>IF(OR(J119="",L119=""),"",IF(AND(J119&lt;=EOMONTH(V$4,0),L119&gt;=V$4),1,""))</f>
        <v/>
      </c>
      <c r="W119" s="26">
        <f>IF(OR(J119="",L119=""),"",IF(AND(J119&lt;=EOMONTH(W$4,0),L119&gt;=W$4),1,""))</f>
        <v/>
      </c>
      <c r="X119" s="26">
        <f>IF(OR(J119="",L119=""),"",IF(AND(J119&lt;=EOMONTH(X$4,0),L119&gt;=X$4),1,""))</f>
        <v/>
      </c>
      <c r="Y119" s="26">
        <f>IF(OR(J119="",L119=""),"",IF(AND(J119&lt;=EOMONTH(Y$4,0),L119&gt;=Y$4),1,""))</f>
        <v/>
      </c>
      <c r="Z119" s="26">
        <f>IF(OR(J119="",L119=""),"",IF(AND(J119&lt;=EOMONTH(Z$4,0),L119&gt;=Z$4),1,""))</f>
        <v/>
      </c>
      <c r="AA119" s="26">
        <f>IF(OR(J119="",L119=""),"",IF(AND(J119&lt;=EOMONTH(AA$4,0),L119&gt;=AA$4),1,""))</f>
        <v/>
      </c>
      <c r="AB119" s="26">
        <f>IF(OR(J119="",L119=""),"",IF(AND(J119&lt;=EOMONTH(AB$4,0),L119&gt;=AB$4),1,""))</f>
        <v/>
      </c>
      <c r="AC119" s="26">
        <f>IF(OR(J119="",L119=""),"",IF(AND(J119&lt;=EOMONTH(AC$4,0),L119&gt;=AC$4),1,""))</f>
        <v/>
      </c>
      <c r="AD119" s="26">
        <f>IF(OR(J119="",L119=""),"",IF(AND(J119&lt;=EOMONTH(AD$4,0),L119&gt;=AD$4),1,""))</f>
        <v/>
      </c>
      <c r="AE119" s="26">
        <f>IF(OR(J119="",L119=""),"",IF(AND(J119&lt;=EOMONTH(AE$4,0),L119&gt;=AE$4),1,""))</f>
        <v/>
      </c>
      <c r="AF119" s="26">
        <f>IF(OR(J119="",L119=""),"",IF(AND(J119&lt;=EOMONTH(AF$4,0),L119&gt;=AF$4),1,""))</f>
        <v/>
      </c>
      <c r="AG119" s="26">
        <f>IF(OR(J119="",L119=""),"",IF(AND(J119&lt;=EOMONTH(AG$4,0),L119&gt;=AG$4),1,""))</f>
        <v/>
      </c>
      <c r="AH119" s="26">
        <f>IF(OR(J119="",L119=""),"",IF(AND(J119&lt;=EOMONTH(AH$4,0),L119&gt;=AH$4),1,""))</f>
        <v/>
      </c>
      <c r="AI119" s="26">
        <f>IF(OR(J119="",L119=""),"",IF(AND(J119&lt;=EOMONTH(AI$4,0),L119&gt;=AI$4),1,""))</f>
        <v/>
      </c>
      <c r="AJ119" s="26">
        <f>IF(OR(J119="",L119=""),"",IF(AND(J119&lt;=EOMONTH(AJ$4,0),L119&gt;=AJ$4),1,""))</f>
        <v/>
      </c>
      <c r="AK119" s="26">
        <f>IF(OR(J119="",L119=""),"",IF(AND(J119&lt;=EOMONTH(AK$4,0),L119&gt;=AK$4),1,""))</f>
        <v/>
      </c>
      <c r="AL119" s="26">
        <f>IF(OR(J119="",L119=""),"",IF(AND(J119&lt;=EOMONTH(AL$4,0),L119&gt;=AL$4),1,""))</f>
        <v/>
      </c>
      <c r="AM119" s="26">
        <f>IF(OR(J119="",L119=""),"",IF(AND(J119&lt;=EOMONTH(AM$4,0),L119&gt;=AM$4),1,""))</f>
        <v/>
      </c>
      <c r="AN119" s="26">
        <f>IF(OR(J119="",L119=""),"",IF(AND(J119&lt;=EOMONTH(AN$4,0),L119&gt;=AN$4),1,""))</f>
        <v/>
      </c>
      <c r="AO119" s="26">
        <f>IF(OR(J119="",L119=""),"",IF(AND(J119&lt;=EOMONTH(AO$4,0),L119&gt;=AO$4),1,""))</f>
        <v/>
      </c>
      <c r="AP119" s="26">
        <f>IF(OR(J119="",L119=""),"",IF(AND(J119&lt;=EOMONTH(AP$4,0),L119&gt;=AP$4),1,""))</f>
        <v/>
      </c>
      <c r="AQ119" s="26">
        <f>IF(OR(J119="",L119=""),"",IF(AND(J119&lt;=EOMONTH(AQ$4,0),L119&gt;=AQ$4),1,""))</f>
        <v/>
      </c>
      <c r="AR119" s="26">
        <f>IF(OR(J119="",L119=""),"",IF(AND(J119&lt;=EOMONTH(AR$4,0),L119&gt;=AR$4),1,""))</f>
        <v/>
      </c>
      <c r="AS119" s="26">
        <f>IF(OR(J119="",L119=""),"",IF(AND(J119&lt;=EOMONTH(AS$4,0),L119&gt;=AS$4),1,""))</f>
        <v/>
      </c>
      <c r="AT119" s="26">
        <f>IF(OR(J119="",L119=""),"",IF(AND(J119&lt;=EOMONTH(AT$4,0),L119&gt;=AT$4),1,""))</f>
        <v/>
      </c>
      <c r="AU119" s="26">
        <f>IF(OR(J119="",L119=""),"",IF(AND(J119&lt;=EOMONTH(AU$4,0),L119&gt;=AU$4),1,""))</f>
        <v/>
      </c>
      <c r="AV119" s="26">
        <f>IF(OR(J119="",L119=""),"",IF(AND(J119&lt;=EOMONTH(AV$4,0),L119&gt;=AV$4),1,""))</f>
        <v/>
      </c>
      <c r="AW119" s="26">
        <f>IF(OR(J119="",L119=""),"",IF(AND(J119&lt;=EOMONTH(AW$4,0),L119&gt;=AW$4),1,""))</f>
        <v/>
      </c>
      <c r="AX119" s="26">
        <f>IF(OR(J119="",L119=""),"",IF(AND(J119&lt;=EOMONTH(AX$4,0),L119&gt;=AX$4),1,""))</f>
        <v/>
      </c>
      <c r="AY119" s="26">
        <f>IF(OR(J119="",L119=""),"",IF(AND(J119&lt;=EOMONTH(AY$4,0),L119&gt;=AY$4),1,""))</f>
        <v/>
      </c>
      <c r="AZ119" s="26">
        <f>IF(OR(J119="",L119=""),"",IF(AND(J119&lt;=EOMONTH(AZ$4,0),L119&gt;=AZ$4),1,""))</f>
        <v/>
      </c>
      <c r="BA119" s="26">
        <f>IF(OR(J119="",L119=""),"",IF(AND(J119&lt;=EOMONTH(BA$4,0),L119&gt;=BA$4),1,""))</f>
        <v/>
      </c>
      <c r="BB119" s="26">
        <f>IF(OR(J119="",L119=""),"",IF(AND(J119&lt;=EOMONTH(BB$4,0),L119&gt;=BB$4),1,""))</f>
        <v/>
      </c>
    </row>
    <row r="120">
      <c r="A120" s="27" t="n"/>
      <c r="B120" s="28" t="n"/>
      <c r="C120" s="29" t="n"/>
      <c r="D120" s="30">
        <f>IF(E120="","","CWA-"&amp;MID(E120,5,4))</f>
        <v/>
      </c>
      <c r="E120" s="29" t="n"/>
      <c r="F120" s="31" t="n"/>
      <c r="G120" s="29" t="n"/>
      <c r="H120" s="28" t="n"/>
      <c r="I120" s="29" t="n"/>
      <c r="J120" s="32" t="n"/>
      <c r="K120" s="28" t="n"/>
      <c r="L120" s="33">
        <f>IF(OR(J120="",K120=""),"",J120+7*K120-1)</f>
        <v/>
      </c>
      <c r="M120" s="33">
        <f>IF(J120="","",J120-7*$E$3)</f>
        <v/>
      </c>
      <c r="N120" s="33">
        <f>IF(J120="","",J120-7*$H$3)</f>
        <v/>
      </c>
      <c r="O120" s="33">
        <f>IF(J120="","",J120-1*$K$3)</f>
        <v/>
      </c>
      <c r="P120" s="30">
        <f>IF(OR(E120="",I120="",I120="—"),IF(E120="","","OK"),IFERROR(IF(INDEX($L$6:$L$155,MATCH(I120,$E$6:$E$155,0))&gt;=J120,"Conflicto con predecesor","OK"),"Predecesor no encontrado"))</f>
        <v/>
      </c>
      <c r="Q120" s="29" t="n"/>
      <c r="R120" s="31" t="n"/>
      <c r="S120" s="26">
        <f>IF(OR(J120="",L120=""),"",IF(AND(J120&lt;=EOMONTH(S$4,0),L120&gt;=S$4),1,""))</f>
        <v/>
      </c>
      <c r="T120" s="26">
        <f>IF(OR(J120="",L120=""),"",IF(AND(J120&lt;=EOMONTH(T$4,0),L120&gt;=T$4),1,""))</f>
        <v/>
      </c>
      <c r="U120" s="26">
        <f>IF(OR(J120="",L120=""),"",IF(AND(J120&lt;=EOMONTH(U$4,0),L120&gt;=U$4),1,""))</f>
        <v/>
      </c>
      <c r="V120" s="26">
        <f>IF(OR(J120="",L120=""),"",IF(AND(J120&lt;=EOMONTH(V$4,0),L120&gt;=V$4),1,""))</f>
        <v/>
      </c>
      <c r="W120" s="26">
        <f>IF(OR(J120="",L120=""),"",IF(AND(J120&lt;=EOMONTH(W$4,0),L120&gt;=W$4),1,""))</f>
        <v/>
      </c>
      <c r="X120" s="26">
        <f>IF(OR(J120="",L120=""),"",IF(AND(J120&lt;=EOMONTH(X$4,0),L120&gt;=X$4),1,""))</f>
        <v/>
      </c>
      <c r="Y120" s="26">
        <f>IF(OR(J120="",L120=""),"",IF(AND(J120&lt;=EOMONTH(Y$4,0),L120&gt;=Y$4),1,""))</f>
        <v/>
      </c>
      <c r="Z120" s="26">
        <f>IF(OR(J120="",L120=""),"",IF(AND(J120&lt;=EOMONTH(Z$4,0),L120&gt;=Z$4),1,""))</f>
        <v/>
      </c>
      <c r="AA120" s="26">
        <f>IF(OR(J120="",L120=""),"",IF(AND(J120&lt;=EOMONTH(AA$4,0),L120&gt;=AA$4),1,""))</f>
        <v/>
      </c>
      <c r="AB120" s="26">
        <f>IF(OR(J120="",L120=""),"",IF(AND(J120&lt;=EOMONTH(AB$4,0),L120&gt;=AB$4),1,""))</f>
        <v/>
      </c>
      <c r="AC120" s="26">
        <f>IF(OR(J120="",L120=""),"",IF(AND(J120&lt;=EOMONTH(AC$4,0),L120&gt;=AC$4),1,""))</f>
        <v/>
      </c>
      <c r="AD120" s="26">
        <f>IF(OR(J120="",L120=""),"",IF(AND(J120&lt;=EOMONTH(AD$4,0),L120&gt;=AD$4),1,""))</f>
        <v/>
      </c>
      <c r="AE120" s="26">
        <f>IF(OR(J120="",L120=""),"",IF(AND(J120&lt;=EOMONTH(AE$4,0),L120&gt;=AE$4),1,""))</f>
        <v/>
      </c>
      <c r="AF120" s="26">
        <f>IF(OR(J120="",L120=""),"",IF(AND(J120&lt;=EOMONTH(AF$4,0),L120&gt;=AF$4),1,""))</f>
        <v/>
      </c>
      <c r="AG120" s="26">
        <f>IF(OR(J120="",L120=""),"",IF(AND(J120&lt;=EOMONTH(AG$4,0),L120&gt;=AG$4),1,""))</f>
        <v/>
      </c>
      <c r="AH120" s="26">
        <f>IF(OR(J120="",L120=""),"",IF(AND(J120&lt;=EOMONTH(AH$4,0),L120&gt;=AH$4),1,""))</f>
        <v/>
      </c>
      <c r="AI120" s="26">
        <f>IF(OR(J120="",L120=""),"",IF(AND(J120&lt;=EOMONTH(AI$4,0),L120&gt;=AI$4),1,""))</f>
        <v/>
      </c>
      <c r="AJ120" s="26">
        <f>IF(OR(J120="",L120=""),"",IF(AND(J120&lt;=EOMONTH(AJ$4,0),L120&gt;=AJ$4),1,""))</f>
        <v/>
      </c>
      <c r="AK120" s="26">
        <f>IF(OR(J120="",L120=""),"",IF(AND(J120&lt;=EOMONTH(AK$4,0),L120&gt;=AK$4),1,""))</f>
        <v/>
      </c>
      <c r="AL120" s="26">
        <f>IF(OR(J120="",L120=""),"",IF(AND(J120&lt;=EOMONTH(AL$4,0),L120&gt;=AL$4),1,""))</f>
        <v/>
      </c>
      <c r="AM120" s="26">
        <f>IF(OR(J120="",L120=""),"",IF(AND(J120&lt;=EOMONTH(AM$4,0),L120&gt;=AM$4),1,""))</f>
        <v/>
      </c>
      <c r="AN120" s="26">
        <f>IF(OR(J120="",L120=""),"",IF(AND(J120&lt;=EOMONTH(AN$4,0),L120&gt;=AN$4),1,""))</f>
        <v/>
      </c>
      <c r="AO120" s="26">
        <f>IF(OR(J120="",L120=""),"",IF(AND(J120&lt;=EOMONTH(AO$4,0),L120&gt;=AO$4),1,""))</f>
        <v/>
      </c>
      <c r="AP120" s="26">
        <f>IF(OR(J120="",L120=""),"",IF(AND(J120&lt;=EOMONTH(AP$4,0),L120&gt;=AP$4),1,""))</f>
        <v/>
      </c>
      <c r="AQ120" s="26">
        <f>IF(OR(J120="",L120=""),"",IF(AND(J120&lt;=EOMONTH(AQ$4,0),L120&gt;=AQ$4),1,""))</f>
        <v/>
      </c>
      <c r="AR120" s="26">
        <f>IF(OR(J120="",L120=""),"",IF(AND(J120&lt;=EOMONTH(AR$4,0),L120&gt;=AR$4),1,""))</f>
        <v/>
      </c>
      <c r="AS120" s="26">
        <f>IF(OR(J120="",L120=""),"",IF(AND(J120&lt;=EOMONTH(AS$4,0),L120&gt;=AS$4),1,""))</f>
        <v/>
      </c>
      <c r="AT120" s="26">
        <f>IF(OR(J120="",L120=""),"",IF(AND(J120&lt;=EOMONTH(AT$4,0),L120&gt;=AT$4),1,""))</f>
        <v/>
      </c>
      <c r="AU120" s="26">
        <f>IF(OR(J120="",L120=""),"",IF(AND(J120&lt;=EOMONTH(AU$4,0),L120&gt;=AU$4),1,""))</f>
        <v/>
      </c>
      <c r="AV120" s="26">
        <f>IF(OR(J120="",L120=""),"",IF(AND(J120&lt;=EOMONTH(AV$4,0),L120&gt;=AV$4),1,""))</f>
        <v/>
      </c>
      <c r="AW120" s="26">
        <f>IF(OR(J120="",L120=""),"",IF(AND(J120&lt;=EOMONTH(AW$4,0),L120&gt;=AW$4),1,""))</f>
        <v/>
      </c>
      <c r="AX120" s="26">
        <f>IF(OR(J120="",L120=""),"",IF(AND(J120&lt;=EOMONTH(AX$4,0),L120&gt;=AX$4),1,""))</f>
        <v/>
      </c>
      <c r="AY120" s="26">
        <f>IF(OR(J120="",L120=""),"",IF(AND(J120&lt;=EOMONTH(AY$4,0),L120&gt;=AY$4),1,""))</f>
        <v/>
      </c>
      <c r="AZ120" s="26">
        <f>IF(OR(J120="",L120=""),"",IF(AND(J120&lt;=EOMONTH(AZ$4,0),L120&gt;=AZ$4),1,""))</f>
        <v/>
      </c>
      <c r="BA120" s="26">
        <f>IF(OR(J120="",L120=""),"",IF(AND(J120&lt;=EOMONTH(BA$4,0),L120&gt;=BA$4),1,""))</f>
        <v/>
      </c>
      <c r="BB120" s="26">
        <f>IF(OR(J120="",L120=""),"",IF(AND(J120&lt;=EOMONTH(BB$4,0),L120&gt;=BB$4),1,""))</f>
        <v/>
      </c>
    </row>
    <row r="121">
      <c r="A121" s="27" t="n"/>
      <c r="B121" s="28" t="n"/>
      <c r="C121" s="29" t="n"/>
      <c r="D121" s="30">
        <f>IF(E121="","","CWA-"&amp;MID(E121,5,4))</f>
        <v/>
      </c>
      <c r="E121" s="29" t="n"/>
      <c r="F121" s="31" t="n"/>
      <c r="G121" s="29" t="n"/>
      <c r="H121" s="28" t="n"/>
      <c r="I121" s="29" t="n"/>
      <c r="J121" s="32" t="n"/>
      <c r="K121" s="28" t="n"/>
      <c r="L121" s="33">
        <f>IF(OR(J121="",K121=""),"",J121+7*K121-1)</f>
        <v/>
      </c>
      <c r="M121" s="33">
        <f>IF(J121="","",J121-7*$E$3)</f>
        <v/>
      </c>
      <c r="N121" s="33">
        <f>IF(J121="","",J121-7*$H$3)</f>
        <v/>
      </c>
      <c r="O121" s="33">
        <f>IF(J121="","",J121-1*$K$3)</f>
        <v/>
      </c>
      <c r="P121" s="30">
        <f>IF(OR(E121="",I121="",I121="—"),IF(E121="","","OK"),IFERROR(IF(INDEX($L$6:$L$155,MATCH(I121,$E$6:$E$155,0))&gt;=J121,"Conflicto con predecesor","OK"),"Predecesor no encontrado"))</f>
        <v/>
      </c>
      <c r="Q121" s="29" t="n"/>
      <c r="R121" s="31" t="n"/>
      <c r="S121" s="26">
        <f>IF(OR(J121="",L121=""),"",IF(AND(J121&lt;=EOMONTH(S$4,0),L121&gt;=S$4),1,""))</f>
        <v/>
      </c>
      <c r="T121" s="26">
        <f>IF(OR(J121="",L121=""),"",IF(AND(J121&lt;=EOMONTH(T$4,0),L121&gt;=T$4),1,""))</f>
        <v/>
      </c>
      <c r="U121" s="26">
        <f>IF(OR(J121="",L121=""),"",IF(AND(J121&lt;=EOMONTH(U$4,0),L121&gt;=U$4),1,""))</f>
        <v/>
      </c>
      <c r="V121" s="26">
        <f>IF(OR(J121="",L121=""),"",IF(AND(J121&lt;=EOMONTH(V$4,0),L121&gt;=V$4),1,""))</f>
        <v/>
      </c>
      <c r="W121" s="26">
        <f>IF(OR(J121="",L121=""),"",IF(AND(J121&lt;=EOMONTH(W$4,0),L121&gt;=W$4),1,""))</f>
        <v/>
      </c>
      <c r="X121" s="26">
        <f>IF(OR(J121="",L121=""),"",IF(AND(J121&lt;=EOMONTH(X$4,0),L121&gt;=X$4),1,""))</f>
        <v/>
      </c>
      <c r="Y121" s="26">
        <f>IF(OR(J121="",L121=""),"",IF(AND(J121&lt;=EOMONTH(Y$4,0),L121&gt;=Y$4),1,""))</f>
        <v/>
      </c>
      <c r="Z121" s="26">
        <f>IF(OR(J121="",L121=""),"",IF(AND(J121&lt;=EOMONTH(Z$4,0),L121&gt;=Z$4),1,""))</f>
        <v/>
      </c>
      <c r="AA121" s="26">
        <f>IF(OR(J121="",L121=""),"",IF(AND(J121&lt;=EOMONTH(AA$4,0),L121&gt;=AA$4),1,""))</f>
        <v/>
      </c>
      <c r="AB121" s="26">
        <f>IF(OR(J121="",L121=""),"",IF(AND(J121&lt;=EOMONTH(AB$4,0),L121&gt;=AB$4),1,""))</f>
        <v/>
      </c>
      <c r="AC121" s="26">
        <f>IF(OR(J121="",L121=""),"",IF(AND(J121&lt;=EOMONTH(AC$4,0),L121&gt;=AC$4),1,""))</f>
        <v/>
      </c>
      <c r="AD121" s="26">
        <f>IF(OR(J121="",L121=""),"",IF(AND(J121&lt;=EOMONTH(AD$4,0),L121&gt;=AD$4),1,""))</f>
        <v/>
      </c>
      <c r="AE121" s="26">
        <f>IF(OR(J121="",L121=""),"",IF(AND(J121&lt;=EOMONTH(AE$4,0),L121&gt;=AE$4),1,""))</f>
        <v/>
      </c>
      <c r="AF121" s="26">
        <f>IF(OR(J121="",L121=""),"",IF(AND(J121&lt;=EOMONTH(AF$4,0),L121&gt;=AF$4),1,""))</f>
        <v/>
      </c>
      <c r="AG121" s="26">
        <f>IF(OR(J121="",L121=""),"",IF(AND(J121&lt;=EOMONTH(AG$4,0),L121&gt;=AG$4),1,""))</f>
        <v/>
      </c>
      <c r="AH121" s="26">
        <f>IF(OR(J121="",L121=""),"",IF(AND(J121&lt;=EOMONTH(AH$4,0),L121&gt;=AH$4),1,""))</f>
        <v/>
      </c>
      <c r="AI121" s="26">
        <f>IF(OR(J121="",L121=""),"",IF(AND(J121&lt;=EOMONTH(AI$4,0),L121&gt;=AI$4),1,""))</f>
        <v/>
      </c>
      <c r="AJ121" s="26">
        <f>IF(OR(J121="",L121=""),"",IF(AND(J121&lt;=EOMONTH(AJ$4,0),L121&gt;=AJ$4),1,""))</f>
        <v/>
      </c>
      <c r="AK121" s="26">
        <f>IF(OR(J121="",L121=""),"",IF(AND(J121&lt;=EOMONTH(AK$4,0),L121&gt;=AK$4),1,""))</f>
        <v/>
      </c>
      <c r="AL121" s="26">
        <f>IF(OR(J121="",L121=""),"",IF(AND(J121&lt;=EOMONTH(AL$4,0),L121&gt;=AL$4),1,""))</f>
        <v/>
      </c>
      <c r="AM121" s="26">
        <f>IF(OR(J121="",L121=""),"",IF(AND(J121&lt;=EOMONTH(AM$4,0),L121&gt;=AM$4),1,""))</f>
        <v/>
      </c>
      <c r="AN121" s="26">
        <f>IF(OR(J121="",L121=""),"",IF(AND(J121&lt;=EOMONTH(AN$4,0),L121&gt;=AN$4),1,""))</f>
        <v/>
      </c>
      <c r="AO121" s="26">
        <f>IF(OR(J121="",L121=""),"",IF(AND(J121&lt;=EOMONTH(AO$4,0),L121&gt;=AO$4),1,""))</f>
        <v/>
      </c>
      <c r="AP121" s="26">
        <f>IF(OR(J121="",L121=""),"",IF(AND(J121&lt;=EOMONTH(AP$4,0),L121&gt;=AP$4),1,""))</f>
        <v/>
      </c>
      <c r="AQ121" s="26">
        <f>IF(OR(J121="",L121=""),"",IF(AND(J121&lt;=EOMONTH(AQ$4,0),L121&gt;=AQ$4),1,""))</f>
        <v/>
      </c>
      <c r="AR121" s="26">
        <f>IF(OR(J121="",L121=""),"",IF(AND(J121&lt;=EOMONTH(AR$4,0),L121&gt;=AR$4),1,""))</f>
        <v/>
      </c>
      <c r="AS121" s="26">
        <f>IF(OR(J121="",L121=""),"",IF(AND(J121&lt;=EOMONTH(AS$4,0),L121&gt;=AS$4),1,""))</f>
        <v/>
      </c>
      <c r="AT121" s="26">
        <f>IF(OR(J121="",L121=""),"",IF(AND(J121&lt;=EOMONTH(AT$4,0),L121&gt;=AT$4),1,""))</f>
        <v/>
      </c>
      <c r="AU121" s="26">
        <f>IF(OR(J121="",L121=""),"",IF(AND(J121&lt;=EOMONTH(AU$4,0),L121&gt;=AU$4),1,""))</f>
        <v/>
      </c>
      <c r="AV121" s="26">
        <f>IF(OR(J121="",L121=""),"",IF(AND(J121&lt;=EOMONTH(AV$4,0),L121&gt;=AV$4),1,""))</f>
        <v/>
      </c>
      <c r="AW121" s="26">
        <f>IF(OR(J121="",L121=""),"",IF(AND(J121&lt;=EOMONTH(AW$4,0),L121&gt;=AW$4),1,""))</f>
        <v/>
      </c>
      <c r="AX121" s="26">
        <f>IF(OR(J121="",L121=""),"",IF(AND(J121&lt;=EOMONTH(AX$4,0),L121&gt;=AX$4),1,""))</f>
        <v/>
      </c>
      <c r="AY121" s="26">
        <f>IF(OR(J121="",L121=""),"",IF(AND(J121&lt;=EOMONTH(AY$4,0),L121&gt;=AY$4),1,""))</f>
        <v/>
      </c>
      <c r="AZ121" s="26">
        <f>IF(OR(J121="",L121=""),"",IF(AND(J121&lt;=EOMONTH(AZ$4,0),L121&gt;=AZ$4),1,""))</f>
        <v/>
      </c>
      <c r="BA121" s="26">
        <f>IF(OR(J121="",L121=""),"",IF(AND(J121&lt;=EOMONTH(BA$4,0),L121&gt;=BA$4),1,""))</f>
        <v/>
      </c>
      <c r="BB121" s="26">
        <f>IF(OR(J121="",L121=""),"",IF(AND(J121&lt;=EOMONTH(BB$4,0),L121&gt;=BB$4),1,""))</f>
        <v/>
      </c>
    </row>
    <row r="122">
      <c r="A122" s="27" t="n"/>
      <c r="B122" s="28" t="n"/>
      <c r="C122" s="29" t="n"/>
      <c r="D122" s="30">
        <f>IF(E122="","","CWA-"&amp;MID(E122,5,4))</f>
        <v/>
      </c>
      <c r="E122" s="29" t="n"/>
      <c r="F122" s="31" t="n"/>
      <c r="G122" s="29" t="n"/>
      <c r="H122" s="28" t="n"/>
      <c r="I122" s="29" t="n"/>
      <c r="J122" s="32" t="n"/>
      <c r="K122" s="28" t="n"/>
      <c r="L122" s="33">
        <f>IF(OR(J122="",K122=""),"",J122+7*K122-1)</f>
        <v/>
      </c>
      <c r="M122" s="33">
        <f>IF(J122="","",J122-7*$E$3)</f>
        <v/>
      </c>
      <c r="N122" s="33">
        <f>IF(J122="","",J122-7*$H$3)</f>
        <v/>
      </c>
      <c r="O122" s="33">
        <f>IF(J122="","",J122-1*$K$3)</f>
        <v/>
      </c>
      <c r="P122" s="30">
        <f>IF(OR(E122="",I122="",I122="—"),IF(E122="","","OK"),IFERROR(IF(INDEX($L$6:$L$155,MATCH(I122,$E$6:$E$155,0))&gt;=J122,"Conflicto con predecesor","OK"),"Predecesor no encontrado"))</f>
        <v/>
      </c>
      <c r="Q122" s="29" t="n"/>
      <c r="R122" s="31" t="n"/>
      <c r="S122" s="26">
        <f>IF(OR(J122="",L122=""),"",IF(AND(J122&lt;=EOMONTH(S$4,0),L122&gt;=S$4),1,""))</f>
        <v/>
      </c>
      <c r="T122" s="26">
        <f>IF(OR(J122="",L122=""),"",IF(AND(J122&lt;=EOMONTH(T$4,0),L122&gt;=T$4),1,""))</f>
        <v/>
      </c>
      <c r="U122" s="26">
        <f>IF(OR(J122="",L122=""),"",IF(AND(J122&lt;=EOMONTH(U$4,0),L122&gt;=U$4),1,""))</f>
        <v/>
      </c>
      <c r="V122" s="26">
        <f>IF(OR(J122="",L122=""),"",IF(AND(J122&lt;=EOMONTH(V$4,0),L122&gt;=V$4),1,""))</f>
        <v/>
      </c>
      <c r="W122" s="26">
        <f>IF(OR(J122="",L122=""),"",IF(AND(J122&lt;=EOMONTH(W$4,0),L122&gt;=W$4),1,""))</f>
        <v/>
      </c>
      <c r="X122" s="26">
        <f>IF(OR(J122="",L122=""),"",IF(AND(J122&lt;=EOMONTH(X$4,0),L122&gt;=X$4),1,""))</f>
        <v/>
      </c>
      <c r="Y122" s="26">
        <f>IF(OR(J122="",L122=""),"",IF(AND(J122&lt;=EOMONTH(Y$4,0),L122&gt;=Y$4),1,""))</f>
        <v/>
      </c>
      <c r="Z122" s="26">
        <f>IF(OR(J122="",L122=""),"",IF(AND(J122&lt;=EOMONTH(Z$4,0),L122&gt;=Z$4),1,""))</f>
        <v/>
      </c>
      <c r="AA122" s="26">
        <f>IF(OR(J122="",L122=""),"",IF(AND(J122&lt;=EOMONTH(AA$4,0),L122&gt;=AA$4),1,""))</f>
        <v/>
      </c>
      <c r="AB122" s="26">
        <f>IF(OR(J122="",L122=""),"",IF(AND(J122&lt;=EOMONTH(AB$4,0),L122&gt;=AB$4),1,""))</f>
        <v/>
      </c>
      <c r="AC122" s="26">
        <f>IF(OR(J122="",L122=""),"",IF(AND(J122&lt;=EOMONTH(AC$4,0),L122&gt;=AC$4),1,""))</f>
        <v/>
      </c>
      <c r="AD122" s="26">
        <f>IF(OR(J122="",L122=""),"",IF(AND(J122&lt;=EOMONTH(AD$4,0),L122&gt;=AD$4),1,""))</f>
        <v/>
      </c>
      <c r="AE122" s="26">
        <f>IF(OR(J122="",L122=""),"",IF(AND(J122&lt;=EOMONTH(AE$4,0),L122&gt;=AE$4),1,""))</f>
        <v/>
      </c>
      <c r="AF122" s="26">
        <f>IF(OR(J122="",L122=""),"",IF(AND(J122&lt;=EOMONTH(AF$4,0),L122&gt;=AF$4),1,""))</f>
        <v/>
      </c>
      <c r="AG122" s="26">
        <f>IF(OR(J122="",L122=""),"",IF(AND(J122&lt;=EOMONTH(AG$4,0),L122&gt;=AG$4),1,""))</f>
        <v/>
      </c>
      <c r="AH122" s="26">
        <f>IF(OR(J122="",L122=""),"",IF(AND(J122&lt;=EOMONTH(AH$4,0),L122&gt;=AH$4),1,""))</f>
        <v/>
      </c>
      <c r="AI122" s="26">
        <f>IF(OR(J122="",L122=""),"",IF(AND(J122&lt;=EOMONTH(AI$4,0),L122&gt;=AI$4),1,""))</f>
        <v/>
      </c>
      <c r="AJ122" s="26">
        <f>IF(OR(J122="",L122=""),"",IF(AND(J122&lt;=EOMONTH(AJ$4,0),L122&gt;=AJ$4),1,""))</f>
        <v/>
      </c>
      <c r="AK122" s="26">
        <f>IF(OR(J122="",L122=""),"",IF(AND(J122&lt;=EOMONTH(AK$4,0),L122&gt;=AK$4),1,""))</f>
        <v/>
      </c>
      <c r="AL122" s="26">
        <f>IF(OR(J122="",L122=""),"",IF(AND(J122&lt;=EOMONTH(AL$4,0),L122&gt;=AL$4),1,""))</f>
        <v/>
      </c>
      <c r="AM122" s="26">
        <f>IF(OR(J122="",L122=""),"",IF(AND(J122&lt;=EOMONTH(AM$4,0),L122&gt;=AM$4),1,""))</f>
        <v/>
      </c>
      <c r="AN122" s="26">
        <f>IF(OR(J122="",L122=""),"",IF(AND(J122&lt;=EOMONTH(AN$4,0),L122&gt;=AN$4),1,""))</f>
        <v/>
      </c>
      <c r="AO122" s="26">
        <f>IF(OR(J122="",L122=""),"",IF(AND(J122&lt;=EOMONTH(AO$4,0),L122&gt;=AO$4),1,""))</f>
        <v/>
      </c>
      <c r="AP122" s="26">
        <f>IF(OR(J122="",L122=""),"",IF(AND(J122&lt;=EOMONTH(AP$4,0),L122&gt;=AP$4),1,""))</f>
        <v/>
      </c>
      <c r="AQ122" s="26">
        <f>IF(OR(J122="",L122=""),"",IF(AND(J122&lt;=EOMONTH(AQ$4,0),L122&gt;=AQ$4),1,""))</f>
        <v/>
      </c>
      <c r="AR122" s="26">
        <f>IF(OR(J122="",L122=""),"",IF(AND(J122&lt;=EOMONTH(AR$4,0),L122&gt;=AR$4),1,""))</f>
        <v/>
      </c>
      <c r="AS122" s="26">
        <f>IF(OR(J122="",L122=""),"",IF(AND(J122&lt;=EOMONTH(AS$4,0),L122&gt;=AS$4),1,""))</f>
        <v/>
      </c>
      <c r="AT122" s="26">
        <f>IF(OR(J122="",L122=""),"",IF(AND(J122&lt;=EOMONTH(AT$4,0),L122&gt;=AT$4),1,""))</f>
        <v/>
      </c>
      <c r="AU122" s="26">
        <f>IF(OR(J122="",L122=""),"",IF(AND(J122&lt;=EOMONTH(AU$4,0),L122&gt;=AU$4),1,""))</f>
        <v/>
      </c>
      <c r="AV122" s="26">
        <f>IF(OR(J122="",L122=""),"",IF(AND(J122&lt;=EOMONTH(AV$4,0),L122&gt;=AV$4),1,""))</f>
        <v/>
      </c>
      <c r="AW122" s="26">
        <f>IF(OR(J122="",L122=""),"",IF(AND(J122&lt;=EOMONTH(AW$4,0),L122&gt;=AW$4),1,""))</f>
        <v/>
      </c>
      <c r="AX122" s="26">
        <f>IF(OR(J122="",L122=""),"",IF(AND(J122&lt;=EOMONTH(AX$4,0),L122&gt;=AX$4),1,""))</f>
        <v/>
      </c>
      <c r="AY122" s="26">
        <f>IF(OR(J122="",L122=""),"",IF(AND(J122&lt;=EOMONTH(AY$4,0),L122&gt;=AY$4),1,""))</f>
        <v/>
      </c>
      <c r="AZ122" s="26">
        <f>IF(OR(J122="",L122=""),"",IF(AND(J122&lt;=EOMONTH(AZ$4,0),L122&gt;=AZ$4),1,""))</f>
        <v/>
      </c>
      <c r="BA122" s="26">
        <f>IF(OR(J122="",L122=""),"",IF(AND(J122&lt;=EOMONTH(BA$4,0),L122&gt;=BA$4),1,""))</f>
        <v/>
      </c>
      <c r="BB122" s="26">
        <f>IF(OR(J122="",L122=""),"",IF(AND(J122&lt;=EOMONTH(BB$4,0),L122&gt;=BB$4),1,""))</f>
        <v/>
      </c>
    </row>
    <row r="123">
      <c r="A123" s="27" t="n"/>
      <c r="B123" s="28" t="n"/>
      <c r="C123" s="29" t="n"/>
      <c r="D123" s="30">
        <f>IF(E123="","","CWA-"&amp;MID(E123,5,4))</f>
        <v/>
      </c>
      <c r="E123" s="29" t="n"/>
      <c r="F123" s="31" t="n"/>
      <c r="G123" s="29" t="n"/>
      <c r="H123" s="28" t="n"/>
      <c r="I123" s="29" t="n"/>
      <c r="J123" s="32" t="n"/>
      <c r="K123" s="28" t="n"/>
      <c r="L123" s="33">
        <f>IF(OR(J123="",K123=""),"",J123+7*K123-1)</f>
        <v/>
      </c>
      <c r="M123" s="33">
        <f>IF(J123="","",J123-7*$E$3)</f>
        <v/>
      </c>
      <c r="N123" s="33">
        <f>IF(J123="","",J123-7*$H$3)</f>
        <v/>
      </c>
      <c r="O123" s="33">
        <f>IF(J123="","",J123-1*$K$3)</f>
        <v/>
      </c>
      <c r="P123" s="30">
        <f>IF(OR(E123="",I123="",I123="—"),IF(E123="","","OK"),IFERROR(IF(INDEX($L$6:$L$155,MATCH(I123,$E$6:$E$155,0))&gt;=J123,"Conflicto con predecesor","OK"),"Predecesor no encontrado"))</f>
        <v/>
      </c>
      <c r="Q123" s="29" t="n"/>
      <c r="R123" s="31" t="n"/>
      <c r="S123" s="26">
        <f>IF(OR(J123="",L123=""),"",IF(AND(J123&lt;=EOMONTH(S$4,0),L123&gt;=S$4),1,""))</f>
        <v/>
      </c>
      <c r="T123" s="26">
        <f>IF(OR(J123="",L123=""),"",IF(AND(J123&lt;=EOMONTH(T$4,0),L123&gt;=T$4),1,""))</f>
        <v/>
      </c>
      <c r="U123" s="26">
        <f>IF(OR(J123="",L123=""),"",IF(AND(J123&lt;=EOMONTH(U$4,0),L123&gt;=U$4),1,""))</f>
        <v/>
      </c>
      <c r="V123" s="26">
        <f>IF(OR(J123="",L123=""),"",IF(AND(J123&lt;=EOMONTH(V$4,0),L123&gt;=V$4),1,""))</f>
        <v/>
      </c>
      <c r="W123" s="26">
        <f>IF(OR(J123="",L123=""),"",IF(AND(J123&lt;=EOMONTH(W$4,0),L123&gt;=W$4),1,""))</f>
        <v/>
      </c>
      <c r="X123" s="26">
        <f>IF(OR(J123="",L123=""),"",IF(AND(J123&lt;=EOMONTH(X$4,0),L123&gt;=X$4),1,""))</f>
        <v/>
      </c>
      <c r="Y123" s="26">
        <f>IF(OR(J123="",L123=""),"",IF(AND(J123&lt;=EOMONTH(Y$4,0),L123&gt;=Y$4),1,""))</f>
        <v/>
      </c>
      <c r="Z123" s="26">
        <f>IF(OR(J123="",L123=""),"",IF(AND(J123&lt;=EOMONTH(Z$4,0),L123&gt;=Z$4),1,""))</f>
        <v/>
      </c>
      <c r="AA123" s="26">
        <f>IF(OR(J123="",L123=""),"",IF(AND(J123&lt;=EOMONTH(AA$4,0),L123&gt;=AA$4),1,""))</f>
        <v/>
      </c>
      <c r="AB123" s="26">
        <f>IF(OR(J123="",L123=""),"",IF(AND(J123&lt;=EOMONTH(AB$4,0),L123&gt;=AB$4),1,""))</f>
        <v/>
      </c>
      <c r="AC123" s="26">
        <f>IF(OR(J123="",L123=""),"",IF(AND(J123&lt;=EOMONTH(AC$4,0),L123&gt;=AC$4),1,""))</f>
        <v/>
      </c>
      <c r="AD123" s="26">
        <f>IF(OR(J123="",L123=""),"",IF(AND(J123&lt;=EOMONTH(AD$4,0),L123&gt;=AD$4),1,""))</f>
        <v/>
      </c>
      <c r="AE123" s="26">
        <f>IF(OR(J123="",L123=""),"",IF(AND(J123&lt;=EOMONTH(AE$4,0),L123&gt;=AE$4),1,""))</f>
        <v/>
      </c>
      <c r="AF123" s="26">
        <f>IF(OR(J123="",L123=""),"",IF(AND(J123&lt;=EOMONTH(AF$4,0),L123&gt;=AF$4),1,""))</f>
        <v/>
      </c>
      <c r="AG123" s="26">
        <f>IF(OR(J123="",L123=""),"",IF(AND(J123&lt;=EOMONTH(AG$4,0),L123&gt;=AG$4),1,""))</f>
        <v/>
      </c>
      <c r="AH123" s="26">
        <f>IF(OR(J123="",L123=""),"",IF(AND(J123&lt;=EOMONTH(AH$4,0),L123&gt;=AH$4),1,""))</f>
        <v/>
      </c>
      <c r="AI123" s="26">
        <f>IF(OR(J123="",L123=""),"",IF(AND(J123&lt;=EOMONTH(AI$4,0),L123&gt;=AI$4),1,""))</f>
        <v/>
      </c>
      <c r="AJ123" s="26">
        <f>IF(OR(J123="",L123=""),"",IF(AND(J123&lt;=EOMONTH(AJ$4,0),L123&gt;=AJ$4),1,""))</f>
        <v/>
      </c>
      <c r="AK123" s="26">
        <f>IF(OR(J123="",L123=""),"",IF(AND(J123&lt;=EOMONTH(AK$4,0),L123&gt;=AK$4),1,""))</f>
        <v/>
      </c>
      <c r="AL123" s="26">
        <f>IF(OR(J123="",L123=""),"",IF(AND(J123&lt;=EOMONTH(AL$4,0),L123&gt;=AL$4),1,""))</f>
        <v/>
      </c>
      <c r="AM123" s="26">
        <f>IF(OR(J123="",L123=""),"",IF(AND(J123&lt;=EOMONTH(AM$4,0),L123&gt;=AM$4),1,""))</f>
        <v/>
      </c>
      <c r="AN123" s="26">
        <f>IF(OR(J123="",L123=""),"",IF(AND(J123&lt;=EOMONTH(AN$4,0),L123&gt;=AN$4),1,""))</f>
        <v/>
      </c>
      <c r="AO123" s="26">
        <f>IF(OR(J123="",L123=""),"",IF(AND(J123&lt;=EOMONTH(AO$4,0),L123&gt;=AO$4),1,""))</f>
        <v/>
      </c>
      <c r="AP123" s="26">
        <f>IF(OR(J123="",L123=""),"",IF(AND(J123&lt;=EOMONTH(AP$4,0),L123&gt;=AP$4),1,""))</f>
        <v/>
      </c>
      <c r="AQ123" s="26">
        <f>IF(OR(J123="",L123=""),"",IF(AND(J123&lt;=EOMONTH(AQ$4,0),L123&gt;=AQ$4),1,""))</f>
        <v/>
      </c>
      <c r="AR123" s="26">
        <f>IF(OR(J123="",L123=""),"",IF(AND(J123&lt;=EOMONTH(AR$4,0),L123&gt;=AR$4),1,""))</f>
        <v/>
      </c>
      <c r="AS123" s="26">
        <f>IF(OR(J123="",L123=""),"",IF(AND(J123&lt;=EOMONTH(AS$4,0),L123&gt;=AS$4),1,""))</f>
        <v/>
      </c>
      <c r="AT123" s="26">
        <f>IF(OR(J123="",L123=""),"",IF(AND(J123&lt;=EOMONTH(AT$4,0),L123&gt;=AT$4),1,""))</f>
        <v/>
      </c>
      <c r="AU123" s="26">
        <f>IF(OR(J123="",L123=""),"",IF(AND(J123&lt;=EOMONTH(AU$4,0),L123&gt;=AU$4),1,""))</f>
        <v/>
      </c>
      <c r="AV123" s="26">
        <f>IF(OR(J123="",L123=""),"",IF(AND(J123&lt;=EOMONTH(AV$4,0),L123&gt;=AV$4),1,""))</f>
        <v/>
      </c>
      <c r="AW123" s="26">
        <f>IF(OR(J123="",L123=""),"",IF(AND(J123&lt;=EOMONTH(AW$4,0),L123&gt;=AW$4),1,""))</f>
        <v/>
      </c>
      <c r="AX123" s="26">
        <f>IF(OR(J123="",L123=""),"",IF(AND(J123&lt;=EOMONTH(AX$4,0),L123&gt;=AX$4),1,""))</f>
        <v/>
      </c>
      <c r="AY123" s="26">
        <f>IF(OR(J123="",L123=""),"",IF(AND(J123&lt;=EOMONTH(AY$4,0),L123&gt;=AY$4),1,""))</f>
        <v/>
      </c>
      <c r="AZ123" s="26">
        <f>IF(OR(J123="",L123=""),"",IF(AND(J123&lt;=EOMONTH(AZ$4,0),L123&gt;=AZ$4),1,""))</f>
        <v/>
      </c>
      <c r="BA123" s="26">
        <f>IF(OR(J123="",L123=""),"",IF(AND(J123&lt;=EOMONTH(BA$4,0),L123&gt;=BA$4),1,""))</f>
        <v/>
      </c>
      <c r="BB123" s="26">
        <f>IF(OR(J123="",L123=""),"",IF(AND(J123&lt;=EOMONTH(BB$4,0),L123&gt;=BB$4),1,""))</f>
        <v/>
      </c>
    </row>
    <row r="124">
      <c r="A124" s="27" t="n"/>
      <c r="B124" s="28" t="n"/>
      <c r="C124" s="29" t="n"/>
      <c r="D124" s="30">
        <f>IF(E124="","","CWA-"&amp;MID(E124,5,4))</f>
        <v/>
      </c>
      <c r="E124" s="29" t="n"/>
      <c r="F124" s="31" t="n"/>
      <c r="G124" s="29" t="n"/>
      <c r="H124" s="28" t="n"/>
      <c r="I124" s="29" t="n"/>
      <c r="J124" s="32" t="n"/>
      <c r="K124" s="28" t="n"/>
      <c r="L124" s="33">
        <f>IF(OR(J124="",K124=""),"",J124+7*K124-1)</f>
        <v/>
      </c>
      <c r="M124" s="33">
        <f>IF(J124="","",J124-7*$E$3)</f>
        <v/>
      </c>
      <c r="N124" s="33">
        <f>IF(J124="","",J124-7*$H$3)</f>
        <v/>
      </c>
      <c r="O124" s="33">
        <f>IF(J124="","",J124-1*$K$3)</f>
        <v/>
      </c>
      <c r="P124" s="30">
        <f>IF(OR(E124="",I124="",I124="—"),IF(E124="","","OK"),IFERROR(IF(INDEX($L$6:$L$155,MATCH(I124,$E$6:$E$155,0))&gt;=J124,"Conflicto con predecesor","OK"),"Predecesor no encontrado"))</f>
        <v/>
      </c>
      <c r="Q124" s="29" t="n"/>
      <c r="R124" s="31" t="n"/>
      <c r="S124" s="26">
        <f>IF(OR(J124="",L124=""),"",IF(AND(J124&lt;=EOMONTH(S$4,0),L124&gt;=S$4),1,""))</f>
        <v/>
      </c>
      <c r="T124" s="26">
        <f>IF(OR(J124="",L124=""),"",IF(AND(J124&lt;=EOMONTH(T$4,0),L124&gt;=T$4),1,""))</f>
        <v/>
      </c>
      <c r="U124" s="26">
        <f>IF(OR(J124="",L124=""),"",IF(AND(J124&lt;=EOMONTH(U$4,0),L124&gt;=U$4),1,""))</f>
        <v/>
      </c>
      <c r="V124" s="26">
        <f>IF(OR(J124="",L124=""),"",IF(AND(J124&lt;=EOMONTH(V$4,0),L124&gt;=V$4),1,""))</f>
        <v/>
      </c>
      <c r="W124" s="26">
        <f>IF(OR(J124="",L124=""),"",IF(AND(J124&lt;=EOMONTH(W$4,0),L124&gt;=W$4),1,""))</f>
        <v/>
      </c>
      <c r="X124" s="26">
        <f>IF(OR(J124="",L124=""),"",IF(AND(J124&lt;=EOMONTH(X$4,0),L124&gt;=X$4),1,""))</f>
        <v/>
      </c>
      <c r="Y124" s="26">
        <f>IF(OR(J124="",L124=""),"",IF(AND(J124&lt;=EOMONTH(Y$4,0),L124&gt;=Y$4),1,""))</f>
        <v/>
      </c>
      <c r="Z124" s="26">
        <f>IF(OR(J124="",L124=""),"",IF(AND(J124&lt;=EOMONTH(Z$4,0),L124&gt;=Z$4),1,""))</f>
        <v/>
      </c>
      <c r="AA124" s="26">
        <f>IF(OR(J124="",L124=""),"",IF(AND(J124&lt;=EOMONTH(AA$4,0),L124&gt;=AA$4),1,""))</f>
        <v/>
      </c>
      <c r="AB124" s="26">
        <f>IF(OR(J124="",L124=""),"",IF(AND(J124&lt;=EOMONTH(AB$4,0),L124&gt;=AB$4),1,""))</f>
        <v/>
      </c>
      <c r="AC124" s="26">
        <f>IF(OR(J124="",L124=""),"",IF(AND(J124&lt;=EOMONTH(AC$4,0),L124&gt;=AC$4),1,""))</f>
        <v/>
      </c>
      <c r="AD124" s="26">
        <f>IF(OR(J124="",L124=""),"",IF(AND(J124&lt;=EOMONTH(AD$4,0),L124&gt;=AD$4),1,""))</f>
        <v/>
      </c>
      <c r="AE124" s="26">
        <f>IF(OR(J124="",L124=""),"",IF(AND(J124&lt;=EOMONTH(AE$4,0),L124&gt;=AE$4),1,""))</f>
        <v/>
      </c>
      <c r="AF124" s="26">
        <f>IF(OR(J124="",L124=""),"",IF(AND(J124&lt;=EOMONTH(AF$4,0),L124&gt;=AF$4),1,""))</f>
        <v/>
      </c>
      <c r="AG124" s="26">
        <f>IF(OR(J124="",L124=""),"",IF(AND(J124&lt;=EOMONTH(AG$4,0),L124&gt;=AG$4),1,""))</f>
        <v/>
      </c>
      <c r="AH124" s="26">
        <f>IF(OR(J124="",L124=""),"",IF(AND(J124&lt;=EOMONTH(AH$4,0),L124&gt;=AH$4),1,""))</f>
        <v/>
      </c>
      <c r="AI124" s="26">
        <f>IF(OR(J124="",L124=""),"",IF(AND(J124&lt;=EOMONTH(AI$4,0),L124&gt;=AI$4),1,""))</f>
        <v/>
      </c>
      <c r="AJ124" s="26">
        <f>IF(OR(J124="",L124=""),"",IF(AND(J124&lt;=EOMONTH(AJ$4,0),L124&gt;=AJ$4),1,""))</f>
        <v/>
      </c>
      <c r="AK124" s="26">
        <f>IF(OR(J124="",L124=""),"",IF(AND(J124&lt;=EOMONTH(AK$4,0),L124&gt;=AK$4),1,""))</f>
        <v/>
      </c>
      <c r="AL124" s="26">
        <f>IF(OR(J124="",L124=""),"",IF(AND(J124&lt;=EOMONTH(AL$4,0),L124&gt;=AL$4),1,""))</f>
        <v/>
      </c>
      <c r="AM124" s="26">
        <f>IF(OR(J124="",L124=""),"",IF(AND(J124&lt;=EOMONTH(AM$4,0),L124&gt;=AM$4),1,""))</f>
        <v/>
      </c>
      <c r="AN124" s="26">
        <f>IF(OR(J124="",L124=""),"",IF(AND(J124&lt;=EOMONTH(AN$4,0),L124&gt;=AN$4),1,""))</f>
        <v/>
      </c>
      <c r="AO124" s="26">
        <f>IF(OR(J124="",L124=""),"",IF(AND(J124&lt;=EOMONTH(AO$4,0),L124&gt;=AO$4),1,""))</f>
        <v/>
      </c>
      <c r="AP124" s="26">
        <f>IF(OR(J124="",L124=""),"",IF(AND(J124&lt;=EOMONTH(AP$4,0),L124&gt;=AP$4),1,""))</f>
        <v/>
      </c>
      <c r="AQ124" s="26">
        <f>IF(OR(J124="",L124=""),"",IF(AND(J124&lt;=EOMONTH(AQ$4,0),L124&gt;=AQ$4),1,""))</f>
        <v/>
      </c>
      <c r="AR124" s="26">
        <f>IF(OR(J124="",L124=""),"",IF(AND(J124&lt;=EOMONTH(AR$4,0),L124&gt;=AR$4),1,""))</f>
        <v/>
      </c>
      <c r="AS124" s="26">
        <f>IF(OR(J124="",L124=""),"",IF(AND(J124&lt;=EOMONTH(AS$4,0),L124&gt;=AS$4),1,""))</f>
        <v/>
      </c>
      <c r="AT124" s="26">
        <f>IF(OR(J124="",L124=""),"",IF(AND(J124&lt;=EOMONTH(AT$4,0),L124&gt;=AT$4),1,""))</f>
        <v/>
      </c>
      <c r="AU124" s="26">
        <f>IF(OR(J124="",L124=""),"",IF(AND(J124&lt;=EOMONTH(AU$4,0),L124&gt;=AU$4),1,""))</f>
        <v/>
      </c>
      <c r="AV124" s="26">
        <f>IF(OR(J124="",L124=""),"",IF(AND(J124&lt;=EOMONTH(AV$4,0),L124&gt;=AV$4),1,""))</f>
        <v/>
      </c>
      <c r="AW124" s="26">
        <f>IF(OR(J124="",L124=""),"",IF(AND(J124&lt;=EOMONTH(AW$4,0),L124&gt;=AW$4),1,""))</f>
        <v/>
      </c>
      <c r="AX124" s="26">
        <f>IF(OR(J124="",L124=""),"",IF(AND(J124&lt;=EOMONTH(AX$4,0),L124&gt;=AX$4),1,""))</f>
        <v/>
      </c>
      <c r="AY124" s="26">
        <f>IF(OR(J124="",L124=""),"",IF(AND(J124&lt;=EOMONTH(AY$4,0),L124&gt;=AY$4),1,""))</f>
        <v/>
      </c>
      <c r="AZ124" s="26">
        <f>IF(OR(J124="",L124=""),"",IF(AND(J124&lt;=EOMONTH(AZ$4,0),L124&gt;=AZ$4),1,""))</f>
        <v/>
      </c>
      <c r="BA124" s="26">
        <f>IF(OR(J124="",L124=""),"",IF(AND(J124&lt;=EOMONTH(BA$4,0),L124&gt;=BA$4),1,""))</f>
        <v/>
      </c>
      <c r="BB124" s="26">
        <f>IF(OR(J124="",L124=""),"",IF(AND(J124&lt;=EOMONTH(BB$4,0),L124&gt;=BB$4),1,""))</f>
        <v/>
      </c>
    </row>
    <row r="125">
      <c r="A125" s="27" t="n"/>
      <c r="B125" s="28" t="n"/>
      <c r="C125" s="29" t="n"/>
      <c r="D125" s="30">
        <f>IF(E125="","","CWA-"&amp;MID(E125,5,4))</f>
        <v/>
      </c>
      <c r="E125" s="29" t="n"/>
      <c r="F125" s="31" t="n"/>
      <c r="G125" s="29" t="n"/>
      <c r="H125" s="28" t="n"/>
      <c r="I125" s="29" t="n"/>
      <c r="J125" s="32" t="n"/>
      <c r="K125" s="28" t="n"/>
      <c r="L125" s="33">
        <f>IF(OR(J125="",K125=""),"",J125+7*K125-1)</f>
        <v/>
      </c>
      <c r="M125" s="33">
        <f>IF(J125="","",J125-7*$E$3)</f>
        <v/>
      </c>
      <c r="N125" s="33">
        <f>IF(J125="","",J125-7*$H$3)</f>
        <v/>
      </c>
      <c r="O125" s="33">
        <f>IF(J125="","",J125-1*$K$3)</f>
        <v/>
      </c>
      <c r="P125" s="30">
        <f>IF(OR(E125="",I125="",I125="—"),IF(E125="","","OK"),IFERROR(IF(INDEX($L$6:$L$155,MATCH(I125,$E$6:$E$155,0))&gt;=J125,"Conflicto con predecesor","OK"),"Predecesor no encontrado"))</f>
        <v/>
      </c>
      <c r="Q125" s="29" t="n"/>
      <c r="R125" s="31" t="n"/>
      <c r="S125" s="26">
        <f>IF(OR(J125="",L125=""),"",IF(AND(J125&lt;=EOMONTH(S$4,0),L125&gt;=S$4),1,""))</f>
        <v/>
      </c>
      <c r="T125" s="26">
        <f>IF(OR(J125="",L125=""),"",IF(AND(J125&lt;=EOMONTH(T$4,0),L125&gt;=T$4),1,""))</f>
        <v/>
      </c>
      <c r="U125" s="26">
        <f>IF(OR(J125="",L125=""),"",IF(AND(J125&lt;=EOMONTH(U$4,0),L125&gt;=U$4),1,""))</f>
        <v/>
      </c>
      <c r="V125" s="26">
        <f>IF(OR(J125="",L125=""),"",IF(AND(J125&lt;=EOMONTH(V$4,0),L125&gt;=V$4),1,""))</f>
        <v/>
      </c>
      <c r="W125" s="26">
        <f>IF(OR(J125="",L125=""),"",IF(AND(J125&lt;=EOMONTH(W$4,0),L125&gt;=W$4),1,""))</f>
        <v/>
      </c>
      <c r="X125" s="26">
        <f>IF(OR(J125="",L125=""),"",IF(AND(J125&lt;=EOMONTH(X$4,0),L125&gt;=X$4),1,""))</f>
        <v/>
      </c>
      <c r="Y125" s="26">
        <f>IF(OR(J125="",L125=""),"",IF(AND(J125&lt;=EOMONTH(Y$4,0),L125&gt;=Y$4),1,""))</f>
        <v/>
      </c>
      <c r="Z125" s="26">
        <f>IF(OR(J125="",L125=""),"",IF(AND(J125&lt;=EOMONTH(Z$4,0),L125&gt;=Z$4),1,""))</f>
        <v/>
      </c>
      <c r="AA125" s="26">
        <f>IF(OR(J125="",L125=""),"",IF(AND(J125&lt;=EOMONTH(AA$4,0),L125&gt;=AA$4),1,""))</f>
        <v/>
      </c>
      <c r="AB125" s="26">
        <f>IF(OR(J125="",L125=""),"",IF(AND(J125&lt;=EOMONTH(AB$4,0),L125&gt;=AB$4),1,""))</f>
        <v/>
      </c>
      <c r="AC125" s="26">
        <f>IF(OR(J125="",L125=""),"",IF(AND(J125&lt;=EOMONTH(AC$4,0),L125&gt;=AC$4),1,""))</f>
        <v/>
      </c>
      <c r="AD125" s="26">
        <f>IF(OR(J125="",L125=""),"",IF(AND(J125&lt;=EOMONTH(AD$4,0),L125&gt;=AD$4),1,""))</f>
        <v/>
      </c>
      <c r="AE125" s="26">
        <f>IF(OR(J125="",L125=""),"",IF(AND(J125&lt;=EOMONTH(AE$4,0),L125&gt;=AE$4),1,""))</f>
        <v/>
      </c>
      <c r="AF125" s="26">
        <f>IF(OR(J125="",L125=""),"",IF(AND(J125&lt;=EOMONTH(AF$4,0),L125&gt;=AF$4),1,""))</f>
        <v/>
      </c>
      <c r="AG125" s="26">
        <f>IF(OR(J125="",L125=""),"",IF(AND(J125&lt;=EOMONTH(AG$4,0),L125&gt;=AG$4),1,""))</f>
        <v/>
      </c>
      <c r="AH125" s="26">
        <f>IF(OR(J125="",L125=""),"",IF(AND(J125&lt;=EOMONTH(AH$4,0),L125&gt;=AH$4),1,""))</f>
        <v/>
      </c>
      <c r="AI125" s="26">
        <f>IF(OR(J125="",L125=""),"",IF(AND(J125&lt;=EOMONTH(AI$4,0),L125&gt;=AI$4),1,""))</f>
        <v/>
      </c>
      <c r="AJ125" s="26">
        <f>IF(OR(J125="",L125=""),"",IF(AND(J125&lt;=EOMONTH(AJ$4,0),L125&gt;=AJ$4),1,""))</f>
        <v/>
      </c>
      <c r="AK125" s="26">
        <f>IF(OR(J125="",L125=""),"",IF(AND(J125&lt;=EOMONTH(AK$4,0),L125&gt;=AK$4),1,""))</f>
        <v/>
      </c>
      <c r="AL125" s="26">
        <f>IF(OR(J125="",L125=""),"",IF(AND(J125&lt;=EOMONTH(AL$4,0),L125&gt;=AL$4),1,""))</f>
        <v/>
      </c>
      <c r="AM125" s="26">
        <f>IF(OR(J125="",L125=""),"",IF(AND(J125&lt;=EOMONTH(AM$4,0),L125&gt;=AM$4),1,""))</f>
        <v/>
      </c>
      <c r="AN125" s="26">
        <f>IF(OR(J125="",L125=""),"",IF(AND(J125&lt;=EOMONTH(AN$4,0),L125&gt;=AN$4),1,""))</f>
        <v/>
      </c>
      <c r="AO125" s="26">
        <f>IF(OR(J125="",L125=""),"",IF(AND(J125&lt;=EOMONTH(AO$4,0),L125&gt;=AO$4),1,""))</f>
        <v/>
      </c>
      <c r="AP125" s="26">
        <f>IF(OR(J125="",L125=""),"",IF(AND(J125&lt;=EOMONTH(AP$4,0),L125&gt;=AP$4),1,""))</f>
        <v/>
      </c>
      <c r="AQ125" s="26">
        <f>IF(OR(J125="",L125=""),"",IF(AND(J125&lt;=EOMONTH(AQ$4,0),L125&gt;=AQ$4),1,""))</f>
        <v/>
      </c>
      <c r="AR125" s="26">
        <f>IF(OR(J125="",L125=""),"",IF(AND(J125&lt;=EOMONTH(AR$4,0),L125&gt;=AR$4),1,""))</f>
        <v/>
      </c>
      <c r="AS125" s="26">
        <f>IF(OR(J125="",L125=""),"",IF(AND(J125&lt;=EOMONTH(AS$4,0),L125&gt;=AS$4),1,""))</f>
        <v/>
      </c>
      <c r="AT125" s="26">
        <f>IF(OR(J125="",L125=""),"",IF(AND(J125&lt;=EOMONTH(AT$4,0),L125&gt;=AT$4),1,""))</f>
        <v/>
      </c>
      <c r="AU125" s="26">
        <f>IF(OR(J125="",L125=""),"",IF(AND(J125&lt;=EOMONTH(AU$4,0),L125&gt;=AU$4),1,""))</f>
        <v/>
      </c>
      <c r="AV125" s="26">
        <f>IF(OR(J125="",L125=""),"",IF(AND(J125&lt;=EOMONTH(AV$4,0),L125&gt;=AV$4),1,""))</f>
        <v/>
      </c>
      <c r="AW125" s="26">
        <f>IF(OR(J125="",L125=""),"",IF(AND(J125&lt;=EOMONTH(AW$4,0),L125&gt;=AW$4),1,""))</f>
        <v/>
      </c>
      <c r="AX125" s="26">
        <f>IF(OR(J125="",L125=""),"",IF(AND(J125&lt;=EOMONTH(AX$4,0),L125&gt;=AX$4),1,""))</f>
        <v/>
      </c>
      <c r="AY125" s="26">
        <f>IF(OR(J125="",L125=""),"",IF(AND(J125&lt;=EOMONTH(AY$4,0),L125&gt;=AY$4),1,""))</f>
        <v/>
      </c>
      <c r="AZ125" s="26">
        <f>IF(OR(J125="",L125=""),"",IF(AND(J125&lt;=EOMONTH(AZ$4,0),L125&gt;=AZ$4),1,""))</f>
        <v/>
      </c>
      <c r="BA125" s="26">
        <f>IF(OR(J125="",L125=""),"",IF(AND(J125&lt;=EOMONTH(BA$4,0),L125&gt;=BA$4),1,""))</f>
        <v/>
      </c>
      <c r="BB125" s="26">
        <f>IF(OR(J125="",L125=""),"",IF(AND(J125&lt;=EOMONTH(BB$4,0),L125&gt;=BB$4),1,""))</f>
        <v/>
      </c>
    </row>
    <row r="126">
      <c r="A126" s="27" t="n"/>
      <c r="B126" s="28" t="n"/>
      <c r="C126" s="29" t="n"/>
      <c r="D126" s="30">
        <f>IF(E126="","","CWA-"&amp;MID(E126,5,4))</f>
        <v/>
      </c>
      <c r="E126" s="29" t="n"/>
      <c r="F126" s="31" t="n"/>
      <c r="G126" s="29" t="n"/>
      <c r="H126" s="28" t="n"/>
      <c r="I126" s="29" t="n"/>
      <c r="J126" s="32" t="n"/>
      <c r="K126" s="28" t="n"/>
      <c r="L126" s="33">
        <f>IF(OR(J126="",K126=""),"",J126+7*K126-1)</f>
        <v/>
      </c>
      <c r="M126" s="33">
        <f>IF(J126="","",J126-7*$E$3)</f>
        <v/>
      </c>
      <c r="N126" s="33">
        <f>IF(J126="","",J126-7*$H$3)</f>
        <v/>
      </c>
      <c r="O126" s="33">
        <f>IF(J126="","",J126-1*$K$3)</f>
        <v/>
      </c>
      <c r="P126" s="30">
        <f>IF(OR(E126="",I126="",I126="—"),IF(E126="","","OK"),IFERROR(IF(INDEX($L$6:$L$155,MATCH(I126,$E$6:$E$155,0))&gt;=J126,"Conflicto con predecesor","OK"),"Predecesor no encontrado"))</f>
        <v/>
      </c>
      <c r="Q126" s="29" t="n"/>
      <c r="R126" s="31" t="n"/>
      <c r="S126" s="26">
        <f>IF(OR(J126="",L126=""),"",IF(AND(J126&lt;=EOMONTH(S$4,0),L126&gt;=S$4),1,""))</f>
        <v/>
      </c>
      <c r="T126" s="26">
        <f>IF(OR(J126="",L126=""),"",IF(AND(J126&lt;=EOMONTH(T$4,0),L126&gt;=T$4),1,""))</f>
        <v/>
      </c>
      <c r="U126" s="26">
        <f>IF(OR(J126="",L126=""),"",IF(AND(J126&lt;=EOMONTH(U$4,0),L126&gt;=U$4),1,""))</f>
        <v/>
      </c>
      <c r="V126" s="26">
        <f>IF(OR(J126="",L126=""),"",IF(AND(J126&lt;=EOMONTH(V$4,0),L126&gt;=V$4),1,""))</f>
        <v/>
      </c>
      <c r="W126" s="26">
        <f>IF(OR(J126="",L126=""),"",IF(AND(J126&lt;=EOMONTH(W$4,0),L126&gt;=W$4),1,""))</f>
        <v/>
      </c>
      <c r="X126" s="26">
        <f>IF(OR(J126="",L126=""),"",IF(AND(J126&lt;=EOMONTH(X$4,0),L126&gt;=X$4),1,""))</f>
        <v/>
      </c>
      <c r="Y126" s="26">
        <f>IF(OR(J126="",L126=""),"",IF(AND(J126&lt;=EOMONTH(Y$4,0),L126&gt;=Y$4),1,""))</f>
        <v/>
      </c>
      <c r="Z126" s="26">
        <f>IF(OR(J126="",L126=""),"",IF(AND(J126&lt;=EOMONTH(Z$4,0),L126&gt;=Z$4),1,""))</f>
        <v/>
      </c>
      <c r="AA126" s="26">
        <f>IF(OR(J126="",L126=""),"",IF(AND(J126&lt;=EOMONTH(AA$4,0),L126&gt;=AA$4),1,""))</f>
        <v/>
      </c>
      <c r="AB126" s="26">
        <f>IF(OR(J126="",L126=""),"",IF(AND(J126&lt;=EOMONTH(AB$4,0),L126&gt;=AB$4),1,""))</f>
        <v/>
      </c>
      <c r="AC126" s="26">
        <f>IF(OR(J126="",L126=""),"",IF(AND(J126&lt;=EOMONTH(AC$4,0),L126&gt;=AC$4),1,""))</f>
        <v/>
      </c>
      <c r="AD126" s="26">
        <f>IF(OR(J126="",L126=""),"",IF(AND(J126&lt;=EOMONTH(AD$4,0),L126&gt;=AD$4),1,""))</f>
        <v/>
      </c>
      <c r="AE126" s="26">
        <f>IF(OR(J126="",L126=""),"",IF(AND(J126&lt;=EOMONTH(AE$4,0),L126&gt;=AE$4),1,""))</f>
        <v/>
      </c>
      <c r="AF126" s="26">
        <f>IF(OR(J126="",L126=""),"",IF(AND(J126&lt;=EOMONTH(AF$4,0),L126&gt;=AF$4),1,""))</f>
        <v/>
      </c>
      <c r="AG126" s="26">
        <f>IF(OR(J126="",L126=""),"",IF(AND(J126&lt;=EOMONTH(AG$4,0),L126&gt;=AG$4),1,""))</f>
        <v/>
      </c>
      <c r="AH126" s="26">
        <f>IF(OR(J126="",L126=""),"",IF(AND(J126&lt;=EOMONTH(AH$4,0),L126&gt;=AH$4),1,""))</f>
        <v/>
      </c>
      <c r="AI126" s="26">
        <f>IF(OR(J126="",L126=""),"",IF(AND(J126&lt;=EOMONTH(AI$4,0),L126&gt;=AI$4),1,""))</f>
        <v/>
      </c>
      <c r="AJ126" s="26">
        <f>IF(OR(J126="",L126=""),"",IF(AND(J126&lt;=EOMONTH(AJ$4,0),L126&gt;=AJ$4),1,""))</f>
        <v/>
      </c>
      <c r="AK126" s="26">
        <f>IF(OR(J126="",L126=""),"",IF(AND(J126&lt;=EOMONTH(AK$4,0),L126&gt;=AK$4),1,""))</f>
        <v/>
      </c>
      <c r="AL126" s="26">
        <f>IF(OR(J126="",L126=""),"",IF(AND(J126&lt;=EOMONTH(AL$4,0),L126&gt;=AL$4),1,""))</f>
        <v/>
      </c>
      <c r="AM126" s="26">
        <f>IF(OR(J126="",L126=""),"",IF(AND(J126&lt;=EOMONTH(AM$4,0),L126&gt;=AM$4),1,""))</f>
        <v/>
      </c>
      <c r="AN126" s="26">
        <f>IF(OR(J126="",L126=""),"",IF(AND(J126&lt;=EOMONTH(AN$4,0),L126&gt;=AN$4),1,""))</f>
        <v/>
      </c>
      <c r="AO126" s="26">
        <f>IF(OR(J126="",L126=""),"",IF(AND(J126&lt;=EOMONTH(AO$4,0),L126&gt;=AO$4),1,""))</f>
        <v/>
      </c>
      <c r="AP126" s="26">
        <f>IF(OR(J126="",L126=""),"",IF(AND(J126&lt;=EOMONTH(AP$4,0),L126&gt;=AP$4),1,""))</f>
        <v/>
      </c>
      <c r="AQ126" s="26">
        <f>IF(OR(J126="",L126=""),"",IF(AND(J126&lt;=EOMONTH(AQ$4,0),L126&gt;=AQ$4),1,""))</f>
        <v/>
      </c>
      <c r="AR126" s="26">
        <f>IF(OR(J126="",L126=""),"",IF(AND(J126&lt;=EOMONTH(AR$4,0),L126&gt;=AR$4),1,""))</f>
        <v/>
      </c>
      <c r="AS126" s="26">
        <f>IF(OR(J126="",L126=""),"",IF(AND(J126&lt;=EOMONTH(AS$4,0),L126&gt;=AS$4),1,""))</f>
        <v/>
      </c>
      <c r="AT126" s="26">
        <f>IF(OR(J126="",L126=""),"",IF(AND(J126&lt;=EOMONTH(AT$4,0),L126&gt;=AT$4),1,""))</f>
        <v/>
      </c>
      <c r="AU126" s="26">
        <f>IF(OR(J126="",L126=""),"",IF(AND(J126&lt;=EOMONTH(AU$4,0),L126&gt;=AU$4),1,""))</f>
        <v/>
      </c>
      <c r="AV126" s="26">
        <f>IF(OR(J126="",L126=""),"",IF(AND(J126&lt;=EOMONTH(AV$4,0),L126&gt;=AV$4),1,""))</f>
        <v/>
      </c>
      <c r="AW126" s="26">
        <f>IF(OR(J126="",L126=""),"",IF(AND(J126&lt;=EOMONTH(AW$4,0),L126&gt;=AW$4),1,""))</f>
        <v/>
      </c>
      <c r="AX126" s="26">
        <f>IF(OR(J126="",L126=""),"",IF(AND(J126&lt;=EOMONTH(AX$4,0),L126&gt;=AX$4),1,""))</f>
        <v/>
      </c>
      <c r="AY126" s="26">
        <f>IF(OR(J126="",L126=""),"",IF(AND(J126&lt;=EOMONTH(AY$4,0),L126&gt;=AY$4),1,""))</f>
        <v/>
      </c>
      <c r="AZ126" s="26">
        <f>IF(OR(J126="",L126=""),"",IF(AND(J126&lt;=EOMONTH(AZ$4,0),L126&gt;=AZ$4),1,""))</f>
        <v/>
      </c>
      <c r="BA126" s="26">
        <f>IF(OR(J126="",L126=""),"",IF(AND(J126&lt;=EOMONTH(BA$4,0),L126&gt;=BA$4),1,""))</f>
        <v/>
      </c>
      <c r="BB126" s="26">
        <f>IF(OR(J126="",L126=""),"",IF(AND(J126&lt;=EOMONTH(BB$4,0),L126&gt;=BB$4),1,""))</f>
        <v/>
      </c>
    </row>
    <row r="127">
      <c r="A127" s="27" t="n"/>
      <c r="B127" s="28" t="n"/>
      <c r="C127" s="29" t="n"/>
      <c r="D127" s="30">
        <f>IF(E127="","","CWA-"&amp;MID(E127,5,4))</f>
        <v/>
      </c>
      <c r="E127" s="29" t="n"/>
      <c r="F127" s="31" t="n"/>
      <c r="G127" s="29" t="n"/>
      <c r="H127" s="28" t="n"/>
      <c r="I127" s="29" t="n"/>
      <c r="J127" s="32" t="n"/>
      <c r="K127" s="28" t="n"/>
      <c r="L127" s="33">
        <f>IF(OR(J127="",K127=""),"",J127+7*K127-1)</f>
        <v/>
      </c>
      <c r="M127" s="33">
        <f>IF(J127="","",J127-7*$E$3)</f>
        <v/>
      </c>
      <c r="N127" s="33">
        <f>IF(J127="","",J127-7*$H$3)</f>
        <v/>
      </c>
      <c r="O127" s="33">
        <f>IF(J127="","",J127-1*$K$3)</f>
        <v/>
      </c>
      <c r="P127" s="30">
        <f>IF(OR(E127="",I127="",I127="—"),IF(E127="","","OK"),IFERROR(IF(INDEX($L$6:$L$155,MATCH(I127,$E$6:$E$155,0))&gt;=J127,"Conflicto con predecesor","OK"),"Predecesor no encontrado"))</f>
        <v/>
      </c>
      <c r="Q127" s="29" t="n"/>
      <c r="R127" s="31" t="n"/>
      <c r="S127" s="26">
        <f>IF(OR(J127="",L127=""),"",IF(AND(J127&lt;=EOMONTH(S$4,0),L127&gt;=S$4),1,""))</f>
        <v/>
      </c>
      <c r="T127" s="26">
        <f>IF(OR(J127="",L127=""),"",IF(AND(J127&lt;=EOMONTH(T$4,0),L127&gt;=T$4),1,""))</f>
        <v/>
      </c>
      <c r="U127" s="26">
        <f>IF(OR(J127="",L127=""),"",IF(AND(J127&lt;=EOMONTH(U$4,0),L127&gt;=U$4),1,""))</f>
        <v/>
      </c>
      <c r="V127" s="26">
        <f>IF(OR(J127="",L127=""),"",IF(AND(J127&lt;=EOMONTH(V$4,0),L127&gt;=V$4),1,""))</f>
        <v/>
      </c>
      <c r="W127" s="26">
        <f>IF(OR(J127="",L127=""),"",IF(AND(J127&lt;=EOMONTH(W$4,0),L127&gt;=W$4),1,""))</f>
        <v/>
      </c>
      <c r="X127" s="26">
        <f>IF(OR(J127="",L127=""),"",IF(AND(J127&lt;=EOMONTH(X$4,0),L127&gt;=X$4),1,""))</f>
        <v/>
      </c>
      <c r="Y127" s="26">
        <f>IF(OR(J127="",L127=""),"",IF(AND(J127&lt;=EOMONTH(Y$4,0),L127&gt;=Y$4),1,""))</f>
        <v/>
      </c>
      <c r="Z127" s="26">
        <f>IF(OR(J127="",L127=""),"",IF(AND(J127&lt;=EOMONTH(Z$4,0),L127&gt;=Z$4),1,""))</f>
        <v/>
      </c>
      <c r="AA127" s="26">
        <f>IF(OR(J127="",L127=""),"",IF(AND(J127&lt;=EOMONTH(AA$4,0),L127&gt;=AA$4),1,""))</f>
        <v/>
      </c>
      <c r="AB127" s="26">
        <f>IF(OR(J127="",L127=""),"",IF(AND(J127&lt;=EOMONTH(AB$4,0),L127&gt;=AB$4),1,""))</f>
        <v/>
      </c>
      <c r="AC127" s="26">
        <f>IF(OR(J127="",L127=""),"",IF(AND(J127&lt;=EOMONTH(AC$4,0),L127&gt;=AC$4),1,""))</f>
        <v/>
      </c>
      <c r="AD127" s="26">
        <f>IF(OR(J127="",L127=""),"",IF(AND(J127&lt;=EOMONTH(AD$4,0),L127&gt;=AD$4),1,""))</f>
        <v/>
      </c>
      <c r="AE127" s="26">
        <f>IF(OR(J127="",L127=""),"",IF(AND(J127&lt;=EOMONTH(AE$4,0),L127&gt;=AE$4),1,""))</f>
        <v/>
      </c>
      <c r="AF127" s="26">
        <f>IF(OR(J127="",L127=""),"",IF(AND(J127&lt;=EOMONTH(AF$4,0),L127&gt;=AF$4),1,""))</f>
        <v/>
      </c>
      <c r="AG127" s="26">
        <f>IF(OR(J127="",L127=""),"",IF(AND(J127&lt;=EOMONTH(AG$4,0),L127&gt;=AG$4),1,""))</f>
        <v/>
      </c>
      <c r="AH127" s="26">
        <f>IF(OR(J127="",L127=""),"",IF(AND(J127&lt;=EOMONTH(AH$4,0),L127&gt;=AH$4),1,""))</f>
        <v/>
      </c>
      <c r="AI127" s="26">
        <f>IF(OR(J127="",L127=""),"",IF(AND(J127&lt;=EOMONTH(AI$4,0),L127&gt;=AI$4),1,""))</f>
        <v/>
      </c>
      <c r="AJ127" s="26">
        <f>IF(OR(J127="",L127=""),"",IF(AND(J127&lt;=EOMONTH(AJ$4,0),L127&gt;=AJ$4),1,""))</f>
        <v/>
      </c>
      <c r="AK127" s="26">
        <f>IF(OR(J127="",L127=""),"",IF(AND(J127&lt;=EOMONTH(AK$4,0),L127&gt;=AK$4),1,""))</f>
        <v/>
      </c>
      <c r="AL127" s="26">
        <f>IF(OR(J127="",L127=""),"",IF(AND(J127&lt;=EOMONTH(AL$4,0),L127&gt;=AL$4),1,""))</f>
        <v/>
      </c>
      <c r="AM127" s="26">
        <f>IF(OR(J127="",L127=""),"",IF(AND(J127&lt;=EOMONTH(AM$4,0),L127&gt;=AM$4),1,""))</f>
        <v/>
      </c>
      <c r="AN127" s="26">
        <f>IF(OR(J127="",L127=""),"",IF(AND(J127&lt;=EOMONTH(AN$4,0),L127&gt;=AN$4),1,""))</f>
        <v/>
      </c>
      <c r="AO127" s="26">
        <f>IF(OR(J127="",L127=""),"",IF(AND(J127&lt;=EOMONTH(AO$4,0),L127&gt;=AO$4),1,""))</f>
        <v/>
      </c>
      <c r="AP127" s="26">
        <f>IF(OR(J127="",L127=""),"",IF(AND(J127&lt;=EOMONTH(AP$4,0),L127&gt;=AP$4),1,""))</f>
        <v/>
      </c>
      <c r="AQ127" s="26">
        <f>IF(OR(J127="",L127=""),"",IF(AND(J127&lt;=EOMONTH(AQ$4,0),L127&gt;=AQ$4),1,""))</f>
        <v/>
      </c>
      <c r="AR127" s="26">
        <f>IF(OR(J127="",L127=""),"",IF(AND(J127&lt;=EOMONTH(AR$4,0),L127&gt;=AR$4),1,""))</f>
        <v/>
      </c>
      <c r="AS127" s="26">
        <f>IF(OR(J127="",L127=""),"",IF(AND(J127&lt;=EOMONTH(AS$4,0),L127&gt;=AS$4),1,""))</f>
        <v/>
      </c>
      <c r="AT127" s="26">
        <f>IF(OR(J127="",L127=""),"",IF(AND(J127&lt;=EOMONTH(AT$4,0),L127&gt;=AT$4),1,""))</f>
        <v/>
      </c>
      <c r="AU127" s="26">
        <f>IF(OR(J127="",L127=""),"",IF(AND(J127&lt;=EOMONTH(AU$4,0),L127&gt;=AU$4),1,""))</f>
        <v/>
      </c>
      <c r="AV127" s="26">
        <f>IF(OR(J127="",L127=""),"",IF(AND(J127&lt;=EOMONTH(AV$4,0),L127&gt;=AV$4),1,""))</f>
        <v/>
      </c>
      <c r="AW127" s="26">
        <f>IF(OR(J127="",L127=""),"",IF(AND(J127&lt;=EOMONTH(AW$4,0),L127&gt;=AW$4),1,""))</f>
        <v/>
      </c>
      <c r="AX127" s="26">
        <f>IF(OR(J127="",L127=""),"",IF(AND(J127&lt;=EOMONTH(AX$4,0),L127&gt;=AX$4),1,""))</f>
        <v/>
      </c>
      <c r="AY127" s="26">
        <f>IF(OR(J127="",L127=""),"",IF(AND(J127&lt;=EOMONTH(AY$4,0),L127&gt;=AY$4),1,""))</f>
        <v/>
      </c>
      <c r="AZ127" s="26">
        <f>IF(OR(J127="",L127=""),"",IF(AND(J127&lt;=EOMONTH(AZ$4,0),L127&gt;=AZ$4),1,""))</f>
        <v/>
      </c>
      <c r="BA127" s="26">
        <f>IF(OR(J127="",L127=""),"",IF(AND(J127&lt;=EOMONTH(BA$4,0),L127&gt;=BA$4),1,""))</f>
        <v/>
      </c>
      <c r="BB127" s="26">
        <f>IF(OR(J127="",L127=""),"",IF(AND(J127&lt;=EOMONTH(BB$4,0),L127&gt;=BB$4),1,""))</f>
        <v/>
      </c>
    </row>
    <row r="128">
      <c r="A128" s="27" t="n"/>
      <c r="B128" s="28" t="n"/>
      <c r="C128" s="29" t="n"/>
      <c r="D128" s="30">
        <f>IF(E128="","","CWA-"&amp;MID(E128,5,4))</f>
        <v/>
      </c>
      <c r="E128" s="29" t="n"/>
      <c r="F128" s="31" t="n"/>
      <c r="G128" s="29" t="n"/>
      <c r="H128" s="28" t="n"/>
      <c r="I128" s="29" t="n"/>
      <c r="J128" s="32" t="n"/>
      <c r="K128" s="28" t="n"/>
      <c r="L128" s="33">
        <f>IF(OR(J128="",K128=""),"",J128+7*K128-1)</f>
        <v/>
      </c>
      <c r="M128" s="33">
        <f>IF(J128="","",J128-7*$E$3)</f>
        <v/>
      </c>
      <c r="N128" s="33">
        <f>IF(J128="","",J128-7*$H$3)</f>
        <v/>
      </c>
      <c r="O128" s="33">
        <f>IF(J128="","",J128-1*$K$3)</f>
        <v/>
      </c>
      <c r="P128" s="30">
        <f>IF(OR(E128="",I128="",I128="—"),IF(E128="","","OK"),IFERROR(IF(INDEX($L$6:$L$155,MATCH(I128,$E$6:$E$155,0))&gt;=J128,"Conflicto con predecesor","OK"),"Predecesor no encontrado"))</f>
        <v/>
      </c>
      <c r="Q128" s="29" t="n"/>
      <c r="R128" s="31" t="n"/>
      <c r="S128" s="26">
        <f>IF(OR(J128="",L128=""),"",IF(AND(J128&lt;=EOMONTH(S$4,0),L128&gt;=S$4),1,""))</f>
        <v/>
      </c>
      <c r="T128" s="26">
        <f>IF(OR(J128="",L128=""),"",IF(AND(J128&lt;=EOMONTH(T$4,0),L128&gt;=T$4),1,""))</f>
        <v/>
      </c>
      <c r="U128" s="26">
        <f>IF(OR(J128="",L128=""),"",IF(AND(J128&lt;=EOMONTH(U$4,0),L128&gt;=U$4),1,""))</f>
        <v/>
      </c>
      <c r="V128" s="26">
        <f>IF(OR(J128="",L128=""),"",IF(AND(J128&lt;=EOMONTH(V$4,0),L128&gt;=V$4),1,""))</f>
        <v/>
      </c>
      <c r="W128" s="26">
        <f>IF(OR(J128="",L128=""),"",IF(AND(J128&lt;=EOMONTH(W$4,0),L128&gt;=W$4),1,""))</f>
        <v/>
      </c>
      <c r="X128" s="26">
        <f>IF(OR(J128="",L128=""),"",IF(AND(J128&lt;=EOMONTH(X$4,0),L128&gt;=X$4),1,""))</f>
        <v/>
      </c>
      <c r="Y128" s="26">
        <f>IF(OR(J128="",L128=""),"",IF(AND(J128&lt;=EOMONTH(Y$4,0),L128&gt;=Y$4),1,""))</f>
        <v/>
      </c>
      <c r="Z128" s="26">
        <f>IF(OR(J128="",L128=""),"",IF(AND(J128&lt;=EOMONTH(Z$4,0),L128&gt;=Z$4),1,""))</f>
        <v/>
      </c>
      <c r="AA128" s="26">
        <f>IF(OR(J128="",L128=""),"",IF(AND(J128&lt;=EOMONTH(AA$4,0),L128&gt;=AA$4),1,""))</f>
        <v/>
      </c>
      <c r="AB128" s="26">
        <f>IF(OR(J128="",L128=""),"",IF(AND(J128&lt;=EOMONTH(AB$4,0),L128&gt;=AB$4),1,""))</f>
        <v/>
      </c>
      <c r="AC128" s="26">
        <f>IF(OR(J128="",L128=""),"",IF(AND(J128&lt;=EOMONTH(AC$4,0),L128&gt;=AC$4),1,""))</f>
        <v/>
      </c>
      <c r="AD128" s="26">
        <f>IF(OR(J128="",L128=""),"",IF(AND(J128&lt;=EOMONTH(AD$4,0),L128&gt;=AD$4),1,""))</f>
        <v/>
      </c>
      <c r="AE128" s="26">
        <f>IF(OR(J128="",L128=""),"",IF(AND(J128&lt;=EOMONTH(AE$4,0),L128&gt;=AE$4),1,""))</f>
        <v/>
      </c>
      <c r="AF128" s="26">
        <f>IF(OR(J128="",L128=""),"",IF(AND(J128&lt;=EOMONTH(AF$4,0),L128&gt;=AF$4),1,""))</f>
        <v/>
      </c>
      <c r="AG128" s="26">
        <f>IF(OR(J128="",L128=""),"",IF(AND(J128&lt;=EOMONTH(AG$4,0),L128&gt;=AG$4),1,""))</f>
        <v/>
      </c>
      <c r="AH128" s="26">
        <f>IF(OR(J128="",L128=""),"",IF(AND(J128&lt;=EOMONTH(AH$4,0),L128&gt;=AH$4),1,""))</f>
        <v/>
      </c>
      <c r="AI128" s="26">
        <f>IF(OR(J128="",L128=""),"",IF(AND(J128&lt;=EOMONTH(AI$4,0),L128&gt;=AI$4),1,""))</f>
        <v/>
      </c>
      <c r="AJ128" s="26">
        <f>IF(OR(J128="",L128=""),"",IF(AND(J128&lt;=EOMONTH(AJ$4,0),L128&gt;=AJ$4),1,""))</f>
        <v/>
      </c>
      <c r="AK128" s="26">
        <f>IF(OR(J128="",L128=""),"",IF(AND(J128&lt;=EOMONTH(AK$4,0),L128&gt;=AK$4),1,""))</f>
        <v/>
      </c>
      <c r="AL128" s="26">
        <f>IF(OR(J128="",L128=""),"",IF(AND(J128&lt;=EOMONTH(AL$4,0),L128&gt;=AL$4),1,""))</f>
        <v/>
      </c>
      <c r="AM128" s="26">
        <f>IF(OR(J128="",L128=""),"",IF(AND(J128&lt;=EOMONTH(AM$4,0),L128&gt;=AM$4),1,""))</f>
        <v/>
      </c>
      <c r="AN128" s="26">
        <f>IF(OR(J128="",L128=""),"",IF(AND(J128&lt;=EOMONTH(AN$4,0),L128&gt;=AN$4),1,""))</f>
        <v/>
      </c>
      <c r="AO128" s="26">
        <f>IF(OR(J128="",L128=""),"",IF(AND(J128&lt;=EOMONTH(AO$4,0),L128&gt;=AO$4),1,""))</f>
        <v/>
      </c>
      <c r="AP128" s="26">
        <f>IF(OR(J128="",L128=""),"",IF(AND(J128&lt;=EOMONTH(AP$4,0),L128&gt;=AP$4),1,""))</f>
        <v/>
      </c>
      <c r="AQ128" s="26">
        <f>IF(OR(J128="",L128=""),"",IF(AND(J128&lt;=EOMONTH(AQ$4,0),L128&gt;=AQ$4),1,""))</f>
        <v/>
      </c>
      <c r="AR128" s="26">
        <f>IF(OR(J128="",L128=""),"",IF(AND(J128&lt;=EOMONTH(AR$4,0),L128&gt;=AR$4),1,""))</f>
        <v/>
      </c>
      <c r="AS128" s="26">
        <f>IF(OR(J128="",L128=""),"",IF(AND(J128&lt;=EOMONTH(AS$4,0),L128&gt;=AS$4),1,""))</f>
        <v/>
      </c>
      <c r="AT128" s="26">
        <f>IF(OR(J128="",L128=""),"",IF(AND(J128&lt;=EOMONTH(AT$4,0),L128&gt;=AT$4),1,""))</f>
        <v/>
      </c>
      <c r="AU128" s="26">
        <f>IF(OR(J128="",L128=""),"",IF(AND(J128&lt;=EOMONTH(AU$4,0),L128&gt;=AU$4),1,""))</f>
        <v/>
      </c>
      <c r="AV128" s="26">
        <f>IF(OR(J128="",L128=""),"",IF(AND(J128&lt;=EOMONTH(AV$4,0),L128&gt;=AV$4),1,""))</f>
        <v/>
      </c>
      <c r="AW128" s="26">
        <f>IF(OR(J128="",L128=""),"",IF(AND(J128&lt;=EOMONTH(AW$4,0),L128&gt;=AW$4),1,""))</f>
        <v/>
      </c>
      <c r="AX128" s="26">
        <f>IF(OR(J128="",L128=""),"",IF(AND(J128&lt;=EOMONTH(AX$4,0),L128&gt;=AX$4),1,""))</f>
        <v/>
      </c>
      <c r="AY128" s="26">
        <f>IF(OR(J128="",L128=""),"",IF(AND(J128&lt;=EOMONTH(AY$4,0),L128&gt;=AY$4),1,""))</f>
        <v/>
      </c>
      <c r="AZ128" s="26">
        <f>IF(OR(J128="",L128=""),"",IF(AND(J128&lt;=EOMONTH(AZ$4,0),L128&gt;=AZ$4),1,""))</f>
        <v/>
      </c>
      <c r="BA128" s="26">
        <f>IF(OR(J128="",L128=""),"",IF(AND(J128&lt;=EOMONTH(BA$4,0),L128&gt;=BA$4),1,""))</f>
        <v/>
      </c>
      <c r="BB128" s="26">
        <f>IF(OR(J128="",L128=""),"",IF(AND(J128&lt;=EOMONTH(BB$4,0),L128&gt;=BB$4),1,""))</f>
        <v/>
      </c>
    </row>
    <row r="129">
      <c r="A129" s="27" t="n"/>
      <c r="B129" s="28" t="n"/>
      <c r="C129" s="29" t="n"/>
      <c r="D129" s="30">
        <f>IF(E129="","","CWA-"&amp;MID(E129,5,4))</f>
        <v/>
      </c>
      <c r="E129" s="29" t="n"/>
      <c r="F129" s="31" t="n"/>
      <c r="G129" s="29" t="n"/>
      <c r="H129" s="28" t="n"/>
      <c r="I129" s="29" t="n"/>
      <c r="J129" s="32" t="n"/>
      <c r="K129" s="28" t="n"/>
      <c r="L129" s="33">
        <f>IF(OR(J129="",K129=""),"",J129+7*K129-1)</f>
        <v/>
      </c>
      <c r="M129" s="33">
        <f>IF(J129="","",J129-7*$E$3)</f>
        <v/>
      </c>
      <c r="N129" s="33">
        <f>IF(J129="","",J129-7*$H$3)</f>
        <v/>
      </c>
      <c r="O129" s="33">
        <f>IF(J129="","",J129-1*$K$3)</f>
        <v/>
      </c>
      <c r="P129" s="30">
        <f>IF(OR(E129="",I129="",I129="—"),IF(E129="","","OK"),IFERROR(IF(INDEX($L$6:$L$155,MATCH(I129,$E$6:$E$155,0))&gt;=J129,"Conflicto con predecesor","OK"),"Predecesor no encontrado"))</f>
        <v/>
      </c>
      <c r="Q129" s="29" t="n"/>
      <c r="R129" s="31" t="n"/>
      <c r="S129" s="26">
        <f>IF(OR(J129="",L129=""),"",IF(AND(J129&lt;=EOMONTH(S$4,0),L129&gt;=S$4),1,""))</f>
        <v/>
      </c>
      <c r="T129" s="26">
        <f>IF(OR(J129="",L129=""),"",IF(AND(J129&lt;=EOMONTH(T$4,0),L129&gt;=T$4),1,""))</f>
        <v/>
      </c>
      <c r="U129" s="26">
        <f>IF(OR(J129="",L129=""),"",IF(AND(J129&lt;=EOMONTH(U$4,0),L129&gt;=U$4),1,""))</f>
        <v/>
      </c>
      <c r="V129" s="26">
        <f>IF(OR(J129="",L129=""),"",IF(AND(J129&lt;=EOMONTH(V$4,0),L129&gt;=V$4),1,""))</f>
        <v/>
      </c>
      <c r="W129" s="26">
        <f>IF(OR(J129="",L129=""),"",IF(AND(J129&lt;=EOMONTH(W$4,0),L129&gt;=W$4),1,""))</f>
        <v/>
      </c>
      <c r="X129" s="26">
        <f>IF(OR(J129="",L129=""),"",IF(AND(J129&lt;=EOMONTH(X$4,0),L129&gt;=X$4),1,""))</f>
        <v/>
      </c>
      <c r="Y129" s="26">
        <f>IF(OR(J129="",L129=""),"",IF(AND(J129&lt;=EOMONTH(Y$4,0),L129&gt;=Y$4),1,""))</f>
        <v/>
      </c>
      <c r="Z129" s="26">
        <f>IF(OR(J129="",L129=""),"",IF(AND(J129&lt;=EOMONTH(Z$4,0),L129&gt;=Z$4),1,""))</f>
        <v/>
      </c>
      <c r="AA129" s="26">
        <f>IF(OR(J129="",L129=""),"",IF(AND(J129&lt;=EOMONTH(AA$4,0),L129&gt;=AA$4),1,""))</f>
        <v/>
      </c>
      <c r="AB129" s="26">
        <f>IF(OR(J129="",L129=""),"",IF(AND(J129&lt;=EOMONTH(AB$4,0),L129&gt;=AB$4),1,""))</f>
        <v/>
      </c>
      <c r="AC129" s="26">
        <f>IF(OR(J129="",L129=""),"",IF(AND(J129&lt;=EOMONTH(AC$4,0),L129&gt;=AC$4),1,""))</f>
        <v/>
      </c>
      <c r="AD129" s="26">
        <f>IF(OR(J129="",L129=""),"",IF(AND(J129&lt;=EOMONTH(AD$4,0),L129&gt;=AD$4),1,""))</f>
        <v/>
      </c>
      <c r="AE129" s="26">
        <f>IF(OR(J129="",L129=""),"",IF(AND(J129&lt;=EOMONTH(AE$4,0),L129&gt;=AE$4),1,""))</f>
        <v/>
      </c>
      <c r="AF129" s="26">
        <f>IF(OR(J129="",L129=""),"",IF(AND(J129&lt;=EOMONTH(AF$4,0),L129&gt;=AF$4),1,""))</f>
        <v/>
      </c>
      <c r="AG129" s="26">
        <f>IF(OR(J129="",L129=""),"",IF(AND(J129&lt;=EOMONTH(AG$4,0),L129&gt;=AG$4),1,""))</f>
        <v/>
      </c>
      <c r="AH129" s="26">
        <f>IF(OR(J129="",L129=""),"",IF(AND(J129&lt;=EOMONTH(AH$4,0),L129&gt;=AH$4),1,""))</f>
        <v/>
      </c>
      <c r="AI129" s="26">
        <f>IF(OR(J129="",L129=""),"",IF(AND(J129&lt;=EOMONTH(AI$4,0),L129&gt;=AI$4),1,""))</f>
        <v/>
      </c>
      <c r="AJ129" s="26">
        <f>IF(OR(J129="",L129=""),"",IF(AND(J129&lt;=EOMONTH(AJ$4,0),L129&gt;=AJ$4),1,""))</f>
        <v/>
      </c>
      <c r="AK129" s="26">
        <f>IF(OR(J129="",L129=""),"",IF(AND(J129&lt;=EOMONTH(AK$4,0),L129&gt;=AK$4),1,""))</f>
        <v/>
      </c>
      <c r="AL129" s="26">
        <f>IF(OR(J129="",L129=""),"",IF(AND(J129&lt;=EOMONTH(AL$4,0),L129&gt;=AL$4),1,""))</f>
        <v/>
      </c>
      <c r="AM129" s="26">
        <f>IF(OR(J129="",L129=""),"",IF(AND(J129&lt;=EOMONTH(AM$4,0),L129&gt;=AM$4),1,""))</f>
        <v/>
      </c>
      <c r="AN129" s="26">
        <f>IF(OR(J129="",L129=""),"",IF(AND(J129&lt;=EOMONTH(AN$4,0),L129&gt;=AN$4),1,""))</f>
        <v/>
      </c>
      <c r="AO129" s="26">
        <f>IF(OR(J129="",L129=""),"",IF(AND(J129&lt;=EOMONTH(AO$4,0),L129&gt;=AO$4),1,""))</f>
        <v/>
      </c>
      <c r="AP129" s="26">
        <f>IF(OR(J129="",L129=""),"",IF(AND(J129&lt;=EOMONTH(AP$4,0),L129&gt;=AP$4),1,""))</f>
        <v/>
      </c>
      <c r="AQ129" s="26">
        <f>IF(OR(J129="",L129=""),"",IF(AND(J129&lt;=EOMONTH(AQ$4,0),L129&gt;=AQ$4),1,""))</f>
        <v/>
      </c>
      <c r="AR129" s="26">
        <f>IF(OR(J129="",L129=""),"",IF(AND(J129&lt;=EOMONTH(AR$4,0),L129&gt;=AR$4),1,""))</f>
        <v/>
      </c>
      <c r="AS129" s="26">
        <f>IF(OR(J129="",L129=""),"",IF(AND(J129&lt;=EOMONTH(AS$4,0),L129&gt;=AS$4),1,""))</f>
        <v/>
      </c>
      <c r="AT129" s="26">
        <f>IF(OR(J129="",L129=""),"",IF(AND(J129&lt;=EOMONTH(AT$4,0),L129&gt;=AT$4),1,""))</f>
        <v/>
      </c>
      <c r="AU129" s="26">
        <f>IF(OR(J129="",L129=""),"",IF(AND(J129&lt;=EOMONTH(AU$4,0),L129&gt;=AU$4),1,""))</f>
        <v/>
      </c>
      <c r="AV129" s="26">
        <f>IF(OR(J129="",L129=""),"",IF(AND(J129&lt;=EOMONTH(AV$4,0),L129&gt;=AV$4),1,""))</f>
        <v/>
      </c>
      <c r="AW129" s="26">
        <f>IF(OR(J129="",L129=""),"",IF(AND(J129&lt;=EOMONTH(AW$4,0),L129&gt;=AW$4),1,""))</f>
        <v/>
      </c>
      <c r="AX129" s="26">
        <f>IF(OR(J129="",L129=""),"",IF(AND(J129&lt;=EOMONTH(AX$4,0),L129&gt;=AX$4),1,""))</f>
        <v/>
      </c>
      <c r="AY129" s="26">
        <f>IF(OR(J129="",L129=""),"",IF(AND(J129&lt;=EOMONTH(AY$4,0),L129&gt;=AY$4),1,""))</f>
        <v/>
      </c>
      <c r="AZ129" s="26">
        <f>IF(OR(J129="",L129=""),"",IF(AND(J129&lt;=EOMONTH(AZ$4,0),L129&gt;=AZ$4),1,""))</f>
        <v/>
      </c>
      <c r="BA129" s="26">
        <f>IF(OR(J129="",L129=""),"",IF(AND(J129&lt;=EOMONTH(BA$4,0),L129&gt;=BA$4),1,""))</f>
        <v/>
      </c>
      <c r="BB129" s="26">
        <f>IF(OR(J129="",L129=""),"",IF(AND(J129&lt;=EOMONTH(BB$4,0),L129&gt;=BB$4),1,""))</f>
        <v/>
      </c>
    </row>
    <row r="130">
      <c r="A130" s="27" t="n"/>
      <c r="B130" s="28" t="n"/>
      <c r="C130" s="29" t="n"/>
      <c r="D130" s="30">
        <f>IF(E130="","","CWA-"&amp;MID(E130,5,4))</f>
        <v/>
      </c>
      <c r="E130" s="29" t="n"/>
      <c r="F130" s="31" t="n"/>
      <c r="G130" s="29" t="n"/>
      <c r="H130" s="28" t="n"/>
      <c r="I130" s="29" t="n"/>
      <c r="J130" s="32" t="n"/>
      <c r="K130" s="28" t="n"/>
      <c r="L130" s="33">
        <f>IF(OR(J130="",K130=""),"",J130+7*K130-1)</f>
        <v/>
      </c>
      <c r="M130" s="33">
        <f>IF(J130="","",J130-7*$E$3)</f>
        <v/>
      </c>
      <c r="N130" s="33">
        <f>IF(J130="","",J130-7*$H$3)</f>
        <v/>
      </c>
      <c r="O130" s="33">
        <f>IF(J130="","",J130-1*$K$3)</f>
        <v/>
      </c>
      <c r="P130" s="30">
        <f>IF(OR(E130="",I130="",I130="—"),IF(E130="","","OK"),IFERROR(IF(INDEX($L$6:$L$155,MATCH(I130,$E$6:$E$155,0))&gt;=J130,"Conflicto con predecesor","OK"),"Predecesor no encontrado"))</f>
        <v/>
      </c>
      <c r="Q130" s="29" t="n"/>
      <c r="R130" s="31" t="n"/>
      <c r="S130" s="26">
        <f>IF(OR(J130="",L130=""),"",IF(AND(J130&lt;=EOMONTH(S$4,0),L130&gt;=S$4),1,""))</f>
        <v/>
      </c>
      <c r="T130" s="26">
        <f>IF(OR(J130="",L130=""),"",IF(AND(J130&lt;=EOMONTH(T$4,0),L130&gt;=T$4),1,""))</f>
        <v/>
      </c>
      <c r="U130" s="26">
        <f>IF(OR(J130="",L130=""),"",IF(AND(J130&lt;=EOMONTH(U$4,0),L130&gt;=U$4),1,""))</f>
        <v/>
      </c>
      <c r="V130" s="26">
        <f>IF(OR(J130="",L130=""),"",IF(AND(J130&lt;=EOMONTH(V$4,0),L130&gt;=V$4),1,""))</f>
        <v/>
      </c>
      <c r="W130" s="26">
        <f>IF(OR(J130="",L130=""),"",IF(AND(J130&lt;=EOMONTH(W$4,0),L130&gt;=W$4),1,""))</f>
        <v/>
      </c>
      <c r="X130" s="26">
        <f>IF(OR(J130="",L130=""),"",IF(AND(J130&lt;=EOMONTH(X$4,0),L130&gt;=X$4),1,""))</f>
        <v/>
      </c>
      <c r="Y130" s="26">
        <f>IF(OR(J130="",L130=""),"",IF(AND(J130&lt;=EOMONTH(Y$4,0),L130&gt;=Y$4),1,""))</f>
        <v/>
      </c>
      <c r="Z130" s="26">
        <f>IF(OR(J130="",L130=""),"",IF(AND(J130&lt;=EOMONTH(Z$4,0),L130&gt;=Z$4),1,""))</f>
        <v/>
      </c>
      <c r="AA130" s="26">
        <f>IF(OR(J130="",L130=""),"",IF(AND(J130&lt;=EOMONTH(AA$4,0),L130&gt;=AA$4),1,""))</f>
        <v/>
      </c>
      <c r="AB130" s="26">
        <f>IF(OR(J130="",L130=""),"",IF(AND(J130&lt;=EOMONTH(AB$4,0),L130&gt;=AB$4),1,""))</f>
        <v/>
      </c>
      <c r="AC130" s="26">
        <f>IF(OR(J130="",L130=""),"",IF(AND(J130&lt;=EOMONTH(AC$4,0),L130&gt;=AC$4),1,""))</f>
        <v/>
      </c>
      <c r="AD130" s="26">
        <f>IF(OR(J130="",L130=""),"",IF(AND(J130&lt;=EOMONTH(AD$4,0),L130&gt;=AD$4),1,""))</f>
        <v/>
      </c>
      <c r="AE130" s="26">
        <f>IF(OR(J130="",L130=""),"",IF(AND(J130&lt;=EOMONTH(AE$4,0),L130&gt;=AE$4),1,""))</f>
        <v/>
      </c>
      <c r="AF130" s="26">
        <f>IF(OR(J130="",L130=""),"",IF(AND(J130&lt;=EOMONTH(AF$4,0),L130&gt;=AF$4),1,""))</f>
        <v/>
      </c>
      <c r="AG130" s="26">
        <f>IF(OR(J130="",L130=""),"",IF(AND(J130&lt;=EOMONTH(AG$4,0),L130&gt;=AG$4),1,""))</f>
        <v/>
      </c>
      <c r="AH130" s="26">
        <f>IF(OR(J130="",L130=""),"",IF(AND(J130&lt;=EOMONTH(AH$4,0),L130&gt;=AH$4),1,""))</f>
        <v/>
      </c>
      <c r="AI130" s="26">
        <f>IF(OR(J130="",L130=""),"",IF(AND(J130&lt;=EOMONTH(AI$4,0),L130&gt;=AI$4),1,""))</f>
        <v/>
      </c>
      <c r="AJ130" s="26">
        <f>IF(OR(J130="",L130=""),"",IF(AND(J130&lt;=EOMONTH(AJ$4,0),L130&gt;=AJ$4),1,""))</f>
        <v/>
      </c>
      <c r="AK130" s="26">
        <f>IF(OR(J130="",L130=""),"",IF(AND(J130&lt;=EOMONTH(AK$4,0),L130&gt;=AK$4),1,""))</f>
        <v/>
      </c>
      <c r="AL130" s="26">
        <f>IF(OR(J130="",L130=""),"",IF(AND(J130&lt;=EOMONTH(AL$4,0),L130&gt;=AL$4),1,""))</f>
        <v/>
      </c>
      <c r="AM130" s="26">
        <f>IF(OR(J130="",L130=""),"",IF(AND(J130&lt;=EOMONTH(AM$4,0),L130&gt;=AM$4),1,""))</f>
        <v/>
      </c>
      <c r="AN130" s="26">
        <f>IF(OR(J130="",L130=""),"",IF(AND(J130&lt;=EOMONTH(AN$4,0),L130&gt;=AN$4),1,""))</f>
        <v/>
      </c>
      <c r="AO130" s="26">
        <f>IF(OR(J130="",L130=""),"",IF(AND(J130&lt;=EOMONTH(AO$4,0),L130&gt;=AO$4),1,""))</f>
        <v/>
      </c>
      <c r="AP130" s="26">
        <f>IF(OR(J130="",L130=""),"",IF(AND(J130&lt;=EOMONTH(AP$4,0),L130&gt;=AP$4),1,""))</f>
        <v/>
      </c>
      <c r="AQ130" s="26">
        <f>IF(OR(J130="",L130=""),"",IF(AND(J130&lt;=EOMONTH(AQ$4,0),L130&gt;=AQ$4),1,""))</f>
        <v/>
      </c>
      <c r="AR130" s="26">
        <f>IF(OR(J130="",L130=""),"",IF(AND(J130&lt;=EOMONTH(AR$4,0),L130&gt;=AR$4),1,""))</f>
        <v/>
      </c>
      <c r="AS130" s="26">
        <f>IF(OR(J130="",L130=""),"",IF(AND(J130&lt;=EOMONTH(AS$4,0),L130&gt;=AS$4),1,""))</f>
        <v/>
      </c>
      <c r="AT130" s="26">
        <f>IF(OR(J130="",L130=""),"",IF(AND(J130&lt;=EOMONTH(AT$4,0),L130&gt;=AT$4),1,""))</f>
        <v/>
      </c>
      <c r="AU130" s="26">
        <f>IF(OR(J130="",L130=""),"",IF(AND(J130&lt;=EOMONTH(AU$4,0),L130&gt;=AU$4),1,""))</f>
        <v/>
      </c>
      <c r="AV130" s="26">
        <f>IF(OR(J130="",L130=""),"",IF(AND(J130&lt;=EOMONTH(AV$4,0),L130&gt;=AV$4),1,""))</f>
        <v/>
      </c>
      <c r="AW130" s="26">
        <f>IF(OR(J130="",L130=""),"",IF(AND(J130&lt;=EOMONTH(AW$4,0),L130&gt;=AW$4),1,""))</f>
        <v/>
      </c>
      <c r="AX130" s="26">
        <f>IF(OR(J130="",L130=""),"",IF(AND(J130&lt;=EOMONTH(AX$4,0),L130&gt;=AX$4),1,""))</f>
        <v/>
      </c>
      <c r="AY130" s="26">
        <f>IF(OR(J130="",L130=""),"",IF(AND(J130&lt;=EOMONTH(AY$4,0),L130&gt;=AY$4),1,""))</f>
        <v/>
      </c>
      <c r="AZ130" s="26">
        <f>IF(OR(J130="",L130=""),"",IF(AND(J130&lt;=EOMONTH(AZ$4,0),L130&gt;=AZ$4),1,""))</f>
        <v/>
      </c>
      <c r="BA130" s="26">
        <f>IF(OR(J130="",L130=""),"",IF(AND(J130&lt;=EOMONTH(BA$4,0),L130&gt;=BA$4),1,""))</f>
        <v/>
      </c>
      <c r="BB130" s="26">
        <f>IF(OR(J130="",L130=""),"",IF(AND(J130&lt;=EOMONTH(BB$4,0),L130&gt;=BB$4),1,""))</f>
        <v/>
      </c>
    </row>
    <row r="131">
      <c r="A131" s="27" t="n"/>
      <c r="B131" s="28" t="n"/>
      <c r="C131" s="29" t="n"/>
      <c r="D131" s="30">
        <f>IF(E131="","","CWA-"&amp;MID(E131,5,4))</f>
        <v/>
      </c>
      <c r="E131" s="29" t="n"/>
      <c r="F131" s="31" t="n"/>
      <c r="G131" s="29" t="n"/>
      <c r="H131" s="28" t="n"/>
      <c r="I131" s="29" t="n"/>
      <c r="J131" s="32" t="n"/>
      <c r="K131" s="28" t="n"/>
      <c r="L131" s="33">
        <f>IF(OR(J131="",K131=""),"",J131+7*K131-1)</f>
        <v/>
      </c>
      <c r="M131" s="33">
        <f>IF(J131="","",J131-7*$E$3)</f>
        <v/>
      </c>
      <c r="N131" s="33">
        <f>IF(J131="","",J131-7*$H$3)</f>
        <v/>
      </c>
      <c r="O131" s="33">
        <f>IF(J131="","",J131-1*$K$3)</f>
        <v/>
      </c>
      <c r="P131" s="30">
        <f>IF(OR(E131="",I131="",I131="—"),IF(E131="","","OK"),IFERROR(IF(INDEX($L$6:$L$155,MATCH(I131,$E$6:$E$155,0))&gt;=J131,"Conflicto con predecesor","OK"),"Predecesor no encontrado"))</f>
        <v/>
      </c>
      <c r="Q131" s="29" t="n"/>
      <c r="R131" s="31" t="n"/>
      <c r="S131" s="26">
        <f>IF(OR(J131="",L131=""),"",IF(AND(J131&lt;=EOMONTH(S$4,0),L131&gt;=S$4),1,""))</f>
        <v/>
      </c>
      <c r="T131" s="26">
        <f>IF(OR(J131="",L131=""),"",IF(AND(J131&lt;=EOMONTH(T$4,0),L131&gt;=T$4),1,""))</f>
        <v/>
      </c>
      <c r="U131" s="26">
        <f>IF(OR(J131="",L131=""),"",IF(AND(J131&lt;=EOMONTH(U$4,0),L131&gt;=U$4),1,""))</f>
        <v/>
      </c>
      <c r="V131" s="26">
        <f>IF(OR(J131="",L131=""),"",IF(AND(J131&lt;=EOMONTH(V$4,0),L131&gt;=V$4),1,""))</f>
        <v/>
      </c>
      <c r="W131" s="26">
        <f>IF(OR(J131="",L131=""),"",IF(AND(J131&lt;=EOMONTH(W$4,0),L131&gt;=W$4),1,""))</f>
        <v/>
      </c>
      <c r="X131" s="26">
        <f>IF(OR(J131="",L131=""),"",IF(AND(J131&lt;=EOMONTH(X$4,0),L131&gt;=X$4),1,""))</f>
        <v/>
      </c>
      <c r="Y131" s="26">
        <f>IF(OR(J131="",L131=""),"",IF(AND(J131&lt;=EOMONTH(Y$4,0),L131&gt;=Y$4),1,""))</f>
        <v/>
      </c>
      <c r="Z131" s="26">
        <f>IF(OR(J131="",L131=""),"",IF(AND(J131&lt;=EOMONTH(Z$4,0),L131&gt;=Z$4),1,""))</f>
        <v/>
      </c>
      <c r="AA131" s="26">
        <f>IF(OR(J131="",L131=""),"",IF(AND(J131&lt;=EOMONTH(AA$4,0),L131&gt;=AA$4),1,""))</f>
        <v/>
      </c>
      <c r="AB131" s="26">
        <f>IF(OR(J131="",L131=""),"",IF(AND(J131&lt;=EOMONTH(AB$4,0),L131&gt;=AB$4),1,""))</f>
        <v/>
      </c>
      <c r="AC131" s="26">
        <f>IF(OR(J131="",L131=""),"",IF(AND(J131&lt;=EOMONTH(AC$4,0),L131&gt;=AC$4),1,""))</f>
        <v/>
      </c>
      <c r="AD131" s="26">
        <f>IF(OR(J131="",L131=""),"",IF(AND(J131&lt;=EOMONTH(AD$4,0),L131&gt;=AD$4),1,""))</f>
        <v/>
      </c>
      <c r="AE131" s="26">
        <f>IF(OR(J131="",L131=""),"",IF(AND(J131&lt;=EOMONTH(AE$4,0),L131&gt;=AE$4),1,""))</f>
        <v/>
      </c>
      <c r="AF131" s="26">
        <f>IF(OR(J131="",L131=""),"",IF(AND(J131&lt;=EOMONTH(AF$4,0),L131&gt;=AF$4),1,""))</f>
        <v/>
      </c>
      <c r="AG131" s="26">
        <f>IF(OR(J131="",L131=""),"",IF(AND(J131&lt;=EOMONTH(AG$4,0),L131&gt;=AG$4),1,""))</f>
        <v/>
      </c>
      <c r="AH131" s="26">
        <f>IF(OR(J131="",L131=""),"",IF(AND(J131&lt;=EOMONTH(AH$4,0),L131&gt;=AH$4),1,""))</f>
        <v/>
      </c>
      <c r="AI131" s="26">
        <f>IF(OR(J131="",L131=""),"",IF(AND(J131&lt;=EOMONTH(AI$4,0),L131&gt;=AI$4),1,""))</f>
        <v/>
      </c>
      <c r="AJ131" s="26">
        <f>IF(OR(J131="",L131=""),"",IF(AND(J131&lt;=EOMONTH(AJ$4,0),L131&gt;=AJ$4),1,""))</f>
        <v/>
      </c>
      <c r="AK131" s="26">
        <f>IF(OR(J131="",L131=""),"",IF(AND(J131&lt;=EOMONTH(AK$4,0),L131&gt;=AK$4),1,""))</f>
        <v/>
      </c>
      <c r="AL131" s="26">
        <f>IF(OR(J131="",L131=""),"",IF(AND(J131&lt;=EOMONTH(AL$4,0),L131&gt;=AL$4),1,""))</f>
        <v/>
      </c>
      <c r="AM131" s="26">
        <f>IF(OR(J131="",L131=""),"",IF(AND(J131&lt;=EOMONTH(AM$4,0),L131&gt;=AM$4),1,""))</f>
        <v/>
      </c>
      <c r="AN131" s="26">
        <f>IF(OR(J131="",L131=""),"",IF(AND(J131&lt;=EOMONTH(AN$4,0),L131&gt;=AN$4),1,""))</f>
        <v/>
      </c>
      <c r="AO131" s="26">
        <f>IF(OR(J131="",L131=""),"",IF(AND(J131&lt;=EOMONTH(AO$4,0),L131&gt;=AO$4),1,""))</f>
        <v/>
      </c>
      <c r="AP131" s="26">
        <f>IF(OR(J131="",L131=""),"",IF(AND(J131&lt;=EOMONTH(AP$4,0),L131&gt;=AP$4),1,""))</f>
        <v/>
      </c>
      <c r="AQ131" s="26">
        <f>IF(OR(J131="",L131=""),"",IF(AND(J131&lt;=EOMONTH(AQ$4,0),L131&gt;=AQ$4),1,""))</f>
        <v/>
      </c>
      <c r="AR131" s="26">
        <f>IF(OR(J131="",L131=""),"",IF(AND(J131&lt;=EOMONTH(AR$4,0),L131&gt;=AR$4),1,""))</f>
        <v/>
      </c>
      <c r="AS131" s="26">
        <f>IF(OR(J131="",L131=""),"",IF(AND(J131&lt;=EOMONTH(AS$4,0),L131&gt;=AS$4),1,""))</f>
        <v/>
      </c>
      <c r="AT131" s="26">
        <f>IF(OR(J131="",L131=""),"",IF(AND(J131&lt;=EOMONTH(AT$4,0),L131&gt;=AT$4),1,""))</f>
        <v/>
      </c>
      <c r="AU131" s="26">
        <f>IF(OR(J131="",L131=""),"",IF(AND(J131&lt;=EOMONTH(AU$4,0),L131&gt;=AU$4),1,""))</f>
        <v/>
      </c>
      <c r="AV131" s="26">
        <f>IF(OR(J131="",L131=""),"",IF(AND(J131&lt;=EOMONTH(AV$4,0),L131&gt;=AV$4),1,""))</f>
        <v/>
      </c>
      <c r="AW131" s="26">
        <f>IF(OR(J131="",L131=""),"",IF(AND(J131&lt;=EOMONTH(AW$4,0),L131&gt;=AW$4),1,""))</f>
        <v/>
      </c>
      <c r="AX131" s="26">
        <f>IF(OR(J131="",L131=""),"",IF(AND(J131&lt;=EOMONTH(AX$4,0),L131&gt;=AX$4),1,""))</f>
        <v/>
      </c>
      <c r="AY131" s="26">
        <f>IF(OR(J131="",L131=""),"",IF(AND(J131&lt;=EOMONTH(AY$4,0),L131&gt;=AY$4),1,""))</f>
        <v/>
      </c>
      <c r="AZ131" s="26">
        <f>IF(OR(J131="",L131=""),"",IF(AND(J131&lt;=EOMONTH(AZ$4,0),L131&gt;=AZ$4),1,""))</f>
        <v/>
      </c>
      <c r="BA131" s="26">
        <f>IF(OR(J131="",L131=""),"",IF(AND(J131&lt;=EOMONTH(BA$4,0),L131&gt;=BA$4),1,""))</f>
        <v/>
      </c>
      <c r="BB131" s="26">
        <f>IF(OR(J131="",L131=""),"",IF(AND(J131&lt;=EOMONTH(BB$4,0),L131&gt;=BB$4),1,""))</f>
        <v/>
      </c>
    </row>
    <row r="132">
      <c r="A132" s="27" t="n"/>
      <c r="B132" s="28" t="n"/>
      <c r="C132" s="29" t="n"/>
      <c r="D132" s="30">
        <f>IF(E132="","","CWA-"&amp;MID(E132,5,4))</f>
        <v/>
      </c>
      <c r="E132" s="29" t="n"/>
      <c r="F132" s="31" t="n"/>
      <c r="G132" s="29" t="n"/>
      <c r="H132" s="28" t="n"/>
      <c r="I132" s="29" t="n"/>
      <c r="J132" s="32" t="n"/>
      <c r="K132" s="28" t="n"/>
      <c r="L132" s="33">
        <f>IF(OR(J132="",K132=""),"",J132+7*K132-1)</f>
        <v/>
      </c>
      <c r="M132" s="33">
        <f>IF(J132="","",J132-7*$E$3)</f>
        <v/>
      </c>
      <c r="N132" s="33">
        <f>IF(J132="","",J132-7*$H$3)</f>
        <v/>
      </c>
      <c r="O132" s="33">
        <f>IF(J132="","",J132-1*$K$3)</f>
        <v/>
      </c>
      <c r="P132" s="30">
        <f>IF(OR(E132="",I132="",I132="—"),IF(E132="","","OK"),IFERROR(IF(INDEX($L$6:$L$155,MATCH(I132,$E$6:$E$155,0))&gt;=J132,"Conflicto con predecesor","OK"),"Predecesor no encontrado"))</f>
        <v/>
      </c>
      <c r="Q132" s="29" t="n"/>
      <c r="R132" s="31" t="n"/>
      <c r="S132" s="26">
        <f>IF(OR(J132="",L132=""),"",IF(AND(J132&lt;=EOMONTH(S$4,0),L132&gt;=S$4),1,""))</f>
        <v/>
      </c>
      <c r="T132" s="26">
        <f>IF(OR(J132="",L132=""),"",IF(AND(J132&lt;=EOMONTH(T$4,0),L132&gt;=T$4),1,""))</f>
        <v/>
      </c>
      <c r="U132" s="26">
        <f>IF(OR(J132="",L132=""),"",IF(AND(J132&lt;=EOMONTH(U$4,0),L132&gt;=U$4),1,""))</f>
        <v/>
      </c>
      <c r="V132" s="26">
        <f>IF(OR(J132="",L132=""),"",IF(AND(J132&lt;=EOMONTH(V$4,0),L132&gt;=V$4),1,""))</f>
        <v/>
      </c>
      <c r="W132" s="26">
        <f>IF(OR(J132="",L132=""),"",IF(AND(J132&lt;=EOMONTH(W$4,0),L132&gt;=W$4),1,""))</f>
        <v/>
      </c>
      <c r="X132" s="26">
        <f>IF(OR(J132="",L132=""),"",IF(AND(J132&lt;=EOMONTH(X$4,0),L132&gt;=X$4),1,""))</f>
        <v/>
      </c>
      <c r="Y132" s="26">
        <f>IF(OR(J132="",L132=""),"",IF(AND(J132&lt;=EOMONTH(Y$4,0),L132&gt;=Y$4),1,""))</f>
        <v/>
      </c>
      <c r="Z132" s="26">
        <f>IF(OR(J132="",L132=""),"",IF(AND(J132&lt;=EOMONTH(Z$4,0),L132&gt;=Z$4),1,""))</f>
        <v/>
      </c>
      <c r="AA132" s="26">
        <f>IF(OR(J132="",L132=""),"",IF(AND(J132&lt;=EOMONTH(AA$4,0),L132&gt;=AA$4),1,""))</f>
        <v/>
      </c>
      <c r="AB132" s="26">
        <f>IF(OR(J132="",L132=""),"",IF(AND(J132&lt;=EOMONTH(AB$4,0),L132&gt;=AB$4),1,""))</f>
        <v/>
      </c>
      <c r="AC132" s="26">
        <f>IF(OR(J132="",L132=""),"",IF(AND(J132&lt;=EOMONTH(AC$4,0),L132&gt;=AC$4),1,""))</f>
        <v/>
      </c>
      <c r="AD132" s="26">
        <f>IF(OR(J132="",L132=""),"",IF(AND(J132&lt;=EOMONTH(AD$4,0),L132&gt;=AD$4),1,""))</f>
        <v/>
      </c>
      <c r="AE132" s="26">
        <f>IF(OR(J132="",L132=""),"",IF(AND(J132&lt;=EOMONTH(AE$4,0),L132&gt;=AE$4),1,""))</f>
        <v/>
      </c>
      <c r="AF132" s="26">
        <f>IF(OR(J132="",L132=""),"",IF(AND(J132&lt;=EOMONTH(AF$4,0),L132&gt;=AF$4),1,""))</f>
        <v/>
      </c>
      <c r="AG132" s="26">
        <f>IF(OR(J132="",L132=""),"",IF(AND(J132&lt;=EOMONTH(AG$4,0),L132&gt;=AG$4),1,""))</f>
        <v/>
      </c>
      <c r="AH132" s="26">
        <f>IF(OR(J132="",L132=""),"",IF(AND(J132&lt;=EOMONTH(AH$4,0),L132&gt;=AH$4),1,""))</f>
        <v/>
      </c>
      <c r="AI132" s="26">
        <f>IF(OR(J132="",L132=""),"",IF(AND(J132&lt;=EOMONTH(AI$4,0),L132&gt;=AI$4),1,""))</f>
        <v/>
      </c>
      <c r="AJ132" s="26">
        <f>IF(OR(J132="",L132=""),"",IF(AND(J132&lt;=EOMONTH(AJ$4,0),L132&gt;=AJ$4),1,""))</f>
        <v/>
      </c>
      <c r="AK132" s="26">
        <f>IF(OR(J132="",L132=""),"",IF(AND(J132&lt;=EOMONTH(AK$4,0),L132&gt;=AK$4),1,""))</f>
        <v/>
      </c>
      <c r="AL132" s="26">
        <f>IF(OR(J132="",L132=""),"",IF(AND(J132&lt;=EOMONTH(AL$4,0),L132&gt;=AL$4),1,""))</f>
        <v/>
      </c>
      <c r="AM132" s="26">
        <f>IF(OR(J132="",L132=""),"",IF(AND(J132&lt;=EOMONTH(AM$4,0),L132&gt;=AM$4),1,""))</f>
        <v/>
      </c>
      <c r="AN132" s="26">
        <f>IF(OR(J132="",L132=""),"",IF(AND(J132&lt;=EOMONTH(AN$4,0),L132&gt;=AN$4),1,""))</f>
        <v/>
      </c>
      <c r="AO132" s="26">
        <f>IF(OR(J132="",L132=""),"",IF(AND(J132&lt;=EOMONTH(AO$4,0),L132&gt;=AO$4),1,""))</f>
        <v/>
      </c>
      <c r="AP132" s="26">
        <f>IF(OR(J132="",L132=""),"",IF(AND(J132&lt;=EOMONTH(AP$4,0),L132&gt;=AP$4),1,""))</f>
        <v/>
      </c>
      <c r="AQ132" s="26">
        <f>IF(OR(J132="",L132=""),"",IF(AND(J132&lt;=EOMONTH(AQ$4,0),L132&gt;=AQ$4),1,""))</f>
        <v/>
      </c>
      <c r="AR132" s="26">
        <f>IF(OR(J132="",L132=""),"",IF(AND(J132&lt;=EOMONTH(AR$4,0),L132&gt;=AR$4),1,""))</f>
        <v/>
      </c>
      <c r="AS132" s="26">
        <f>IF(OR(J132="",L132=""),"",IF(AND(J132&lt;=EOMONTH(AS$4,0),L132&gt;=AS$4),1,""))</f>
        <v/>
      </c>
      <c r="AT132" s="26">
        <f>IF(OR(J132="",L132=""),"",IF(AND(J132&lt;=EOMONTH(AT$4,0),L132&gt;=AT$4),1,""))</f>
        <v/>
      </c>
      <c r="AU132" s="26">
        <f>IF(OR(J132="",L132=""),"",IF(AND(J132&lt;=EOMONTH(AU$4,0),L132&gt;=AU$4),1,""))</f>
        <v/>
      </c>
      <c r="AV132" s="26">
        <f>IF(OR(J132="",L132=""),"",IF(AND(J132&lt;=EOMONTH(AV$4,0),L132&gt;=AV$4),1,""))</f>
        <v/>
      </c>
      <c r="AW132" s="26">
        <f>IF(OR(J132="",L132=""),"",IF(AND(J132&lt;=EOMONTH(AW$4,0),L132&gt;=AW$4),1,""))</f>
        <v/>
      </c>
      <c r="AX132" s="26">
        <f>IF(OR(J132="",L132=""),"",IF(AND(J132&lt;=EOMONTH(AX$4,0),L132&gt;=AX$4),1,""))</f>
        <v/>
      </c>
      <c r="AY132" s="26">
        <f>IF(OR(J132="",L132=""),"",IF(AND(J132&lt;=EOMONTH(AY$4,0),L132&gt;=AY$4),1,""))</f>
        <v/>
      </c>
      <c r="AZ132" s="26">
        <f>IF(OR(J132="",L132=""),"",IF(AND(J132&lt;=EOMONTH(AZ$4,0),L132&gt;=AZ$4),1,""))</f>
        <v/>
      </c>
      <c r="BA132" s="26">
        <f>IF(OR(J132="",L132=""),"",IF(AND(J132&lt;=EOMONTH(BA$4,0),L132&gt;=BA$4),1,""))</f>
        <v/>
      </c>
      <c r="BB132" s="26">
        <f>IF(OR(J132="",L132=""),"",IF(AND(J132&lt;=EOMONTH(BB$4,0),L132&gt;=BB$4),1,""))</f>
        <v/>
      </c>
    </row>
    <row r="133">
      <c r="A133" s="27" t="n"/>
      <c r="B133" s="28" t="n"/>
      <c r="C133" s="29" t="n"/>
      <c r="D133" s="30">
        <f>IF(E133="","","CWA-"&amp;MID(E133,5,4))</f>
        <v/>
      </c>
      <c r="E133" s="29" t="n"/>
      <c r="F133" s="31" t="n"/>
      <c r="G133" s="29" t="n"/>
      <c r="H133" s="28" t="n"/>
      <c r="I133" s="29" t="n"/>
      <c r="J133" s="32" t="n"/>
      <c r="K133" s="28" t="n"/>
      <c r="L133" s="33">
        <f>IF(OR(J133="",K133=""),"",J133+7*K133-1)</f>
        <v/>
      </c>
      <c r="M133" s="33">
        <f>IF(J133="","",J133-7*$E$3)</f>
        <v/>
      </c>
      <c r="N133" s="33">
        <f>IF(J133="","",J133-7*$H$3)</f>
        <v/>
      </c>
      <c r="O133" s="33">
        <f>IF(J133="","",J133-1*$K$3)</f>
        <v/>
      </c>
      <c r="P133" s="30">
        <f>IF(OR(E133="",I133="",I133="—"),IF(E133="","","OK"),IFERROR(IF(INDEX($L$6:$L$155,MATCH(I133,$E$6:$E$155,0))&gt;=J133,"Conflicto con predecesor","OK"),"Predecesor no encontrado"))</f>
        <v/>
      </c>
      <c r="Q133" s="29" t="n"/>
      <c r="R133" s="31" t="n"/>
      <c r="S133" s="26">
        <f>IF(OR(J133="",L133=""),"",IF(AND(J133&lt;=EOMONTH(S$4,0),L133&gt;=S$4),1,""))</f>
        <v/>
      </c>
      <c r="T133" s="26">
        <f>IF(OR(J133="",L133=""),"",IF(AND(J133&lt;=EOMONTH(T$4,0),L133&gt;=T$4),1,""))</f>
        <v/>
      </c>
      <c r="U133" s="26">
        <f>IF(OR(J133="",L133=""),"",IF(AND(J133&lt;=EOMONTH(U$4,0),L133&gt;=U$4),1,""))</f>
        <v/>
      </c>
      <c r="V133" s="26">
        <f>IF(OR(J133="",L133=""),"",IF(AND(J133&lt;=EOMONTH(V$4,0),L133&gt;=V$4),1,""))</f>
        <v/>
      </c>
      <c r="W133" s="26">
        <f>IF(OR(J133="",L133=""),"",IF(AND(J133&lt;=EOMONTH(W$4,0),L133&gt;=W$4),1,""))</f>
        <v/>
      </c>
      <c r="X133" s="26">
        <f>IF(OR(J133="",L133=""),"",IF(AND(J133&lt;=EOMONTH(X$4,0),L133&gt;=X$4),1,""))</f>
        <v/>
      </c>
      <c r="Y133" s="26">
        <f>IF(OR(J133="",L133=""),"",IF(AND(J133&lt;=EOMONTH(Y$4,0),L133&gt;=Y$4),1,""))</f>
        <v/>
      </c>
      <c r="Z133" s="26">
        <f>IF(OR(J133="",L133=""),"",IF(AND(J133&lt;=EOMONTH(Z$4,0),L133&gt;=Z$4),1,""))</f>
        <v/>
      </c>
      <c r="AA133" s="26">
        <f>IF(OR(J133="",L133=""),"",IF(AND(J133&lt;=EOMONTH(AA$4,0),L133&gt;=AA$4),1,""))</f>
        <v/>
      </c>
      <c r="AB133" s="26">
        <f>IF(OR(J133="",L133=""),"",IF(AND(J133&lt;=EOMONTH(AB$4,0),L133&gt;=AB$4),1,""))</f>
        <v/>
      </c>
      <c r="AC133" s="26">
        <f>IF(OR(J133="",L133=""),"",IF(AND(J133&lt;=EOMONTH(AC$4,0),L133&gt;=AC$4),1,""))</f>
        <v/>
      </c>
      <c r="AD133" s="26">
        <f>IF(OR(J133="",L133=""),"",IF(AND(J133&lt;=EOMONTH(AD$4,0),L133&gt;=AD$4),1,""))</f>
        <v/>
      </c>
      <c r="AE133" s="26">
        <f>IF(OR(J133="",L133=""),"",IF(AND(J133&lt;=EOMONTH(AE$4,0),L133&gt;=AE$4),1,""))</f>
        <v/>
      </c>
      <c r="AF133" s="26">
        <f>IF(OR(J133="",L133=""),"",IF(AND(J133&lt;=EOMONTH(AF$4,0),L133&gt;=AF$4),1,""))</f>
        <v/>
      </c>
      <c r="AG133" s="26">
        <f>IF(OR(J133="",L133=""),"",IF(AND(J133&lt;=EOMONTH(AG$4,0),L133&gt;=AG$4),1,""))</f>
        <v/>
      </c>
      <c r="AH133" s="26">
        <f>IF(OR(J133="",L133=""),"",IF(AND(J133&lt;=EOMONTH(AH$4,0),L133&gt;=AH$4),1,""))</f>
        <v/>
      </c>
      <c r="AI133" s="26">
        <f>IF(OR(J133="",L133=""),"",IF(AND(J133&lt;=EOMONTH(AI$4,0),L133&gt;=AI$4),1,""))</f>
        <v/>
      </c>
      <c r="AJ133" s="26">
        <f>IF(OR(J133="",L133=""),"",IF(AND(J133&lt;=EOMONTH(AJ$4,0),L133&gt;=AJ$4),1,""))</f>
        <v/>
      </c>
      <c r="AK133" s="26">
        <f>IF(OR(J133="",L133=""),"",IF(AND(J133&lt;=EOMONTH(AK$4,0),L133&gt;=AK$4),1,""))</f>
        <v/>
      </c>
      <c r="AL133" s="26">
        <f>IF(OR(J133="",L133=""),"",IF(AND(J133&lt;=EOMONTH(AL$4,0),L133&gt;=AL$4),1,""))</f>
        <v/>
      </c>
      <c r="AM133" s="26">
        <f>IF(OR(J133="",L133=""),"",IF(AND(J133&lt;=EOMONTH(AM$4,0),L133&gt;=AM$4),1,""))</f>
        <v/>
      </c>
      <c r="AN133" s="26">
        <f>IF(OR(J133="",L133=""),"",IF(AND(J133&lt;=EOMONTH(AN$4,0),L133&gt;=AN$4),1,""))</f>
        <v/>
      </c>
      <c r="AO133" s="26">
        <f>IF(OR(J133="",L133=""),"",IF(AND(J133&lt;=EOMONTH(AO$4,0),L133&gt;=AO$4),1,""))</f>
        <v/>
      </c>
      <c r="AP133" s="26">
        <f>IF(OR(J133="",L133=""),"",IF(AND(J133&lt;=EOMONTH(AP$4,0),L133&gt;=AP$4),1,""))</f>
        <v/>
      </c>
      <c r="AQ133" s="26">
        <f>IF(OR(J133="",L133=""),"",IF(AND(J133&lt;=EOMONTH(AQ$4,0),L133&gt;=AQ$4),1,""))</f>
        <v/>
      </c>
      <c r="AR133" s="26">
        <f>IF(OR(J133="",L133=""),"",IF(AND(J133&lt;=EOMONTH(AR$4,0),L133&gt;=AR$4),1,""))</f>
        <v/>
      </c>
      <c r="AS133" s="26">
        <f>IF(OR(J133="",L133=""),"",IF(AND(J133&lt;=EOMONTH(AS$4,0),L133&gt;=AS$4),1,""))</f>
        <v/>
      </c>
      <c r="AT133" s="26">
        <f>IF(OR(J133="",L133=""),"",IF(AND(J133&lt;=EOMONTH(AT$4,0),L133&gt;=AT$4),1,""))</f>
        <v/>
      </c>
      <c r="AU133" s="26">
        <f>IF(OR(J133="",L133=""),"",IF(AND(J133&lt;=EOMONTH(AU$4,0),L133&gt;=AU$4),1,""))</f>
        <v/>
      </c>
      <c r="AV133" s="26">
        <f>IF(OR(J133="",L133=""),"",IF(AND(J133&lt;=EOMONTH(AV$4,0),L133&gt;=AV$4),1,""))</f>
        <v/>
      </c>
      <c r="AW133" s="26">
        <f>IF(OR(J133="",L133=""),"",IF(AND(J133&lt;=EOMONTH(AW$4,0),L133&gt;=AW$4),1,""))</f>
        <v/>
      </c>
      <c r="AX133" s="26">
        <f>IF(OR(J133="",L133=""),"",IF(AND(J133&lt;=EOMONTH(AX$4,0),L133&gt;=AX$4),1,""))</f>
        <v/>
      </c>
      <c r="AY133" s="26">
        <f>IF(OR(J133="",L133=""),"",IF(AND(J133&lt;=EOMONTH(AY$4,0),L133&gt;=AY$4),1,""))</f>
        <v/>
      </c>
      <c r="AZ133" s="26">
        <f>IF(OR(J133="",L133=""),"",IF(AND(J133&lt;=EOMONTH(AZ$4,0),L133&gt;=AZ$4),1,""))</f>
        <v/>
      </c>
      <c r="BA133" s="26">
        <f>IF(OR(J133="",L133=""),"",IF(AND(J133&lt;=EOMONTH(BA$4,0),L133&gt;=BA$4),1,""))</f>
        <v/>
      </c>
      <c r="BB133" s="26">
        <f>IF(OR(J133="",L133=""),"",IF(AND(J133&lt;=EOMONTH(BB$4,0),L133&gt;=BB$4),1,""))</f>
        <v/>
      </c>
    </row>
    <row r="134">
      <c r="A134" s="27" t="n"/>
      <c r="B134" s="28" t="n"/>
      <c r="C134" s="29" t="n"/>
      <c r="D134" s="30">
        <f>IF(E134="","","CWA-"&amp;MID(E134,5,4))</f>
        <v/>
      </c>
      <c r="E134" s="29" t="n"/>
      <c r="F134" s="31" t="n"/>
      <c r="G134" s="29" t="n"/>
      <c r="H134" s="28" t="n"/>
      <c r="I134" s="29" t="n"/>
      <c r="J134" s="32" t="n"/>
      <c r="K134" s="28" t="n"/>
      <c r="L134" s="33">
        <f>IF(OR(J134="",K134=""),"",J134+7*K134-1)</f>
        <v/>
      </c>
      <c r="M134" s="33">
        <f>IF(J134="","",J134-7*$E$3)</f>
        <v/>
      </c>
      <c r="N134" s="33">
        <f>IF(J134="","",J134-7*$H$3)</f>
        <v/>
      </c>
      <c r="O134" s="33">
        <f>IF(J134="","",J134-1*$K$3)</f>
        <v/>
      </c>
      <c r="P134" s="30">
        <f>IF(OR(E134="",I134="",I134="—"),IF(E134="","","OK"),IFERROR(IF(INDEX($L$6:$L$155,MATCH(I134,$E$6:$E$155,0))&gt;=J134,"Conflicto con predecesor","OK"),"Predecesor no encontrado"))</f>
        <v/>
      </c>
      <c r="Q134" s="29" t="n"/>
      <c r="R134" s="31" t="n"/>
      <c r="S134" s="26">
        <f>IF(OR(J134="",L134=""),"",IF(AND(J134&lt;=EOMONTH(S$4,0),L134&gt;=S$4),1,""))</f>
        <v/>
      </c>
      <c r="T134" s="26">
        <f>IF(OR(J134="",L134=""),"",IF(AND(J134&lt;=EOMONTH(T$4,0),L134&gt;=T$4),1,""))</f>
        <v/>
      </c>
      <c r="U134" s="26">
        <f>IF(OR(J134="",L134=""),"",IF(AND(J134&lt;=EOMONTH(U$4,0),L134&gt;=U$4),1,""))</f>
        <v/>
      </c>
      <c r="V134" s="26">
        <f>IF(OR(J134="",L134=""),"",IF(AND(J134&lt;=EOMONTH(V$4,0),L134&gt;=V$4),1,""))</f>
        <v/>
      </c>
      <c r="W134" s="26">
        <f>IF(OR(J134="",L134=""),"",IF(AND(J134&lt;=EOMONTH(W$4,0),L134&gt;=W$4),1,""))</f>
        <v/>
      </c>
      <c r="X134" s="26">
        <f>IF(OR(J134="",L134=""),"",IF(AND(J134&lt;=EOMONTH(X$4,0),L134&gt;=X$4),1,""))</f>
        <v/>
      </c>
      <c r="Y134" s="26">
        <f>IF(OR(J134="",L134=""),"",IF(AND(J134&lt;=EOMONTH(Y$4,0),L134&gt;=Y$4),1,""))</f>
        <v/>
      </c>
      <c r="Z134" s="26">
        <f>IF(OR(J134="",L134=""),"",IF(AND(J134&lt;=EOMONTH(Z$4,0),L134&gt;=Z$4),1,""))</f>
        <v/>
      </c>
      <c r="AA134" s="26">
        <f>IF(OR(J134="",L134=""),"",IF(AND(J134&lt;=EOMONTH(AA$4,0),L134&gt;=AA$4),1,""))</f>
        <v/>
      </c>
      <c r="AB134" s="26">
        <f>IF(OR(J134="",L134=""),"",IF(AND(J134&lt;=EOMONTH(AB$4,0),L134&gt;=AB$4),1,""))</f>
        <v/>
      </c>
      <c r="AC134" s="26">
        <f>IF(OR(J134="",L134=""),"",IF(AND(J134&lt;=EOMONTH(AC$4,0),L134&gt;=AC$4),1,""))</f>
        <v/>
      </c>
      <c r="AD134" s="26">
        <f>IF(OR(J134="",L134=""),"",IF(AND(J134&lt;=EOMONTH(AD$4,0),L134&gt;=AD$4),1,""))</f>
        <v/>
      </c>
      <c r="AE134" s="26">
        <f>IF(OR(J134="",L134=""),"",IF(AND(J134&lt;=EOMONTH(AE$4,0),L134&gt;=AE$4),1,""))</f>
        <v/>
      </c>
      <c r="AF134" s="26">
        <f>IF(OR(J134="",L134=""),"",IF(AND(J134&lt;=EOMONTH(AF$4,0),L134&gt;=AF$4),1,""))</f>
        <v/>
      </c>
      <c r="AG134" s="26">
        <f>IF(OR(J134="",L134=""),"",IF(AND(J134&lt;=EOMONTH(AG$4,0),L134&gt;=AG$4),1,""))</f>
        <v/>
      </c>
      <c r="AH134" s="26">
        <f>IF(OR(J134="",L134=""),"",IF(AND(J134&lt;=EOMONTH(AH$4,0),L134&gt;=AH$4),1,""))</f>
        <v/>
      </c>
      <c r="AI134" s="26">
        <f>IF(OR(J134="",L134=""),"",IF(AND(J134&lt;=EOMONTH(AI$4,0),L134&gt;=AI$4),1,""))</f>
        <v/>
      </c>
      <c r="AJ134" s="26">
        <f>IF(OR(J134="",L134=""),"",IF(AND(J134&lt;=EOMONTH(AJ$4,0),L134&gt;=AJ$4),1,""))</f>
        <v/>
      </c>
      <c r="AK134" s="26">
        <f>IF(OR(J134="",L134=""),"",IF(AND(J134&lt;=EOMONTH(AK$4,0),L134&gt;=AK$4),1,""))</f>
        <v/>
      </c>
      <c r="AL134" s="26">
        <f>IF(OR(J134="",L134=""),"",IF(AND(J134&lt;=EOMONTH(AL$4,0),L134&gt;=AL$4),1,""))</f>
        <v/>
      </c>
      <c r="AM134" s="26">
        <f>IF(OR(J134="",L134=""),"",IF(AND(J134&lt;=EOMONTH(AM$4,0),L134&gt;=AM$4),1,""))</f>
        <v/>
      </c>
      <c r="AN134" s="26">
        <f>IF(OR(J134="",L134=""),"",IF(AND(J134&lt;=EOMONTH(AN$4,0),L134&gt;=AN$4),1,""))</f>
        <v/>
      </c>
      <c r="AO134" s="26">
        <f>IF(OR(J134="",L134=""),"",IF(AND(J134&lt;=EOMONTH(AO$4,0),L134&gt;=AO$4),1,""))</f>
        <v/>
      </c>
      <c r="AP134" s="26">
        <f>IF(OR(J134="",L134=""),"",IF(AND(J134&lt;=EOMONTH(AP$4,0),L134&gt;=AP$4),1,""))</f>
        <v/>
      </c>
      <c r="AQ134" s="26">
        <f>IF(OR(J134="",L134=""),"",IF(AND(J134&lt;=EOMONTH(AQ$4,0),L134&gt;=AQ$4),1,""))</f>
        <v/>
      </c>
      <c r="AR134" s="26">
        <f>IF(OR(J134="",L134=""),"",IF(AND(J134&lt;=EOMONTH(AR$4,0),L134&gt;=AR$4),1,""))</f>
        <v/>
      </c>
      <c r="AS134" s="26">
        <f>IF(OR(J134="",L134=""),"",IF(AND(J134&lt;=EOMONTH(AS$4,0),L134&gt;=AS$4),1,""))</f>
        <v/>
      </c>
      <c r="AT134" s="26">
        <f>IF(OR(J134="",L134=""),"",IF(AND(J134&lt;=EOMONTH(AT$4,0),L134&gt;=AT$4),1,""))</f>
        <v/>
      </c>
      <c r="AU134" s="26">
        <f>IF(OR(J134="",L134=""),"",IF(AND(J134&lt;=EOMONTH(AU$4,0),L134&gt;=AU$4),1,""))</f>
        <v/>
      </c>
      <c r="AV134" s="26">
        <f>IF(OR(J134="",L134=""),"",IF(AND(J134&lt;=EOMONTH(AV$4,0),L134&gt;=AV$4),1,""))</f>
        <v/>
      </c>
      <c r="AW134" s="26">
        <f>IF(OR(J134="",L134=""),"",IF(AND(J134&lt;=EOMONTH(AW$4,0),L134&gt;=AW$4),1,""))</f>
        <v/>
      </c>
      <c r="AX134" s="26">
        <f>IF(OR(J134="",L134=""),"",IF(AND(J134&lt;=EOMONTH(AX$4,0),L134&gt;=AX$4),1,""))</f>
        <v/>
      </c>
      <c r="AY134" s="26">
        <f>IF(OR(J134="",L134=""),"",IF(AND(J134&lt;=EOMONTH(AY$4,0),L134&gt;=AY$4),1,""))</f>
        <v/>
      </c>
      <c r="AZ134" s="26">
        <f>IF(OR(J134="",L134=""),"",IF(AND(J134&lt;=EOMONTH(AZ$4,0),L134&gt;=AZ$4),1,""))</f>
        <v/>
      </c>
      <c r="BA134" s="26">
        <f>IF(OR(J134="",L134=""),"",IF(AND(J134&lt;=EOMONTH(BA$4,0),L134&gt;=BA$4),1,""))</f>
        <v/>
      </c>
      <c r="BB134" s="26">
        <f>IF(OR(J134="",L134=""),"",IF(AND(J134&lt;=EOMONTH(BB$4,0),L134&gt;=BB$4),1,""))</f>
        <v/>
      </c>
    </row>
    <row r="135">
      <c r="A135" s="27" t="n"/>
      <c r="B135" s="28" t="n"/>
      <c r="C135" s="29" t="n"/>
      <c r="D135" s="30">
        <f>IF(E135="","","CWA-"&amp;MID(E135,5,4))</f>
        <v/>
      </c>
      <c r="E135" s="29" t="n"/>
      <c r="F135" s="31" t="n"/>
      <c r="G135" s="29" t="n"/>
      <c r="H135" s="28" t="n"/>
      <c r="I135" s="29" t="n"/>
      <c r="J135" s="32" t="n"/>
      <c r="K135" s="28" t="n"/>
      <c r="L135" s="33">
        <f>IF(OR(J135="",K135=""),"",J135+7*K135-1)</f>
        <v/>
      </c>
      <c r="M135" s="33">
        <f>IF(J135="","",J135-7*$E$3)</f>
        <v/>
      </c>
      <c r="N135" s="33">
        <f>IF(J135="","",J135-7*$H$3)</f>
        <v/>
      </c>
      <c r="O135" s="33">
        <f>IF(J135="","",J135-1*$K$3)</f>
        <v/>
      </c>
      <c r="P135" s="30">
        <f>IF(OR(E135="",I135="",I135="—"),IF(E135="","","OK"),IFERROR(IF(INDEX($L$6:$L$155,MATCH(I135,$E$6:$E$155,0))&gt;=J135,"Conflicto con predecesor","OK"),"Predecesor no encontrado"))</f>
        <v/>
      </c>
      <c r="Q135" s="29" t="n"/>
      <c r="R135" s="31" t="n"/>
      <c r="S135" s="26">
        <f>IF(OR(J135="",L135=""),"",IF(AND(J135&lt;=EOMONTH(S$4,0),L135&gt;=S$4),1,""))</f>
        <v/>
      </c>
      <c r="T135" s="26">
        <f>IF(OR(J135="",L135=""),"",IF(AND(J135&lt;=EOMONTH(T$4,0),L135&gt;=T$4),1,""))</f>
        <v/>
      </c>
      <c r="U135" s="26">
        <f>IF(OR(J135="",L135=""),"",IF(AND(J135&lt;=EOMONTH(U$4,0),L135&gt;=U$4),1,""))</f>
        <v/>
      </c>
      <c r="V135" s="26">
        <f>IF(OR(J135="",L135=""),"",IF(AND(J135&lt;=EOMONTH(V$4,0),L135&gt;=V$4),1,""))</f>
        <v/>
      </c>
      <c r="W135" s="26">
        <f>IF(OR(J135="",L135=""),"",IF(AND(J135&lt;=EOMONTH(W$4,0),L135&gt;=W$4),1,""))</f>
        <v/>
      </c>
      <c r="X135" s="26">
        <f>IF(OR(J135="",L135=""),"",IF(AND(J135&lt;=EOMONTH(X$4,0),L135&gt;=X$4),1,""))</f>
        <v/>
      </c>
      <c r="Y135" s="26">
        <f>IF(OR(J135="",L135=""),"",IF(AND(J135&lt;=EOMONTH(Y$4,0),L135&gt;=Y$4),1,""))</f>
        <v/>
      </c>
      <c r="Z135" s="26">
        <f>IF(OR(J135="",L135=""),"",IF(AND(J135&lt;=EOMONTH(Z$4,0),L135&gt;=Z$4),1,""))</f>
        <v/>
      </c>
      <c r="AA135" s="26">
        <f>IF(OR(J135="",L135=""),"",IF(AND(J135&lt;=EOMONTH(AA$4,0),L135&gt;=AA$4),1,""))</f>
        <v/>
      </c>
      <c r="AB135" s="26">
        <f>IF(OR(J135="",L135=""),"",IF(AND(J135&lt;=EOMONTH(AB$4,0),L135&gt;=AB$4),1,""))</f>
        <v/>
      </c>
      <c r="AC135" s="26">
        <f>IF(OR(J135="",L135=""),"",IF(AND(J135&lt;=EOMONTH(AC$4,0),L135&gt;=AC$4),1,""))</f>
        <v/>
      </c>
      <c r="AD135" s="26">
        <f>IF(OR(J135="",L135=""),"",IF(AND(J135&lt;=EOMONTH(AD$4,0),L135&gt;=AD$4),1,""))</f>
        <v/>
      </c>
      <c r="AE135" s="26">
        <f>IF(OR(J135="",L135=""),"",IF(AND(J135&lt;=EOMONTH(AE$4,0),L135&gt;=AE$4),1,""))</f>
        <v/>
      </c>
      <c r="AF135" s="26">
        <f>IF(OR(J135="",L135=""),"",IF(AND(J135&lt;=EOMONTH(AF$4,0),L135&gt;=AF$4),1,""))</f>
        <v/>
      </c>
      <c r="AG135" s="26">
        <f>IF(OR(J135="",L135=""),"",IF(AND(J135&lt;=EOMONTH(AG$4,0),L135&gt;=AG$4),1,""))</f>
        <v/>
      </c>
      <c r="AH135" s="26">
        <f>IF(OR(J135="",L135=""),"",IF(AND(J135&lt;=EOMONTH(AH$4,0),L135&gt;=AH$4),1,""))</f>
        <v/>
      </c>
      <c r="AI135" s="26">
        <f>IF(OR(J135="",L135=""),"",IF(AND(J135&lt;=EOMONTH(AI$4,0),L135&gt;=AI$4),1,""))</f>
        <v/>
      </c>
      <c r="AJ135" s="26">
        <f>IF(OR(J135="",L135=""),"",IF(AND(J135&lt;=EOMONTH(AJ$4,0),L135&gt;=AJ$4),1,""))</f>
        <v/>
      </c>
      <c r="AK135" s="26">
        <f>IF(OR(J135="",L135=""),"",IF(AND(J135&lt;=EOMONTH(AK$4,0),L135&gt;=AK$4),1,""))</f>
        <v/>
      </c>
      <c r="AL135" s="26">
        <f>IF(OR(J135="",L135=""),"",IF(AND(J135&lt;=EOMONTH(AL$4,0),L135&gt;=AL$4),1,""))</f>
        <v/>
      </c>
      <c r="AM135" s="26">
        <f>IF(OR(J135="",L135=""),"",IF(AND(J135&lt;=EOMONTH(AM$4,0),L135&gt;=AM$4),1,""))</f>
        <v/>
      </c>
      <c r="AN135" s="26">
        <f>IF(OR(J135="",L135=""),"",IF(AND(J135&lt;=EOMONTH(AN$4,0),L135&gt;=AN$4),1,""))</f>
        <v/>
      </c>
      <c r="AO135" s="26">
        <f>IF(OR(J135="",L135=""),"",IF(AND(J135&lt;=EOMONTH(AO$4,0),L135&gt;=AO$4),1,""))</f>
        <v/>
      </c>
      <c r="AP135" s="26">
        <f>IF(OR(J135="",L135=""),"",IF(AND(J135&lt;=EOMONTH(AP$4,0),L135&gt;=AP$4),1,""))</f>
        <v/>
      </c>
      <c r="AQ135" s="26">
        <f>IF(OR(J135="",L135=""),"",IF(AND(J135&lt;=EOMONTH(AQ$4,0),L135&gt;=AQ$4),1,""))</f>
        <v/>
      </c>
      <c r="AR135" s="26">
        <f>IF(OR(J135="",L135=""),"",IF(AND(J135&lt;=EOMONTH(AR$4,0),L135&gt;=AR$4),1,""))</f>
        <v/>
      </c>
      <c r="AS135" s="26">
        <f>IF(OR(J135="",L135=""),"",IF(AND(J135&lt;=EOMONTH(AS$4,0),L135&gt;=AS$4),1,""))</f>
        <v/>
      </c>
      <c r="AT135" s="26">
        <f>IF(OR(J135="",L135=""),"",IF(AND(J135&lt;=EOMONTH(AT$4,0),L135&gt;=AT$4),1,""))</f>
        <v/>
      </c>
      <c r="AU135" s="26">
        <f>IF(OR(J135="",L135=""),"",IF(AND(J135&lt;=EOMONTH(AU$4,0),L135&gt;=AU$4),1,""))</f>
        <v/>
      </c>
      <c r="AV135" s="26">
        <f>IF(OR(J135="",L135=""),"",IF(AND(J135&lt;=EOMONTH(AV$4,0),L135&gt;=AV$4),1,""))</f>
        <v/>
      </c>
      <c r="AW135" s="26">
        <f>IF(OR(J135="",L135=""),"",IF(AND(J135&lt;=EOMONTH(AW$4,0),L135&gt;=AW$4),1,""))</f>
        <v/>
      </c>
      <c r="AX135" s="26">
        <f>IF(OR(J135="",L135=""),"",IF(AND(J135&lt;=EOMONTH(AX$4,0),L135&gt;=AX$4),1,""))</f>
        <v/>
      </c>
      <c r="AY135" s="26">
        <f>IF(OR(J135="",L135=""),"",IF(AND(J135&lt;=EOMONTH(AY$4,0),L135&gt;=AY$4),1,""))</f>
        <v/>
      </c>
      <c r="AZ135" s="26">
        <f>IF(OR(J135="",L135=""),"",IF(AND(J135&lt;=EOMONTH(AZ$4,0),L135&gt;=AZ$4),1,""))</f>
        <v/>
      </c>
      <c r="BA135" s="26">
        <f>IF(OR(J135="",L135=""),"",IF(AND(J135&lt;=EOMONTH(BA$4,0),L135&gt;=BA$4),1,""))</f>
        <v/>
      </c>
      <c r="BB135" s="26">
        <f>IF(OR(J135="",L135=""),"",IF(AND(J135&lt;=EOMONTH(BB$4,0),L135&gt;=BB$4),1,""))</f>
        <v/>
      </c>
    </row>
    <row r="136">
      <c r="A136" s="27" t="n"/>
      <c r="B136" s="28" t="n"/>
      <c r="C136" s="29" t="n"/>
      <c r="D136" s="30">
        <f>IF(E136="","","CWA-"&amp;MID(E136,5,4))</f>
        <v/>
      </c>
      <c r="E136" s="29" t="n"/>
      <c r="F136" s="31" t="n"/>
      <c r="G136" s="29" t="n"/>
      <c r="H136" s="28" t="n"/>
      <c r="I136" s="29" t="n"/>
      <c r="J136" s="32" t="n"/>
      <c r="K136" s="28" t="n"/>
      <c r="L136" s="33">
        <f>IF(OR(J136="",K136=""),"",J136+7*K136-1)</f>
        <v/>
      </c>
      <c r="M136" s="33">
        <f>IF(J136="","",J136-7*$E$3)</f>
        <v/>
      </c>
      <c r="N136" s="33">
        <f>IF(J136="","",J136-7*$H$3)</f>
        <v/>
      </c>
      <c r="O136" s="33">
        <f>IF(J136="","",J136-1*$K$3)</f>
        <v/>
      </c>
      <c r="P136" s="30">
        <f>IF(OR(E136="",I136="",I136="—"),IF(E136="","","OK"),IFERROR(IF(INDEX($L$6:$L$155,MATCH(I136,$E$6:$E$155,0))&gt;=J136,"Conflicto con predecesor","OK"),"Predecesor no encontrado"))</f>
        <v/>
      </c>
      <c r="Q136" s="29" t="n"/>
      <c r="R136" s="31" t="n"/>
      <c r="S136" s="26">
        <f>IF(OR(J136="",L136=""),"",IF(AND(J136&lt;=EOMONTH(S$4,0),L136&gt;=S$4),1,""))</f>
        <v/>
      </c>
      <c r="T136" s="26">
        <f>IF(OR(J136="",L136=""),"",IF(AND(J136&lt;=EOMONTH(T$4,0),L136&gt;=T$4),1,""))</f>
        <v/>
      </c>
      <c r="U136" s="26">
        <f>IF(OR(J136="",L136=""),"",IF(AND(J136&lt;=EOMONTH(U$4,0),L136&gt;=U$4),1,""))</f>
        <v/>
      </c>
      <c r="V136" s="26">
        <f>IF(OR(J136="",L136=""),"",IF(AND(J136&lt;=EOMONTH(V$4,0),L136&gt;=V$4),1,""))</f>
        <v/>
      </c>
      <c r="W136" s="26">
        <f>IF(OR(J136="",L136=""),"",IF(AND(J136&lt;=EOMONTH(W$4,0),L136&gt;=W$4),1,""))</f>
        <v/>
      </c>
      <c r="X136" s="26">
        <f>IF(OR(J136="",L136=""),"",IF(AND(J136&lt;=EOMONTH(X$4,0),L136&gt;=X$4),1,""))</f>
        <v/>
      </c>
      <c r="Y136" s="26">
        <f>IF(OR(J136="",L136=""),"",IF(AND(J136&lt;=EOMONTH(Y$4,0),L136&gt;=Y$4),1,""))</f>
        <v/>
      </c>
      <c r="Z136" s="26">
        <f>IF(OR(J136="",L136=""),"",IF(AND(J136&lt;=EOMONTH(Z$4,0),L136&gt;=Z$4),1,""))</f>
        <v/>
      </c>
      <c r="AA136" s="26">
        <f>IF(OR(J136="",L136=""),"",IF(AND(J136&lt;=EOMONTH(AA$4,0),L136&gt;=AA$4),1,""))</f>
        <v/>
      </c>
      <c r="AB136" s="26">
        <f>IF(OR(J136="",L136=""),"",IF(AND(J136&lt;=EOMONTH(AB$4,0),L136&gt;=AB$4),1,""))</f>
        <v/>
      </c>
      <c r="AC136" s="26">
        <f>IF(OR(J136="",L136=""),"",IF(AND(J136&lt;=EOMONTH(AC$4,0),L136&gt;=AC$4),1,""))</f>
        <v/>
      </c>
      <c r="AD136" s="26">
        <f>IF(OR(J136="",L136=""),"",IF(AND(J136&lt;=EOMONTH(AD$4,0),L136&gt;=AD$4),1,""))</f>
        <v/>
      </c>
      <c r="AE136" s="26">
        <f>IF(OR(J136="",L136=""),"",IF(AND(J136&lt;=EOMONTH(AE$4,0),L136&gt;=AE$4),1,""))</f>
        <v/>
      </c>
      <c r="AF136" s="26">
        <f>IF(OR(J136="",L136=""),"",IF(AND(J136&lt;=EOMONTH(AF$4,0),L136&gt;=AF$4),1,""))</f>
        <v/>
      </c>
      <c r="AG136" s="26">
        <f>IF(OR(J136="",L136=""),"",IF(AND(J136&lt;=EOMONTH(AG$4,0),L136&gt;=AG$4),1,""))</f>
        <v/>
      </c>
      <c r="AH136" s="26">
        <f>IF(OR(J136="",L136=""),"",IF(AND(J136&lt;=EOMONTH(AH$4,0),L136&gt;=AH$4),1,""))</f>
        <v/>
      </c>
      <c r="AI136" s="26">
        <f>IF(OR(J136="",L136=""),"",IF(AND(J136&lt;=EOMONTH(AI$4,0),L136&gt;=AI$4),1,""))</f>
        <v/>
      </c>
      <c r="AJ136" s="26">
        <f>IF(OR(J136="",L136=""),"",IF(AND(J136&lt;=EOMONTH(AJ$4,0),L136&gt;=AJ$4),1,""))</f>
        <v/>
      </c>
      <c r="AK136" s="26">
        <f>IF(OR(J136="",L136=""),"",IF(AND(J136&lt;=EOMONTH(AK$4,0),L136&gt;=AK$4),1,""))</f>
        <v/>
      </c>
      <c r="AL136" s="26">
        <f>IF(OR(J136="",L136=""),"",IF(AND(J136&lt;=EOMONTH(AL$4,0),L136&gt;=AL$4),1,""))</f>
        <v/>
      </c>
      <c r="AM136" s="26">
        <f>IF(OR(J136="",L136=""),"",IF(AND(J136&lt;=EOMONTH(AM$4,0),L136&gt;=AM$4),1,""))</f>
        <v/>
      </c>
      <c r="AN136" s="26">
        <f>IF(OR(J136="",L136=""),"",IF(AND(J136&lt;=EOMONTH(AN$4,0),L136&gt;=AN$4),1,""))</f>
        <v/>
      </c>
      <c r="AO136" s="26">
        <f>IF(OR(J136="",L136=""),"",IF(AND(J136&lt;=EOMONTH(AO$4,0),L136&gt;=AO$4),1,""))</f>
        <v/>
      </c>
      <c r="AP136" s="26">
        <f>IF(OR(J136="",L136=""),"",IF(AND(J136&lt;=EOMONTH(AP$4,0),L136&gt;=AP$4),1,""))</f>
        <v/>
      </c>
      <c r="AQ136" s="26">
        <f>IF(OR(J136="",L136=""),"",IF(AND(J136&lt;=EOMONTH(AQ$4,0),L136&gt;=AQ$4),1,""))</f>
        <v/>
      </c>
      <c r="AR136" s="26">
        <f>IF(OR(J136="",L136=""),"",IF(AND(J136&lt;=EOMONTH(AR$4,0),L136&gt;=AR$4),1,""))</f>
        <v/>
      </c>
      <c r="AS136" s="26">
        <f>IF(OR(J136="",L136=""),"",IF(AND(J136&lt;=EOMONTH(AS$4,0),L136&gt;=AS$4),1,""))</f>
        <v/>
      </c>
      <c r="AT136" s="26">
        <f>IF(OR(J136="",L136=""),"",IF(AND(J136&lt;=EOMONTH(AT$4,0),L136&gt;=AT$4),1,""))</f>
        <v/>
      </c>
      <c r="AU136" s="26">
        <f>IF(OR(J136="",L136=""),"",IF(AND(J136&lt;=EOMONTH(AU$4,0),L136&gt;=AU$4),1,""))</f>
        <v/>
      </c>
      <c r="AV136" s="26">
        <f>IF(OR(J136="",L136=""),"",IF(AND(J136&lt;=EOMONTH(AV$4,0),L136&gt;=AV$4),1,""))</f>
        <v/>
      </c>
      <c r="AW136" s="26">
        <f>IF(OR(J136="",L136=""),"",IF(AND(J136&lt;=EOMONTH(AW$4,0),L136&gt;=AW$4),1,""))</f>
        <v/>
      </c>
      <c r="AX136" s="26">
        <f>IF(OR(J136="",L136=""),"",IF(AND(J136&lt;=EOMONTH(AX$4,0),L136&gt;=AX$4),1,""))</f>
        <v/>
      </c>
      <c r="AY136" s="26">
        <f>IF(OR(J136="",L136=""),"",IF(AND(J136&lt;=EOMONTH(AY$4,0),L136&gt;=AY$4),1,""))</f>
        <v/>
      </c>
      <c r="AZ136" s="26">
        <f>IF(OR(J136="",L136=""),"",IF(AND(J136&lt;=EOMONTH(AZ$4,0),L136&gt;=AZ$4),1,""))</f>
        <v/>
      </c>
      <c r="BA136" s="26">
        <f>IF(OR(J136="",L136=""),"",IF(AND(J136&lt;=EOMONTH(BA$4,0),L136&gt;=BA$4),1,""))</f>
        <v/>
      </c>
      <c r="BB136" s="26">
        <f>IF(OR(J136="",L136=""),"",IF(AND(J136&lt;=EOMONTH(BB$4,0),L136&gt;=BB$4),1,""))</f>
        <v/>
      </c>
    </row>
    <row r="137">
      <c r="A137" s="27" t="n"/>
      <c r="B137" s="28" t="n"/>
      <c r="C137" s="29" t="n"/>
      <c r="D137" s="30">
        <f>IF(E137="","","CWA-"&amp;MID(E137,5,4))</f>
        <v/>
      </c>
      <c r="E137" s="29" t="n"/>
      <c r="F137" s="31" t="n"/>
      <c r="G137" s="29" t="n"/>
      <c r="H137" s="28" t="n"/>
      <c r="I137" s="29" t="n"/>
      <c r="J137" s="32" t="n"/>
      <c r="K137" s="28" t="n"/>
      <c r="L137" s="33">
        <f>IF(OR(J137="",K137=""),"",J137+7*K137-1)</f>
        <v/>
      </c>
      <c r="M137" s="33">
        <f>IF(J137="","",J137-7*$E$3)</f>
        <v/>
      </c>
      <c r="N137" s="33">
        <f>IF(J137="","",J137-7*$H$3)</f>
        <v/>
      </c>
      <c r="O137" s="33">
        <f>IF(J137="","",J137-1*$K$3)</f>
        <v/>
      </c>
      <c r="P137" s="30">
        <f>IF(OR(E137="",I137="",I137="—"),IF(E137="","","OK"),IFERROR(IF(INDEX($L$6:$L$155,MATCH(I137,$E$6:$E$155,0))&gt;=J137,"Conflicto con predecesor","OK"),"Predecesor no encontrado"))</f>
        <v/>
      </c>
      <c r="Q137" s="29" t="n"/>
      <c r="R137" s="31" t="n"/>
      <c r="S137" s="26">
        <f>IF(OR(J137="",L137=""),"",IF(AND(J137&lt;=EOMONTH(S$4,0),L137&gt;=S$4),1,""))</f>
        <v/>
      </c>
      <c r="T137" s="26">
        <f>IF(OR(J137="",L137=""),"",IF(AND(J137&lt;=EOMONTH(T$4,0),L137&gt;=T$4),1,""))</f>
        <v/>
      </c>
      <c r="U137" s="26">
        <f>IF(OR(J137="",L137=""),"",IF(AND(J137&lt;=EOMONTH(U$4,0),L137&gt;=U$4),1,""))</f>
        <v/>
      </c>
      <c r="V137" s="26">
        <f>IF(OR(J137="",L137=""),"",IF(AND(J137&lt;=EOMONTH(V$4,0),L137&gt;=V$4),1,""))</f>
        <v/>
      </c>
      <c r="W137" s="26">
        <f>IF(OR(J137="",L137=""),"",IF(AND(J137&lt;=EOMONTH(W$4,0),L137&gt;=W$4),1,""))</f>
        <v/>
      </c>
      <c r="X137" s="26">
        <f>IF(OR(J137="",L137=""),"",IF(AND(J137&lt;=EOMONTH(X$4,0),L137&gt;=X$4),1,""))</f>
        <v/>
      </c>
      <c r="Y137" s="26">
        <f>IF(OR(J137="",L137=""),"",IF(AND(J137&lt;=EOMONTH(Y$4,0),L137&gt;=Y$4),1,""))</f>
        <v/>
      </c>
      <c r="Z137" s="26">
        <f>IF(OR(J137="",L137=""),"",IF(AND(J137&lt;=EOMONTH(Z$4,0),L137&gt;=Z$4),1,""))</f>
        <v/>
      </c>
      <c r="AA137" s="26">
        <f>IF(OR(J137="",L137=""),"",IF(AND(J137&lt;=EOMONTH(AA$4,0),L137&gt;=AA$4),1,""))</f>
        <v/>
      </c>
      <c r="AB137" s="26">
        <f>IF(OR(J137="",L137=""),"",IF(AND(J137&lt;=EOMONTH(AB$4,0),L137&gt;=AB$4),1,""))</f>
        <v/>
      </c>
      <c r="AC137" s="26">
        <f>IF(OR(J137="",L137=""),"",IF(AND(J137&lt;=EOMONTH(AC$4,0),L137&gt;=AC$4),1,""))</f>
        <v/>
      </c>
      <c r="AD137" s="26">
        <f>IF(OR(J137="",L137=""),"",IF(AND(J137&lt;=EOMONTH(AD$4,0),L137&gt;=AD$4),1,""))</f>
        <v/>
      </c>
      <c r="AE137" s="26">
        <f>IF(OR(J137="",L137=""),"",IF(AND(J137&lt;=EOMONTH(AE$4,0),L137&gt;=AE$4),1,""))</f>
        <v/>
      </c>
      <c r="AF137" s="26">
        <f>IF(OR(J137="",L137=""),"",IF(AND(J137&lt;=EOMONTH(AF$4,0),L137&gt;=AF$4),1,""))</f>
        <v/>
      </c>
      <c r="AG137" s="26">
        <f>IF(OR(J137="",L137=""),"",IF(AND(J137&lt;=EOMONTH(AG$4,0),L137&gt;=AG$4),1,""))</f>
        <v/>
      </c>
      <c r="AH137" s="26">
        <f>IF(OR(J137="",L137=""),"",IF(AND(J137&lt;=EOMONTH(AH$4,0),L137&gt;=AH$4),1,""))</f>
        <v/>
      </c>
      <c r="AI137" s="26">
        <f>IF(OR(J137="",L137=""),"",IF(AND(J137&lt;=EOMONTH(AI$4,0),L137&gt;=AI$4),1,""))</f>
        <v/>
      </c>
      <c r="AJ137" s="26">
        <f>IF(OR(J137="",L137=""),"",IF(AND(J137&lt;=EOMONTH(AJ$4,0),L137&gt;=AJ$4),1,""))</f>
        <v/>
      </c>
      <c r="AK137" s="26">
        <f>IF(OR(J137="",L137=""),"",IF(AND(J137&lt;=EOMONTH(AK$4,0),L137&gt;=AK$4),1,""))</f>
        <v/>
      </c>
      <c r="AL137" s="26">
        <f>IF(OR(J137="",L137=""),"",IF(AND(J137&lt;=EOMONTH(AL$4,0),L137&gt;=AL$4),1,""))</f>
        <v/>
      </c>
      <c r="AM137" s="26">
        <f>IF(OR(J137="",L137=""),"",IF(AND(J137&lt;=EOMONTH(AM$4,0),L137&gt;=AM$4),1,""))</f>
        <v/>
      </c>
      <c r="AN137" s="26">
        <f>IF(OR(J137="",L137=""),"",IF(AND(J137&lt;=EOMONTH(AN$4,0),L137&gt;=AN$4),1,""))</f>
        <v/>
      </c>
      <c r="AO137" s="26">
        <f>IF(OR(J137="",L137=""),"",IF(AND(J137&lt;=EOMONTH(AO$4,0),L137&gt;=AO$4),1,""))</f>
        <v/>
      </c>
      <c r="AP137" s="26">
        <f>IF(OR(J137="",L137=""),"",IF(AND(J137&lt;=EOMONTH(AP$4,0),L137&gt;=AP$4),1,""))</f>
        <v/>
      </c>
      <c r="AQ137" s="26">
        <f>IF(OR(J137="",L137=""),"",IF(AND(J137&lt;=EOMONTH(AQ$4,0),L137&gt;=AQ$4),1,""))</f>
        <v/>
      </c>
      <c r="AR137" s="26">
        <f>IF(OR(J137="",L137=""),"",IF(AND(J137&lt;=EOMONTH(AR$4,0),L137&gt;=AR$4),1,""))</f>
        <v/>
      </c>
      <c r="AS137" s="26">
        <f>IF(OR(J137="",L137=""),"",IF(AND(J137&lt;=EOMONTH(AS$4,0),L137&gt;=AS$4),1,""))</f>
        <v/>
      </c>
      <c r="AT137" s="26">
        <f>IF(OR(J137="",L137=""),"",IF(AND(J137&lt;=EOMONTH(AT$4,0),L137&gt;=AT$4),1,""))</f>
        <v/>
      </c>
      <c r="AU137" s="26">
        <f>IF(OR(J137="",L137=""),"",IF(AND(J137&lt;=EOMONTH(AU$4,0),L137&gt;=AU$4),1,""))</f>
        <v/>
      </c>
      <c r="AV137" s="26">
        <f>IF(OR(J137="",L137=""),"",IF(AND(J137&lt;=EOMONTH(AV$4,0),L137&gt;=AV$4),1,""))</f>
        <v/>
      </c>
      <c r="AW137" s="26">
        <f>IF(OR(J137="",L137=""),"",IF(AND(J137&lt;=EOMONTH(AW$4,0),L137&gt;=AW$4),1,""))</f>
        <v/>
      </c>
      <c r="AX137" s="26">
        <f>IF(OR(J137="",L137=""),"",IF(AND(J137&lt;=EOMONTH(AX$4,0),L137&gt;=AX$4),1,""))</f>
        <v/>
      </c>
      <c r="AY137" s="26">
        <f>IF(OR(J137="",L137=""),"",IF(AND(J137&lt;=EOMONTH(AY$4,0),L137&gt;=AY$4),1,""))</f>
        <v/>
      </c>
      <c r="AZ137" s="26">
        <f>IF(OR(J137="",L137=""),"",IF(AND(J137&lt;=EOMONTH(AZ$4,0),L137&gt;=AZ$4),1,""))</f>
        <v/>
      </c>
      <c r="BA137" s="26">
        <f>IF(OR(J137="",L137=""),"",IF(AND(J137&lt;=EOMONTH(BA$4,0),L137&gt;=BA$4),1,""))</f>
        <v/>
      </c>
      <c r="BB137" s="26">
        <f>IF(OR(J137="",L137=""),"",IF(AND(J137&lt;=EOMONTH(BB$4,0),L137&gt;=BB$4),1,""))</f>
        <v/>
      </c>
    </row>
    <row r="138">
      <c r="A138" s="27" t="n"/>
      <c r="B138" s="28" t="n"/>
      <c r="C138" s="29" t="n"/>
      <c r="D138" s="30">
        <f>IF(E138="","","CWA-"&amp;MID(E138,5,4))</f>
        <v/>
      </c>
      <c r="E138" s="29" t="n"/>
      <c r="F138" s="31" t="n"/>
      <c r="G138" s="29" t="n"/>
      <c r="H138" s="28" t="n"/>
      <c r="I138" s="29" t="n"/>
      <c r="J138" s="32" t="n"/>
      <c r="K138" s="28" t="n"/>
      <c r="L138" s="33">
        <f>IF(OR(J138="",K138=""),"",J138+7*K138-1)</f>
        <v/>
      </c>
      <c r="M138" s="33">
        <f>IF(J138="","",J138-7*$E$3)</f>
        <v/>
      </c>
      <c r="N138" s="33">
        <f>IF(J138="","",J138-7*$H$3)</f>
        <v/>
      </c>
      <c r="O138" s="33">
        <f>IF(J138="","",J138-1*$K$3)</f>
        <v/>
      </c>
      <c r="P138" s="30">
        <f>IF(OR(E138="",I138="",I138="—"),IF(E138="","","OK"),IFERROR(IF(INDEX($L$6:$L$155,MATCH(I138,$E$6:$E$155,0))&gt;=J138,"Conflicto con predecesor","OK"),"Predecesor no encontrado"))</f>
        <v/>
      </c>
      <c r="Q138" s="29" t="n"/>
      <c r="R138" s="31" t="n"/>
      <c r="S138" s="26">
        <f>IF(OR(J138="",L138=""),"",IF(AND(J138&lt;=EOMONTH(S$4,0),L138&gt;=S$4),1,""))</f>
        <v/>
      </c>
      <c r="T138" s="26">
        <f>IF(OR(J138="",L138=""),"",IF(AND(J138&lt;=EOMONTH(T$4,0),L138&gt;=T$4),1,""))</f>
        <v/>
      </c>
      <c r="U138" s="26">
        <f>IF(OR(J138="",L138=""),"",IF(AND(J138&lt;=EOMONTH(U$4,0),L138&gt;=U$4),1,""))</f>
        <v/>
      </c>
      <c r="V138" s="26">
        <f>IF(OR(J138="",L138=""),"",IF(AND(J138&lt;=EOMONTH(V$4,0),L138&gt;=V$4),1,""))</f>
        <v/>
      </c>
      <c r="W138" s="26">
        <f>IF(OR(J138="",L138=""),"",IF(AND(J138&lt;=EOMONTH(W$4,0),L138&gt;=W$4),1,""))</f>
        <v/>
      </c>
      <c r="X138" s="26">
        <f>IF(OR(J138="",L138=""),"",IF(AND(J138&lt;=EOMONTH(X$4,0),L138&gt;=X$4),1,""))</f>
        <v/>
      </c>
      <c r="Y138" s="26">
        <f>IF(OR(J138="",L138=""),"",IF(AND(J138&lt;=EOMONTH(Y$4,0),L138&gt;=Y$4),1,""))</f>
        <v/>
      </c>
      <c r="Z138" s="26">
        <f>IF(OR(J138="",L138=""),"",IF(AND(J138&lt;=EOMONTH(Z$4,0),L138&gt;=Z$4),1,""))</f>
        <v/>
      </c>
      <c r="AA138" s="26">
        <f>IF(OR(J138="",L138=""),"",IF(AND(J138&lt;=EOMONTH(AA$4,0),L138&gt;=AA$4),1,""))</f>
        <v/>
      </c>
      <c r="AB138" s="26">
        <f>IF(OR(J138="",L138=""),"",IF(AND(J138&lt;=EOMONTH(AB$4,0),L138&gt;=AB$4),1,""))</f>
        <v/>
      </c>
      <c r="AC138" s="26">
        <f>IF(OR(J138="",L138=""),"",IF(AND(J138&lt;=EOMONTH(AC$4,0),L138&gt;=AC$4),1,""))</f>
        <v/>
      </c>
      <c r="AD138" s="26">
        <f>IF(OR(J138="",L138=""),"",IF(AND(J138&lt;=EOMONTH(AD$4,0),L138&gt;=AD$4),1,""))</f>
        <v/>
      </c>
      <c r="AE138" s="26">
        <f>IF(OR(J138="",L138=""),"",IF(AND(J138&lt;=EOMONTH(AE$4,0),L138&gt;=AE$4),1,""))</f>
        <v/>
      </c>
      <c r="AF138" s="26">
        <f>IF(OR(J138="",L138=""),"",IF(AND(J138&lt;=EOMONTH(AF$4,0),L138&gt;=AF$4),1,""))</f>
        <v/>
      </c>
      <c r="AG138" s="26">
        <f>IF(OR(J138="",L138=""),"",IF(AND(J138&lt;=EOMONTH(AG$4,0),L138&gt;=AG$4),1,""))</f>
        <v/>
      </c>
      <c r="AH138" s="26">
        <f>IF(OR(J138="",L138=""),"",IF(AND(J138&lt;=EOMONTH(AH$4,0),L138&gt;=AH$4),1,""))</f>
        <v/>
      </c>
      <c r="AI138" s="26">
        <f>IF(OR(J138="",L138=""),"",IF(AND(J138&lt;=EOMONTH(AI$4,0),L138&gt;=AI$4),1,""))</f>
        <v/>
      </c>
      <c r="AJ138" s="26">
        <f>IF(OR(J138="",L138=""),"",IF(AND(J138&lt;=EOMONTH(AJ$4,0),L138&gt;=AJ$4),1,""))</f>
        <v/>
      </c>
      <c r="AK138" s="26">
        <f>IF(OR(J138="",L138=""),"",IF(AND(J138&lt;=EOMONTH(AK$4,0),L138&gt;=AK$4),1,""))</f>
        <v/>
      </c>
      <c r="AL138" s="26">
        <f>IF(OR(J138="",L138=""),"",IF(AND(J138&lt;=EOMONTH(AL$4,0),L138&gt;=AL$4),1,""))</f>
        <v/>
      </c>
      <c r="AM138" s="26">
        <f>IF(OR(J138="",L138=""),"",IF(AND(J138&lt;=EOMONTH(AM$4,0),L138&gt;=AM$4),1,""))</f>
        <v/>
      </c>
      <c r="AN138" s="26">
        <f>IF(OR(J138="",L138=""),"",IF(AND(J138&lt;=EOMONTH(AN$4,0),L138&gt;=AN$4),1,""))</f>
        <v/>
      </c>
      <c r="AO138" s="26">
        <f>IF(OR(J138="",L138=""),"",IF(AND(J138&lt;=EOMONTH(AO$4,0),L138&gt;=AO$4),1,""))</f>
        <v/>
      </c>
      <c r="AP138" s="26">
        <f>IF(OR(J138="",L138=""),"",IF(AND(J138&lt;=EOMONTH(AP$4,0),L138&gt;=AP$4),1,""))</f>
        <v/>
      </c>
      <c r="AQ138" s="26">
        <f>IF(OR(J138="",L138=""),"",IF(AND(J138&lt;=EOMONTH(AQ$4,0),L138&gt;=AQ$4),1,""))</f>
        <v/>
      </c>
      <c r="AR138" s="26">
        <f>IF(OR(J138="",L138=""),"",IF(AND(J138&lt;=EOMONTH(AR$4,0),L138&gt;=AR$4),1,""))</f>
        <v/>
      </c>
      <c r="AS138" s="26">
        <f>IF(OR(J138="",L138=""),"",IF(AND(J138&lt;=EOMONTH(AS$4,0),L138&gt;=AS$4),1,""))</f>
        <v/>
      </c>
      <c r="AT138" s="26">
        <f>IF(OR(J138="",L138=""),"",IF(AND(J138&lt;=EOMONTH(AT$4,0),L138&gt;=AT$4),1,""))</f>
        <v/>
      </c>
      <c r="AU138" s="26">
        <f>IF(OR(J138="",L138=""),"",IF(AND(J138&lt;=EOMONTH(AU$4,0),L138&gt;=AU$4),1,""))</f>
        <v/>
      </c>
      <c r="AV138" s="26">
        <f>IF(OR(J138="",L138=""),"",IF(AND(J138&lt;=EOMONTH(AV$4,0),L138&gt;=AV$4),1,""))</f>
        <v/>
      </c>
      <c r="AW138" s="26">
        <f>IF(OR(J138="",L138=""),"",IF(AND(J138&lt;=EOMONTH(AW$4,0),L138&gt;=AW$4),1,""))</f>
        <v/>
      </c>
      <c r="AX138" s="26">
        <f>IF(OR(J138="",L138=""),"",IF(AND(J138&lt;=EOMONTH(AX$4,0),L138&gt;=AX$4),1,""))</f>
        <v/>
      </c>
      <c r="AY138" s="26">
        <f>IF(OR(J138="",L138=""),"",IF(AND(J138&lt;=EOMONTH(AY$4,0),L138&gt;=AY$4),1,""))</f>
        <v/>
      </c>
      <c r="AZ138" s="26">
        <f>IF(OR(J138="",L138=""),"",IF(AND(J138&lt;=EOMONTH(AZ$4,0),L138&gt;=AZ$4),1,""))</f>
        <v/>
      </c>
      <c r="BA138" s="26">
        <f>IF(OR(J138="",L138=""),"",IF(AND(J138&lt;=EOMONTH(BA$4,0),L138&gt;=BA$4),1,""))</f>
        <v/>
      </c>
      <c r="BB138" s="26">
        <f>IF(OR(J138="",L138=""),"",IF(AND(J138&lt;=EOMONTH(BB$4,0),L138&gt;=BB$4),1,""))</f>
        <v/>
      </c>
    </row>
    <row r="139">
      <c r="A139" s="27" t="n"/>
      <c r="B139" s="28" t="n"/>
      <c r="C139" s="29" t="n"/>
      <c r="D139" s="30">
        <f>IF(E139="","","CWA-"&amp;MID(E139,5,4))</f>
        <v/>
      </c>
      <c r="E139" s="29" t="n"/>
      <c r="F139" s="31" t="n"/>
      <c r="G139" s="29" t="n"/>
      <c r="H139" s="28" t="n"/>
      <c r="I139" s="29" t="n"/>
      <c r="J139" s="32" t="n"/>
      <c r="K139" s="28" t="n"/>
      <c r="L139" s="33">
        <f>IF(OR(J139="",K139=""),"",J139+7*K139-1)</f>
        <v/>
      </c>
      <c r="M139" s="33">
        <f>IF(J139="","",J139-7*$E$3)</f>
        <v/>
      </c>
      <c r="N139" s="33">
        <f>IF(J139="","",J139-7*$H$3)</f>
        <v/>
      </c>
      <c r="O139" s="33">
        <f>IF(J139="","",J139-1*$K$3)</f>
        <v/>
      </c>
      <c r="P139" s="30">
        <f>IF(OR(E139="",I139="",I139="—"),IF(E139="","","OK"),IFERROR(IF(INDEX($L$6:$L$155,MATCH(I139,$E$6:$E$155,0))&gt;=J139,"Conflicto con predecesor","OK"),"Predecesor no encontrado"))</f>
        <v/>
      </c>
      <c r="Q139" s="29" t="n"/>
      <c r="R139" s="31" t="n"/>
      <c r="S139" s="26">
        <f>IF(OR(J139="",L139=""),"",IF(AND(J139&lt;=EOMONTH(S$4,0),L139&gt;=S$4),1,""))</f>
        <v/>
      </c>
      <c r="T139" s="26">
        <f>IF(OR(J139="",L139=""),"",IF(AND(J139&lt;=EOMONTH(T$4,0),L139&gt;=T$4),1,""))</f>
        <v/>
      </c>
      <c r="U139" s="26">
        <f>IF(OR(J139="",L139=""),"",IF(AND(J139&lt;=EOMONTH(U$4,0),L139&gt;=U$4),1,""))</f>
        <v/>
      </c>
      <c r="V139" s="26">
        <f>IF(OR(J139="",L139=""),"",IF(AND(J139&lt;=EOMONTH(V$4,0),L139&gt;=V$4),1,""))</f>
        <v/>
      </c>
      <c r="W139" s="26">
        <f>IF(OR(J139="",L139=""),"",IF(AND(J139&lt;=EOMONTH(W$4,0),L139&gt;=W$4),1,""))</f>
        <v/>
      </c>
      <c r="X139" s="26">
        <f>IF(OR(J139="",L139=""),"",IF(AND(J139&lt;=EOMONTH(X$4,0),L139&gt;=X$4),1,""))</f>
        <v/>
      </c>
      <c r="Y139" s="26">
        <f>IF(OR(J139="",L139=""),"",IF(AND(J139&lt;=EOMONTH(Y$4,0),L139&gt;=Y$4),1,""))</f>
        <v/>
      </c>
      <c r="Z139" s="26">
        <f>IF(OR(J139="",L139=""),"",IF(AND(J139&lt;=EOMONTH(Z$4,0),L139&gt;=Z$4),1,""))</f>
        <v/>
      </c>
      <c r="AA139" s="26">
        <f>IF(OR(J139="",L139=""),"",IF(AND(J139&lt;=EOMONTH(AA$4,0),L139&gt;=AA$4),1,""))</f>
        <v/>
      </c>
      <c r="AB139" s="26">
        <f>IF(OR(J139="",L139=""),"",IF(AND(J139&lt;=EOMONTH(AB$4,0),L139&gt;=AB$4),1,""))</f>
        <v/>
      </c>
      <c r="AC139" s="26">
        <f>IF(OR(J139="",L139=""),"",IF(AND(J139&lt;=EOMONTH(AC$4,0),L139&gt;=AC$4),1,""))</f>
        <v/>
      </c>
      <c r="AD139" s="26">
        <f>IF(OR(J139="",L139=""),"",IF(AND(J139&lt;=EOMONTH(AD$4,0),L139&gt;=AD$4),1,""))</f>
        <v/>
      </c>
      <c r="AE139" s="26">
        <f>IF(OR(J139="",L139=""),"",IF(AND(J139&lt;=EOMONTH(AE$4,0),L139&gt;=AE$4),1,""))</f>
        <v/>
      </c>
      <c r="AF139" s="26">
        <f>IF(OR(J139="",L139=""),"",IF(AND(J139&lt;=EOMONTH(AF$4,0),L139&gt;=AF$4),1,""))</f>
        <v/>
      </c>
      <c r="AG139" s="26">
        <f>IF(OR(J139="",L139=""),"",IF(AND(J139&lt;=EOMONTH(AG$4,0),L139&gt;=AG$4),1,""))</f>
        <v/>
      </c>
      <c r="AH139" s="26">
        <f>IF(OR(J139="",L139=""),"",IF(AND(J139&lt;=EOMONTH(AH$4,0),L139&gt;=AH$4),1,""))</f>
        <v/>
      </c>
      <c r="AI139" s="26">
        <f>IF(OR(J139="",L139=""),"",IF(AND(J139&lt;=EOMONTH(AI$4,0),L139&gt;=AI$4),1,""))</f>
        <v/>
      </c>
      <c r="AJ139" s="26">
        <f>IF(OR(J139="",L139=""),"",IF(AND(J139&lt;=EOMONTH(AJ$4,0),L139&gt;=AJ$4),1,""))</f>
        <v/>
      </c>
      <c r="AK139" s="26">
        <f>IF(OR(J139="",L139=""),"",IF(AND(J139&lt;=EOMONTH(AK$4,0),L139&gt;=AK$4),1,""))</f>
        <v/>
      </c>
      <c r="AL139" s="26">
        <f>IF(OR(J139="",L139=""),"",IF(AND(J139&lt;=EOMONTH(AL$4,0),L139&gt;=AL$4),1,""))</f>
        <v/>
      </c>
      <c r="AM139" s="26">
        <f>IF(OR(J139="",L139=""),"",IF(AND(J139&lt;=EOMONTH(AM$4,0),L139&gt;=AM$4),1,""))</f>
        <v/>
      </c>
      <c r="AN139" s="26">
        <f>IF(OR(J139="",L139=""),"",IF(AND(J139&lt;=EOMONTH(AN$4,0),L139&gt;=AN$4),1,""))</f>
        <v/>
      </c>
      <c r="AO139" s="26">
        <f>IF(OR(J139="",L139=""),"",IF(AND(J139&lt;=EOMONTH(AO$4,0),L139&gt;=AO$4),1,""))</f>
        <v/>
      </c>
      <c r="AP139" s="26">
        <f>IF(OR(J139="",L139=""),"",IF(AND(J139&lt;=EOMONTH(AP$4,0),L139&gt;=AP$4),1,""))</f>
        <v/>
      </c>
      <c r="AQ139" s="26">
        <f>IF(OR(J139="",L139=""),"",IF(AND(J139&lt;=EOMONTH(AQ$4,0),L139&gt;=AQ$4),1,""))</f>
        <v/>
      </c>
      <c r="AR139" s="26">
        <f>IF(OR(J139="",L139=""),"",IF(AND(J139&lt;=EOMONTH(AR$4,0),L139&gt;=AR$4),1,""))</f>
        <v/>
      </c>
      <c r="AS139" s="26">
        <f>IF(OR(J139="",L139=""),"",IF(AND(J139&lt;=EOMONTH(AS$4,0),L139&gt;=AS$4),1,""))</f>
        <v/>
      </c>
      <c r="AT139" s="26">
        <f>IF(OR(J139="",L139=""),"",IF(AND(J139&lt;=EOMONTH(AT$4,0),L139&gt;=AT$4),1,""))</f>
        <v/>
      </c>
      <c r="AU139" s="26">
        <f>IF(OR(J139="",L139=""),"",IF(AND(J139&lt;=EOMONTH(AU$4,0),L139&gt;=AU$4),1,""))</f>
        <v/>
      </c>
      <c r="AV139" s="26">
        <f>IF(OR(J139="",L139=""),"",IF(AND(J139&lt;=EOMONTH(AV$4,0),L139&gt;=AV$4),1,""))</f>
        <v/>
      </c>
      <c r="AW139" s="26">
        <f>IF(OR(J139="",L139=""),"",IF(AND(J139&lt;=EOMONTH(AW$4,0),L139&gt;=AW$4),1,""))</f>
        <v/>
      </c>
      <c r="AX139" s="26">
        <f>IF(OR(J139="",L139=""),"",IF(AND(J139&lt;=EOMONTH(AX$4,0),L139&gt;=AX$4),1,""))</f>
        <v/>
      </c>
      <c r="AY139" s="26">
        <f>IF(OR(J139="",L139=""),"",IF(AND(J139&lt;=EOMONTH(AY$4,0),L139&gt;=AY$4),1,""))</f>
        <v/>
      </c>
      <c r="AZ139" s="26">
        <f>IF(OR(J139="",L139=""),"",IF(AND(J139&lt;=EOMONTH(AZ$4,0),L139&gt;=AZ$4),1,""))</f>
        <v/>
      </c>
      <c r="BA139" s="26">
        <f>IF(OR(J139="",L139=""),"",IF(AND(J139&lt;=EOMONTH(BA$4,0),L139&gt;=BA$4),1,""))</f>
        <v/>
      </c>
      <c r="BB139" s="26">
        <f>IF(OR(J139="",L139=""),"",IF(AND(J139&lt;=EOMONTH(BB$4,0),L139&gt;=BB$4),1,""))</f>
        <v/>
      </c>
    </row>
    <row r="140">
      <c r="A140" s="27" t="n"/>
      <c r="B140" s="28" t="n"/>
      <c r="C140" s="29" t="n"/>
      <c r="D140" s="30">
        <f>IF(E140="","","CWA-"&amp;MID(E140,5,4))</f>
        <v/>
      </c>
      <c r="E140" s="29" t="n"/>
      <c r="F140" s="31" t="n"/>
      <c r="G140" s="29" t="n"/>
      <c r="H140" s="28" t="n"/>
      <c r="I140" s="29" t="n"/>
      <c r="J140" s="32" t="n"/>
      <c r="K140" s="28" t="n"/>
      <c r="L140" s="33">
        <f>IF(OR(J140="",K140=""),"",J140+7*K140-1)</f>
        <v/>
      </c>
      <c r="M140" s="33">
        <f>IF(J140="","",J140-7*$E$3)</f>
        <v/>
      </c>
      <c r="N140" s="33">
        <f>IF(J140="","",J140-7*$H$3)</f>
        <v/>
      </c>
      <c r="O140" s="33">
        <f>IF(J140="","",J140-1*$K$3)</f>
        <v/>
      </c>
      <c r="P140" s="30">
        <f>IF(OR(E140="",I140="",I140="—"),IF(E140="","","OK"),IFERROR(IF(INDEX($L$6:$L$155,MATCH(I140,$E$6:$E$155,0))&gt;=J140,"Conflicto con predecesor","OK"),"Predecesor no encontrado"))</f>
        <v/>
      </c>
      <c r="Q140" s="29" t="n"/>
      <c r="R140" s="31" t="n"/>
      <c r="S140" s="26">
        <f>IF(OR(J140="",L140=""),"",IF(AND(J140&lt;=EOMONTH(S$4,0),L140&gt;=S$4),1,""))</f>
        <v/>
      </c>
      <c r="T140" s="26">
        <f>IF(OR(J140="",L140=""),"",IF(AND(J140&lt;=EOMONTH(T$4,0),L140&gt;=T$4),1,""))</f>
        <v/>
      </c>
      <c r="U140" s="26">
        <f>IF(OR(J140="",L140=""),"",IF(AND(J140&lt;=EOMONTH(U$4,0),L140&gt;=U$4),1,""))</f>
        <v/>
      </c>
      <c r="V140" s="26">
        <f>IF(OR(J140="",L140=""),"",IF(AND(J140&lt;=EOMONTH(V$4,0),L140&gt;=V$4),1,""))</f>
        <v/>
      </c>
      <c r="W140" s="26">
        <f>IF(OR(J140="",L140=""),"",IF(AND(J140&lt;=EOMONTH(W$4,0),L140&gt;=W$4),1,""))</f>
        <v/>
      </c>
      <c r="X140" s="26">
        <f>IF(OR(J140="",L140=""),"",IF(AND(J140&lt;=EOMONTH(X$4,0),L140&gt;=X$4),1,""))</f>
        <v/>
      </c>
      <c r="Y140" s="26">
        <f>IF(OR(J140="",L140=""),"",IF(AND(J140&lt;=EOMONTH(Y$4,0),L140&gt;=Y$4),1,""))</f>
        <v/>
      </c>
      <c r="Z140" s="26">
        <f>IF(OR(J140="",L140=""),"",IF(AND(J140&lt;=EOMONTH(Z$4,0),L140&gt;=Z$4),1,""))</f>
        <v/>
      </c>
      <c r="AA140" s="26">
        <f>IF(OR(J140="",L140=""),"",IF(AND(J140&lt;=EOMONTH(AA$4,0),L140&gt;=AA$4),1,""))</f>
        <v/>
      </c>
      <c r="AB140" s="26">
        <f>IF(OR(J140="",L140=""),"",IF(AND(J140&lt;=EOMONTH(AB$4,0),L140&gt;=AB$4),1,""))</f>
        <v/>
      </c>
      <c r="AC140" s="26">
        <f>IF(OR(J140="",L140=""),"",IF(AND(J140&lt;=EOMONTH(AC$4,0),L140&gt;=AC$4),1,""))</f>
        <v/>
      </c>
      <c r="AD140" s="26">
        <f>IF(OR(J140="",L140=""),"",IF(AND(J140&lt;=EOMONTH(AD$4,0),L140&gt;=AD$4),1,""))</f>
        <v/>
      </c>
      <c r="AE140" s="26">
        <f>IF(OR(J140="",L140=""),"",IF(AND(J140&lt;=EOMONTH(AE$4,0),L140&gt;=AE$4),1,""))</f>
        <v/>
      </c>
      <c r="AF140" s="26">
        <f>IF(OR(J140="",L140=""),"",IF(AND(J140&lt;=EOMONTH(AF$4,0),L140&gt;=AF$4),1,""))</f>
        <v/>
      </c>
      <c r="AG140" s="26">
        <f>IF(OR(J140="",L140=""),"",IF(AND(J140&lt;=EOMONTH(AG$4,0),L140&gt;=AG$4),1,""))</f>
        <v/>
      </c>
      <c r="AH140" s="26">
        <f>IF(OR(J140="",L140=""),"",IF(AND(J140&lt;=EOMONTH(AH$4,0),L140&gt;=AH$4),1,""))</f>
        <v/>
      </c>
      <c r="AI140" s="26">
        <f>IF(OR(J140="",L140=""),"",IF(AND(J140&lt;=EOMONTH(AI$4,0),L140&gt;=AI$4),1,""))</f>
        <v/>
      </c>
      <c r="AJ140" s="26">
        <f>IF(OR(J140="",L140=""),"",IF(AND(J140&lt;=EOMONTH(AJ$4,0),L140&gt;=AJ$4),1,""))</f>
        <v/>
      </c>
      <c r="AK140" s="26">
        <f>IF(OR(J140="",L140=""),"",IF(AND(J140&lt;=EOMONTH(AK$4,0),L140&gt;=AK$4),1,""))</f>
        <v/>
      </c>
      <c r="AL140" s="26">
        <f>IF(OR(J140="",L140=""),"",IF(AND(J140&lt;=EOMONTH(AL$4,0),L140&gt;=AL$4),1,""))</f>
        <v/>
      </c>
      <c r="AM140" s="26">
        <f>IF(OR(J140="",L140=""),"",IF(AND(J140&lt;=EOMONTH(AM$4,0),L140&gt;=AM$4),1,""))</f>
        <v/>
      </c>
      <c r="AN140" s="26">
        <f>IF(OR(J140="",L140=""),"",IF(AND(J140&lt;=EOMONTH(AN$4,0),L140&gt;=AN$4),1,""))</f>
        <v/>
      </c>
      <c r="AO140" s="26">
        <f>IF(OR(J140="",L140=""),"",IF(AND(J140&lt;=EOMONTH(AO$4,0),L140&gt;=AO$4),1,""))</f>
        <v/>
      </c>
      <c r="AP140" s="26">
        <f>IF(OR(J140="",L140=""),"",IF(AND(J140&lt;=EOMONTH(AP$4,0),L140&gt;=AP$4),1,""))</f>
        <v/>
      </c>
      <c r="AQ140" s="26">
        <f>IF(OR(J140="",L140=""),"",IF(AND(J140&lt;=EOMONTH(AQ$4,0),L140&gt;=AQ$4),1,""))</f>
        <v/>
      </c>
      <c r="AR140" s="26">
        <f>IF(OR(J140="",L140=""),"",IF(AND(J140&lt;=EOMONTH(AR$4,0),L140&gt;=AR$4),1,""))</f>
        <v/>
      </c>
      <c r="AS140" s="26">
        <f>IF(OR(J140="",L140=""),"",IF(AND(J140&lt;=EOMONTH(AS$4,0),L140&gt;=AS$4),1,""))</f>
        <v/>
      </c>
      <c r="AT140" s="26">
        <f>IF(OR(J140="",L140=""),"",IF(AND(J140&lt;=EOMONTH(AT$4,0),L140&gt;=AT$4),1,""))</f>
        <v/>
      </c>
      <c r="AU140" s="26">
        <f>IF(OR(J140="",L140=""),"",IF(AND(J140&lt;=EOMONTH(AU$4,0),L140&gt;=AU$4),1,""))</f>
        <v/>
      </c>
      <c r="AV140" s="26">
        <f>IF(OR(J140="",L140=""),"",IF(AND(J140&lt;=EOMONTH(AV$4,0),L140&gt;=AV$4),1,""))</f>
        <v/>
      </c>
      <c r="AW140" s="26">
        <f>IF(OR(J140="",L140=""),"",IF(AND(J140&lt;=EOMONTH(AW$4,0),L140&gt;=AW$4),1,""))</f>
        <v/>
      </c>
      <c r="AX140" s="26">
        <f>IF(OR(J140="",L140=""),"",IF(AND(J140&lt;=EOMONTH(AX$4,0),L140&gt;=AX$4),1,""))</f>
        <v/>
      </c>
      <c r="AY140" s="26">
        <f>IF(OR(J140="",L140=""),"",IF(AND(J140&lt;=EOMONTH(AY$4,0),L140&gt;=AY$4),1,""))</f>
        <v/>
      </c>
      <c r="AZ140" s="26">
        <f>IF(OR(J140="",L140=""),"",IF(AND(J140&lt;=EOMONTH(AZ$4,0),L140&gt;=AZ$4),1,""))</f>
        <v/>
      </c>
      <c r="BA140" s="26">
        <f>IF(OR(J140="",L140=""),"",IF(AND(J140&lt;=EOMONTH(BA$4,0),L140&gt;=BA$4),1,""))</f>
        <v/>
      </c>
      <c r="BB140" s="26">
        <f>IF(OR(J140="",L140=""),"",IF(AND(J140&lt;=EOMONTH(BB$4,0),L140&gt;=BB$4),1,""))</f>
        <v/>
      </c>
    </row>
    <row r="141">
      <c r="A141" s="27" t="n"/>
      <c r="B141" s="28" t="n"/>
      <c r="C141" s="29" t="n"/>
      <c r="D141" s="30">
        <f>IF(E141="","","CWA-"&amp;MID(E141,5,4))</f>
        <v/>
      </c>
      <c r="E141" s="29" t="n"/>
      <c r="F141" s="31" t="n"/>
      <c r="G141" s="29" t="n"/>
      <c r="H141" s="28" t="n"/>
      <c r="I141" s="29" t="n"/>
      <c r="J141" s="32" t="n"/>
      <c r="K141" s="28" t="n"/>
      <c r="L141" s="33">
        <f>IF(OR(J141="",K141=""),"",J141+7*K141-1)</f>
        <v/>
      </c>
      <c r="M141" s="33">
        <f>IF(J141="","",J141-7*$E$3)</f>
        <v/>
      </c>
      <c r="N141" s="33">
        <f>IF(J141="","",J141-7*$H$3)</f>
        <v/>
      </c>
      <c r="O141" s="33">
        <f>IF(J141="","",J141-1*$K$3)</f>
        <v/>
      </c>
      <c r="P141" s="30">
        <f>IF(OR(E141="",I141="",I141="—"),IF(E141="","","OK"),IFERROR(IF(INDEX($L$6:$L$155,MATCH(I141,$E$6:$E$155,0))&gt;=J141,"Conflicto con predecesor","OK"),"Predecesor no encontrado"))</f>
        <v/>
      </c>
      <c r="Q141" s="29" t="n"/>
      <c r="R141" s="31" t="n"/>
      <c r="S141" s="26">
        <f>IF(OR(J141="",L141=""),"",IF(AND(J141&lt;=EOMONTH(S$4,0),L141&gt;=S$4),1,""))</f>
        <v/>
      </c>
      <c r="T141" s="26">
        <f>IF(OR(J141="",L141=""),"",IF(AND(J141&lt;=EOMONTH(T$4,0),L141&gt;=T$4),1,""))</f>
        <v/>
      </c>
      <c r="U141" s="26">
        <f>IF(OR(J141="",L141=""),"",IF(AND(J141&lt;=EOMONTH(U$4,0),L141&gt;=U$4),1,""))</f>
        <v/>
      </c>
      <c r="V141" s="26">
        <f>IF(OR(J141="",L141=""),"",IF(AND(J141&lt;=EOMONTH(V$4,0),L141&gt;=V$4),1,""))</f>
        <v/>
      </c>
      <c r="W141" s="26">
        <f>IF(OR(J141="",L141=""),"",IF(AND(J141&lt;=EOMONTH(W$4,0),L141&gt;=W$4),1,""))</f>
        <v/>
      </c>
      <c r="X141" s="26">
        <f>IF(OR(J141="",L141=""),"",IF(AND(J141&lt;=EOMONTH(X$4,0),L141&gt;=X$4),1,""))</f>
        <v/>
      </c>
      <c r="Y141" s="26">
        <f>IF(OR(J141="",L141=""),"",IF(AND(J141&lt;=EOMONTH(Y$4,0),L141&gt;=Y$4),1,""))</f>
        <v/>
      </c>
      <c r="Z141" s="26">
        <f>IF(OR(J141="",L141=""),"",IF(AND(J141&lt;=EOMONTH(Z$4,0),L141&gt;=Z$4),1,""))</f>
        <v/>
      </c>
      <c r="AA141" s="26">
        <f>IF(OR(J141="",L141=""),"",IF(AND(J141&lt;=EOMONTH(AA$4,0),L141&gt;=AA$4),1,""))</f>
        <v/>
      </c>
      <c r="AB141" s="26">
        <f>IF(OR(J141="",L141=""),"",IF(AND(J141&lt;=EOMONTH(AB$4,0),L141&gt;=AB$4),1,""))</f>
        <v/>
      </c>
      <c r="AC141" s="26">
        <f>IF(OR(J141="",L141=""),"",IF(AND(J141&lt;=EOMONTH(AC$4,0),L141&gt;=AC$4),1,""))</f>
        <v/>
      </c>
      <c r="AD141" s="26">
        <f>IF(OR(J141="",L141=""),"",IF(AND(J141&lt;=EOMONTH(AD$4,0),L141&gt;=AD$4),1,""))</f>
        <v/>
      </c>
      <c r="AE141" s="26">
        <f>IF(OR(J141="",L141=""),"",IF(AND(J141&lt;=EOMONTH(AE$4,0),L141&gt;=AE$4),1,""))</f>
        <v/>
      </c>
      <c r="AF141" s="26">
        <f>IF(OR(J141="",L141=""),"",IF(AND(J141&lt;=EOMONTH(AF$4,0),L141&gt;=AF$4),1,""))</f>
        <v/>
      </c>
      <c r="AG141" s="26">
        <f>IF(OR(J141="",L141=""),"",IF(AND(J141&lt;=EOMONTH(AG$4,0),L141&gt;=AG$4),1,""))</f>
        <v/>
      </c>
      <c r="AH141" s="26">
        <f>IF(OR(J141="",L141=""),"",IF(AND(J141&lt;=EOMONTH(AH$4,0),L141&gt;=AH$4),1,""))</f>
        <v/>
      </c>
      <c r="AI141" s="26">
        <f>IF(OR(J141="",L141=""),"",IF(AND(J141&lt;=EOMONTH(AI$4,0),L141&gt;=AI$4),1,""))</f>
        <v/>
      </c>
      <c r="AJ141" s="26">
        <f>IF(OR(J141="",L141=""),"",IF(AND(J141&lt;=EOMONTH(AJ$4,0),L141&gt;=AJ$4),1,""))</f>
        <v/>
      </c>
      <c r="AK141" s="26">
        <f>IF(OR(J141="",L141=""),"",IF(AND(J141&lt;=EOMONTH(AK$4,0),L141&gt;=AK$4),1,""))</f>
        <v/>
      </c>
      <c r="AL141" s="26">
        <f>IF(OR(J141="",L141=""),"",IF(AND(J141&lt;=EOMONTH(AL$4,0),L141&gt;=AL$4),1,""))</f>
        <v/>
      </c>
      <c r="AM141" s="26">
        <f>IF(OR(J141="",L141=""),"",IF(AND(J141&lt;=EOMONTH(AM$4,0),L141&gt;=AM$4),1,""))</f>
        <v/>
      </c>
      <c r="AN141" s="26">
        <f>IF(OR(J141="",L141=""),"",IF(AND(J141&lt;=EOMONTH(AN$4,0),L141&gt;=AN$4),1,""))</f>
        <v/>
      </c>
      <c r="AO141" s="26">
        <f>IF(OR(J141="",L141=""),"",IF(AND(J141&lt;=EOMONTH(AO$4,0),L141&gt;=AO$4),1,""))</f>
        <v/>
      </c>
      <c r="AP141" s="26">
        <f>IF(OR(J141="",L141=""),"",IF(AND(J141&lt;=EOMONTH(AP$4,0),L141&gt;=AP$4),1,""))</f>
        <v/>
      </c>
      <c r="AQ141" s="26">
        <f>IF(OR(J141="",L141=""),"",IF(AND(J141&lt;=EOMONTH(AQ$4,0),L141&gt;=AQ$4),1,""))</f>
        <v/>
      </c>
      <c r="AR141" s="26">
        <f>IF(OR(J141="",L141=""),"",IF(AND(J141&lt;=EOMONTH(AR$4,0),L141&gt;=AR$4),1,""))</f>
        <v/>
      </c>
      <c r="AS141" s="26">
        <f>IF(OR(J141="",L141=""),"",IF(AND(J141&lt;=EOMONTH(AS$4,0),L141&gt;=AS$4),1,""))</f>
        <v/>
      </c>
      <c r="AT141" s="26">
        <f>IF(OR(J141="",L141=""),"",IF(AND(J141&lt;=EOMONTH(AT$4,0),L141&gt;=AT$4),1,""))</f>
        <v/>
      </c>
      <c r="AU141" s="26">
        <f>IF(OR(J141="",L141=""),"",IF(AND(J141&lt;=EOMONTH(AU$4,0),L141&gt;=AU$4),1,""))</f>
        <v/>
      </c>
      <c r="AV141" s="26">
        <f>IF(OR(J141="",L141=""),"",IF(AND(J141&lt;=EOMONTH(AV$4,0),L141&gt;=AV$4),1,""))</f>
        <v/>
      </c>
      <c r="AW141" s="26">
        <f>IF(OR(J141="",L141=""),"",IF(AND(J141&lt;=EOMONTH(AW$4,0),L141&gt;=AW$4),1,""))</f>
        <v/>
      </c>
      <c r="AX141" s="26">
        <f>IF(OR(J141="",L141=""),"",IF(AND(J141&lt;=EOMONTH(AX$4,0),L141&gt;=AX$4),1,""))</f>
        <v/>
      </c>
      <c r="AY141" s="26">
        <f>IF(OR(J141="",L141=""),"",IF(AND(J141&lt;=EOMONTH(AY$4,0),L141&gt;=AY$4),1,""))</f>
        <v/>
      </c>
      <c r="AZ141" s="26">
        <f>IF(OR(J141="",L141=""),"",IF(AND(J141&lt;=EOMONTH(AZ$4,0),L141&gt;=AZ$4),1,""))</f>
        <v/>
      </c>
      <c r="BA141" s="26">
        <f>IF(OR(J141="",L141=""),"",IF(AND(J141&lt;=EOMONTH(BA$4,0),L141&gt;=BA$4),1,""))</f>
        <v/>
      </c>
      <c r="BB141" s="26">
        <f>IF(OR(J141="",L141=""),"",IF(AND(J141&lt;=EOMONTH(BB$4,0),L141&gt;=BB$4),1,""))</f>
        <v/>
      </c>
    </row>
    <row r="142">
      <c r="A142" s="27" t="n"/>
      <c r="B142" s="28" t="n"/>
      <c r="C142" s="29" t="n"/>
      <c r="D142" s="30">
        <f>IF(E142="","","CWA-"&amp;MID(E142,5,4))</f>
        <v/>
      </c>
      <c r="E142" s="29" t="n"/>
      <c r="F142" s="31" t="n"/>
      <c r="G142" s="29" t="n"/>
      <c r="H142" s="28" t="n"/>
      <c r="I142" s="29" t="n"/>
      <c r="J142" s="32" t="n"/>
      <c r="K142" s="28" t="n"/>
      <c r="L142" s="33">
        <f>IF(OR(J142="",K142=""),"",J142+7*K142-1)</f>
        <v/>
      </c>
      <c r="M142" s="33">
        <f>IF(J142="","",J142-7*$E$3)</f>
        <v/>
      </c>
      <c r="N142" s="33">
        <f>IF(J142="","",J142-7*$H$3)</f>
        <v/>
      </c>
      <c r="O142" s="33">
        <f>IF(J142="","",J142-1*$K$3)</f>
        <v/>
      </c>
      <c r="P142" s="30">
        <f>IF(OR(E142="",I142="",I142="—"),IF(E142="","","OK"),IFERROR(IF(INDEX($L$6:$L$155,MATCH(I142,$E$6:$E$155,0))&gt;=J142,"Conflicto con predecesor","OK"),"Predecesor no encontrado"))</f>
        <v/>
      </c>
      <c r="Q142" s="29" t="n"/>
      <c r="R142" s="31" t="n"/>
      <c r="S142" s="26">
        <f>IF(OR(J142="",L142=""),"",IF(AND(J142&lt;=EOMONTH(S$4,0),L142&gt;=S$4),1,""))</f>
        <v/>
      </c>
      <c r="T142" s="26">
        <f>IF(OR(J142="",L142=""),"",IF(AND(J142&lt;=EOMONTH(T$4,0),L142&gt;=T$4),1,""))</f>
        <v/>
      </c>
      <c r="U142" s="26">
        <f>IF(OR(J142="",L142=""),"",IF(AND(J142&lt;=EOMONTH(U$4,0),L142&gt;=U$4),1,""))</f>
        <v/>
      </c>
      <c r="V142" s="26">
        <f>IF(OR(J142="",L142=""),"",IF(AND(J142&lt;=EOMONTH(V$4,0),L142&gt;=V$4),1,""))</f>
        <v/>
      </c>
      <c r="W142" s="26">
        <f>IF(OR(J142="",L142=""),"",IF(AND(J142&lt;=EOMONTH(W$4,0),L142&gt;=W$4),1,""))</f>
        <v/>
      </c>
      <c r="X142" s="26">
        <f>IF(OR(J142="",L142=""),"",IF(AND(J142&lt;=EOMONTH(X$4,0),L142&gt;=X$4),1,""))</f>
        <v/>
      </c>
      <c r="Y142" s="26">
        <f>IF(OR(J142="",L142=""),"",IF(AND(J142&lt;=EOMONTH(Y$4,0),L142&gt;=Y$4),1,""))</f>
        <v/>
      </c>
      <c r="Z142" s="26">
        <f>IF(OR(J142="",L142=""),"",IF(AND(J142&lt;=EOMONTH(Z$4,0),L142&gt;=Z$4),1,""))</f>
        <v/>
      </c>
      <c r="AA142" s="26">
        <f>IF(OR(J142="",L142=""),"",IF(AND(J142&lt;=EOMONTH(AA$4,0),L142&gt;=AA$4),1,""))</f>
        <v/>
      </c>
      <c r="AB142" s="26">
        <f>IF(OR(J142="",L142=""),"",IF(AND(J142&lt;=EOMONTH(AB$4,0),L142&gt;=AB$4),1,""))</f>
        <v/>
      </c>
      <c r="AC142" s="26">
        <f>IF(OR(J142="",L142=""),"",IF(AND(J142&lt;=EOMONTH(AC$4,0),L142&gt;=AC$4),1,""))</f>
        <v/>
      </c>
      <c r="AD142" s="26">
        <f>IF(OR(J142="",L142=""),"",IF(AND(J142&lt;=EOMONTH(AD$4,0),L142&gt;=AD$4),1,""))</f>
        <v/>
      </c>
      <c r="AE142" s="26">
        <f>IF(OR(J142="",L142=""),"",IF(AND(J142&lt;=EOMONTH(AE$4,0),L142&gt;=AE$4),1,""))</f>
        <v/>
      </c>
      <c r="AF142" s="26">
        <f>IF(OR(J142="",L142=""),"",IF(AND(J142&lt;=EOMONTH(AF$4,0),L142&gt;=AF$4),1,""))</f>
        <v/>
      </c>
      <c r="AG142" s="26">
        <f>IF(OR(J142="",L142=""),"",IF(AND(J142&lt;=EOMONTH(AG$4,0),L142&gt;=AG$4),1,""))</f>
        <v/>
      </c>
      <c r="AH142" s="26">
        <f>IF(OR(J142="",L142=""),"",IF(AND(J142&lt;=EOMONTH(AH$4,0),L142&gt;=AH$4),1,""))</f>
        <v/>
      </c>
      <c r="AI142" s="26">
        <f>IF(OR(J142="",L142=""),"",IF(AND(J142&lt;=EOMONTH(AI$4,0),L142&gt;=AI$4),1,""))</f>
        <v/>
      </c>
      <c r="AJ142" s="26">
        <f>IF(OR(J142="",L142=""),"",IF(AND(J142&lt;=EOMONTH(AJ$4,0),L142&gt;=AJ$4),1,""))</f>
        <v/>
      </c>
      <c r="AK142" s="26">
        <f>IF(OR(J142="",L142=""),"",IF(AND(J142&lt;=EOMONTH(AK$4,0),L142&gt;=AK$4),1,""))</f>
        <v/>
      </c>
      <c r="AL142" s="26">
        <f>IF(OR(J142="",L142=""),"",IF(AND(J142&lt;=EOMONTH(AL$4,0),L142&gt;=AL$4),1,""))</f>
        <v/>
      </c>
      <c r="AM142" s="26">
        <f>IF(OR(J142="",L142=""),"",IF(AND(J142&lt;=EOMONTH(AM$4,0),L142&gt;=AM$4),1,""))</f>
        <v/>
      </c>
      <c r="AN142" s="26">
        <f>IF(OR(J142="",L142=""),"",IF(AND(J142&lt;=EOMONTH(AN$4,0),L142&gt;=AN$4),1,""))</f>
        <v/>
      </c>
      <c r="AO142" s="26">
        <f>IF(OR(J142="",L142=""),"",IF(AND(J142&lt;=EOMONTH(AO$4,0),L142&gt;=AO$4),1,""))</f>
        <v/>
      </c>
      <c r="AP142" s="26">
        <f>IF(OR(J142="",L142=""),"",IF(AND(J142&lt;=EOMONTH(AP$4,0),L142&gt;=AP$4),1,""))</f>
        <v/>
      </c>
      <c r="AQ142" s="26">
        <f>IF(OR(J142="",L142=""),"",IF(AND(J142&lt;=EOMONTH(AQ$4,0),L142&gt;=AQ$4),1,""))</f>
        <v/>
      </c>
      <c r="AR142" s="26">
        <f>IF(OR(J142="",L142=""),"",IF(AND(J142&lt;=EOMONTH(AR$4,0),L142&gt;=AR$4),1,""))</f>
        <v/>
      </c>
      <c r="AS142" s="26">
        <f>IF(OR(J142="",L142=""),"",IF(AND(J142&lt;=EOMONTH(AS$4,0),L142&gt;=AS$4),1,""))</f>
        <v/>
      </c>
      <c r="AT142" s="26">
        <f>IF(OR(J142="",L142=""),"",IF(AND(J142&lt;=EOMONTH(AT$4,0),L142&gt;=AT$4),1,""))</f>
        <v/>
      </c>
      <c r="AU142" s="26">
        <f>IF(OR(J142="",L142=""),"",IF(AND(J142&lt;=EOMONTH(AU$4,0),L142&gt;=AU$4),1,""))</f>
        <v/>
      </c>
      <c r="AV142" s="26">
        <f>IF(OR(J142="",L142=""),"",IF(AND(J142&lt;=EOMONTH(AV$4,0),L142&gt;=AV$4),1,""))</f>
        <v/>
      </c>
      <c r="AW142" s="26">
        <f>IF(OR(J142="",L142=""),"",IF(AND(J142&lt;=EOMONTH(AW$4,0),L142&gt;=AW$4),1,""))</f>
        <v/>
      </c>
      <c r="AX142" s="26">
        <f>IF(OR(J142="",L142=""),"",IF(AND(J142&lt;=EOMONTH(AX$4,0),L142&gt;=AX$4),1,""))</f>
        <v/>
      </c>
      <c r="AY142" s="26">
        <f>IF(OR(J142="",L142=""),"",IF(AND(J142&lt;=EOMONTH(AY$4,0),L142&gt;=AY$4),1,""))</f>
        <v/>
      </c>
      <c r="AZ142" s="26">
        <f>IF(OR(J142="",L142=""),"",IF(AND(J142&lt;=EOMONTH(AZ$4,0),L142&gt;=AZ$4),1,""))</f>
        <v/>
      </c>
      <c r="BA142" s="26">
        <f>IF(OR(J142="",L142=""),"",IF(AND(J142&lt;=EOMONTH(BA$4,0),L142&gt;=BA$4),1,""))</f>
        <v/>
      </c>
      <c r="BB142" s="26">
        <f>IF(OR(J142="",L142=""),"",IF(AND(J142&lt;=EOMONTH(BB$4,0),L142&gt;=BB$4),1,""))</f>
        <v/>
      </c>
    </row>
    <row r="143">
      <c r="A143" s="27" t="n"/>
      <c r="B143" s="28" t="n"/>
      <c r="C143" s="29" t="n"/>
      <c r="D143" s="30">
        <f>IF(E143="","","CWA-"&amp;MID(E143,5,4))</f>
        <v/>
      </c>
      <c r="E143" s="29" t="n"/>
      <c r="F143" s="31" t="n"/>
      <c r="G143" s="29" t="n"/>
      <c r="H143" s="28" t="n"/>
      <c r="I143" s="29" t="n"/>
      <c r="J143" s="32" t="n"/>
      <c r="K143" s="28" t="n"/>
      <c r="L143" s="33">
        <f>IF(OR(J143="",K143=""),"",J143+7*K143-1)</f>
        <v/>
      </c>
      <c r="M143" s="33">
        <f>IF(J143="","",J143-7*$E$3)</f>
        <v/>
      </c>
      <c r="N143" s="33">
        <f>IF(J143="","",J143-7*$H$3)</f>
        <v/>
      </c>
      <c r="O143" s="33">
        <f>IF(J143="","",J143-1*$K$3)</f>
        <v/>
      </c>
      <c r="P143" s="30">
        <f>IF(OR(E143="",I143="",I143="—"),IF(E143="","","OK"),IFERROR(IF(INDEX($L$6:$L$155,MATCH(I143,$E$6:$E$155,0))&gt;=J143,"Conflicto con predecesor","OK"),"Predecesor no encontrado"))</f>
        <v/>
      </c>
      <c r="Q143" s="29" t="n"/>
      <c r="R143" s="31" t="n"/>
      <c r="S143" s="26">
        <f>IF(OR(J143="",L143=""),"",IF(AND(J143&lt;=EOMONTH(S$4,0),L143&gt;=S$4),1,""))</f>
        <v/>
      </c>
      <c r="T143" s="26">
        <f>IF(OR(J143="",L143=""),"",IF(AND(J143&lt;=EOMONTH(T$4,0),L143&gt;=T$4),1,""))</f>
        <v/>
      </c>
      <c r="U143" s="26">
        <f>IF(OR(J143="",L143=""),"",IF(AND(J143&lt;=EOMONTH(U$4,0),L143&gt;=U$4),1,""))</f>
        <v/>
      </c>
      <c r="V143" s="26">
        <f>IF(OR(J143="",L143=""),"",IF(AND(J143&lt;=EOMONTH(V$4,0),L143&gt;=V$4),1,""))</f>
        <v/>
      </c>
      <c r="W143" s="26">
        <f>IF(OR(J143="",L143=""),"",IF(AND(J143&lt;=EOMONTH(W$4,0),L143&gt;=W$4),1,""))</f>
        <v/>
      </c>
      <c r="X143" s="26">
        <f>IF(OR(J143="",L143=""),"",IF(AND(J143&lt;=EOMONTH(X$4,0),L143&gt;=X$4),1,""))</f>
        <v/>
      </c>
      <c r="Y143" s="26">
        <f>IF(OR(J143="",L143=""),"",IF(AND(J143&lt;=EOMONTH(Y$4,0),L143&gt;=Y$4),1,""))</f>
        <v/>
      </c>
      <c r="Z143" s="26">
        <f>IF(OR(J143="",L143=""),"",IF(AND(J143&lt;=EOMONTH(Z$4,0),L143&gt;=Z$4),1,""))</f>
        <v/>
      </c>
      <c r="AA143" s="26">
        <f>IF(OR(J143="",L143=""),"",IF(AND(J143&lt;=EOMONTH(AA$4,0),L143&gt;=AA$4),1,""))</f>
        <v/>
      </c>
      <c r="AB143" s="26">
        <f>IF(OR(J143="",L143=""),"",IF(AND(J143&lt;=EOMONTH(AB$4,0),L143&gt;=AB$4),1,""))</f>
        <v/>
      </c>
      <c r="AC143" s="26">
        <f>IF(OR(J143="",L143=""),"",IF(AND(J143&lt;=EOMONTH(AC$4,0),L143&gt;=AC$4),1,""))</f>
        <v/>
      </c>
      <c r="AD143" s="26">
        <f>IF(OR(J143="",L143=""),"",IF(AND(J143&lt;=EOMONTH(AD$4,0),L143&gt;=AD$4),1,""))</f>
        <v/>
      </c>
      <c r="AE143" s="26">
        <f>IF(OR(J143="",L143=""),"",IF(AND(J143&lt;=EOMONTH(AE$4,0),L143&gt;=AE$4),1,""))</f>
        <v/>
      </c>
      <c r="AF143" s="26">
        <f>IF(OR(J143="",L143=""),"",IF(AND(J143&lt;=EOMONTH(AF$4,0),L143&gt;=AF$4),1,""))</f>
        <v/>
      </c>
      <c r="AG143" s="26">
        <f>IF(OR(J143="",L143=""),"",IF(AND(J143&lt;=EOMONTH(AG$4,0),L143&gt;=AG$4),1,""))</f>
        <v/>
      </c>
      <c r="AH143" s="26">
        <f>IF(OR(J143="",L143=""),"",IF(AND(J143&lt;=EOMONTH(AH$4,0),L143&gt;=AH$4),1,""))</f>
        <v/>
      </c>
      <c r="AI143" s="26">
        <f>IF(OR(J143="",L143=""),"",IF(AND(J143&lt;=EOMONTH(AI$4,0),L143&gt;=AI$4),1,""))</f>
        <v/>
      </c>
      <c r="AJ143" s="26">
        <f>IF(OR(J143="",L143=""),"",IF(AND(J143&lt;=EOMONTH(AJ$4,0),L143&gt;=AJ$4),1,""))</f>
        <v/>
      </c>
      <c r="AK143" s="26">
        <f>IF(OR(J143="",L143=""),"",IF(AND(J143&lt;=EOMONTH(AK$4,0),L143&gt;=AK$4),1,""))</f>
        <v/>
      </c>
      <c r="AL143" s="26">
        <f>IF(OR(J143="",L143=""),"",IF(AND(J143&lt;=EOMONTH(AL$4,0),L143&gt;=AL$4),1,""))</f>
        <v/>
      </c>
      <c r="AM143" s="26">
        <f>IF(OR(J143="",L143=""),"",IF(AND(J143&lt;=EOMONTH(AM$4,0),L143&gt;=AM$4),1,""))</f>
        <v/>
      </c>
      <c r="AN143" s="26">
        <f>IF(OR(J143="",L143=""),"",IF(AND(J143&lt;=EOMONTH(AN$4,0),L143&gt;=AN$4),1,""))</f>
        <v/>
      </c>
      <c r="AO143" s="26">
        <f>IF(OR(J143="",L143=""),"",IF(AND(J143&lt;=EOMONTH(AO$4,0),L143&gt;=AO$4),1,""))</f>
        <v/>
      </c>
      <c r="AP143" s="26">
        <f>IF(OR(J143="",L143=""),"",IF(AND(J143&lt;=EOMONTH(AP$4,0),L143&gt;=AP$4),1,""))</f>
        <v/>
      </c>
      <c r="AQ143" s="26">
        <f>IF(OR(J143="",L143=""),"",IF(AND(J143&lt;=EOMONTH(AQ$4,0),L143&gt;=AQ$4),1,""))</f>
        <v/>
      </c>
      <c r="AR143" s="26">
        <f>IF(OR(J143="",L143=""),"",IF(AND(J143&lt;=EOMONTH(AR$4,0),L143&gt;=AR$4),1,""))</f>
        <v/>
      </c>
      <c r="AS143" s="26">
        <f>IF(OR(J143="",L143=""),"",IF(AND(J143&lt;=EOMONTH(AS$4,0),L143&gt;=AS$4),1,""))</f>
        <v/>
      </c>
      <c r="AT143" s="26">
        <f>IF(OR(J143="",L143=""),"",IF(AND(J143&lt;=EOMONTH(AT$4,0),L143&gt;=AT$4),1,""))</f>
        <v/>
      </c>
      <c r="AU143" s="26">
        <f>IF(OR(J143="",L143=""),"",IF(AND(J143&lt;=EOMONTH(AU$4,0),L143&gt;=AU$4),1,""))</f>
        <v/>
      </c>
      <c r="AV143" s="26">
        <f>IF(OR(J143="",L143=""),"",IF(AND(J143&lt;=EOMONTH(AV$4,0),L143&gt;=AV$4),1,""))</f>
        <v/>
      </c>
      <c r="AW143" s="26">
        <f>IF(OR(J143="",L143=""),"",IF(AND(J143&lt;=EOMONTH(AW$4,0),L143&gt;=AW$4),1,""))</f>
        <v/>
      </c>
      <c r="AX143" s="26">
        <f>IF(OR(J143="",L143=""),"",IF(AND(J143&lt;=EOMONTH(AX$4,0),L143&gt;=AX$4),1,""))</f>
        <v/>
      </c>
      <c r="AY143" s="26">
        <f>IF(OR(J143="",L143=""),"",IF(AND(J143&lt;=EOMONTH(AY$4,0),L143&gt;=AY$4),1,""))</f>
        <v/>
      </c>
      <c r="AZ143" s="26">
        <f>IF(OR(J143="",L143=""),"",IF(AND(J143&lt;=EOMONTH(AZ$4,0),L143&gt;=AZ$4),1,""))</f>
        <v/>
      </c>
      <c r="BA143" s="26">
        <f>IF(OR(J143="",L143=""),"",IF(AND(J143&lt;=EOMONTH(BA$4,0),L143&gt;=BA$4),1,""))</f>
        <v/>
      </c>
      <c r="BB143" s="26">
        <f>IF(OR(J143="",L143=""),"",IF(AND(J143&lt;=EOMONTH(BB$4,0),L143&gt;=BB$4),1,""))</f>
        <v/>
      </c>
    </row>
    <row r="144">
      <c r="A144" s="27" t="n"/>
      <c r="B144" s="28" t="n"/>
      <c r="C144" s="29" t="n"/>
      <c r="D144" s="30">
        <f>IF(E144="","","CWA-"&amp;MID(E144,5,4))</f>
        <v/>
      </c>
      <c r="E144" s="29" t="n"/>
      <c r="F144" s="31" t="n"/>
      <c r="G144" s="29" t="n"/>
      <c r="H144" s="28" t="n"/>
      <c r="I144" s="29" t="n"/>
      <c r="J144" s="32" t="n"/>
      <c r="K144" s="28" t="n"/>
      <c r="L144" s="33">
        <f>IF(OR(J144="",K144=""),"",J144+7*K144-1)</f>
        <v/>
      </c>
      <c r="M144" s="33">
        <f>IF(J144="","",J144-7*$E$3)</f>
        <v/>
      </c>
      <c r="N144" s="33">
        <f>IF(J144="","",J144-7*$H$3)</f>
        <v/>
      </c>
      <c r="O144" s="33">
        <f>IF(J144="","",J144-1*$K$3)</f>
        <v/>
      </c>
      <c r="P144" s="30">
        <f>IF(OR(E144="",I144="",I144="—"),IF(E144="","","OK"),IFERROR(IF(INDEX($L$6:$L$155,MATCH(I144,$E$6:$E$155,0))&gt;=J144,"Conflicto con predecesor","OK"),"Predecesor no encontrado"))</f>
        <v/>
      </c>
      <c r="Q144" s="29" t="n"/>
      <c r="R144" s="31" t="n"/>
      <c r="S144" s="26">
        <f>IF(OR(J144="",L144=""),"",IF(AND(J144&lt;=EOMONTH(S$4,0),L144&gt;=S$4),1,""))</f>
        <v/>
      </c>
      <c r="T144" s="26">
        <f>IF(OR(J144="",L144=""),"",IF(AND(J144&lt;=EOMONTH(T$4,0),L144&gt;=T$4),1,""))</f>
        <v/>
      </c>
      <c r="U144" s="26">
        <f>IF(OR(J144="",L144=""),"",IF(AND(J144&lt;=EOMONTH(U$4,0),L144&gt;=U$4),1,""))</f>
        <v/>
      </c>
      <c r="V144" s="26">
        <f>IF(OR(J144="",L144=""),"",IF(AND(J144&lt;=EOMONTH(V$4,0),L144&gt;=V$4),1,""))</f>
        <v/>
      </c>
      <c r="W144" s="26">
        <f>IF(OR(J144="",L144=""),"",IF(AND(J144&lt;=EOMONTH(W$4,0),L144&gt;=W$4),1,""))</f>
        <v/>
      </c>
      <c r="X144" s="26">
        <f>IF(OR(J144="",L144=""),"",IF(AND(J144&lt;=EOMONTH(X$4,0),L144&gt;=X$4),1,""))</f>
        <v/>
      </c>
      <c r="Y144" s="26">
        <f>IF(OR(J144="",L144=""),"",IF(AND(J144&lt;=EOMONTH(Y$4,0),L144&gt;=Y$4),1,""))</f>
        <v/>
      </c>
      <c r="Z144" s="26">
        <f>IF(OR(J144="",L144=""),"",IF(AND(J144&lt;=EOMONTH(Z$4,0),L144&gt;=Z$4),1,""))</f>
        <v/>
      </c>
      <c r="AA144" s="26">
        <f>IF(OR(J144="",L144=""),"",IF(AND(J144&lt;=EOMONTH(AA$4,0),L144&gt;=AA$4),1,""))</f>
        <v/>
      </c>
      <c r="AB144" s="26">
        <f>IF(OR(J144="",L144=""),"",IF(AND(J144&lt;=EOMONTH(AB$4,0),L144&gt;=AB$4),1,""))</f>
        <v/>
      </c>
      <c r="AC144" s="26">
        <f>IF(OR(J144="",L144=""),"",IF(AND(J144&lt;=EOMONTH(AC$4,0),L144&gt;=AC$4),1,""))</f>
        <v/>
      </c>
      <c r="AD144" s="26">
        <f>IF(OR(J144="",L144=""),"",IF(AND(J144&lt;=EOMONTH(AD$4,0),L144&gt;=AD$4),1,""))</f>
        <v/>
      </c>
      <c r="AE144" s="26">
        <f>IF(OR(J144="",L144=""),"",IF(AND(J144&lt;=EOMONTH(AE$4,0),L144&gt;=AE$4),1,""))</f>
        <v/>
      </c>
      <c r="AF144" s="26">
        <f>IF(OR(J144="",L144=""),"",IF(AND(J144&lt;=EOMONTH(AF$4,0),L144&gt;=AF$4),1,""))</f>
        <v/>
      </c>
      <c r="AG144" s="26">
        <f>IF(OR(J144="",L144=""),"",IF(AND(J144&lt;=EOMONTH(AG$4,0),L144&gt;=AG$4),1,""))</f>
        <v/>
      </c>
      <c r="AH144" s="26">
        <f>IF(OR(J144="",L144=""),"",IF(AND(J144&lt;=EOMONTH(AH$4,0),L144&gt;=AH$4),1,""))</f>
        <v/>
      </c>
      <c r="AI144" s="26">
        <f>IF(OR(J144="",L144=""),"",IF(AND(J144&lt;=EOMONTH(AI$4,0),L144&gt;=AI$4),1,""))</f>
        <v/>
      </c>
      <c r="AJ144" s="26">
        <f>IF(OR(J144="",L144=""),"",IF(AND(J144&lt;=EOMONTH(AJ$4,0),L144&gt;=AJ$4),1,""))</f>
        <v/>
      </c>
      <c r="AK144" s="26">
        <f>IF(OR(J144="",L144=""),"",IF(AND(J144&lt;=EOMONTH(AK$4,0),L144&gt;=AK$4),1,""))</f>
        <v/>
      </c>
      <c r="AL144" s="26">
        <f>IF(OR(J144="",L144=""),"",IF(AND(J144&lt;=EOMONTH(AL$4,0),L144&gt;=AL$4),1,""))</f>
        <v/>
      </c>
      <c r="AM144" s="26">
        <f>IF(OR(J144="",L144=""),"",IF(AND(J144&lt;=EOMONTH(AM$4,0),L144&gt;=AM$4),1,""))</f>
        <v/>
      </c>
      <c r="AN144" s="26">
        <f>IF(OR(J144="",L144=""),"",IF(AND(J144&lt;=EOMONTH(AN$4,0),L144&gt;=AN$4),1,""))</f>
        <v/>
      </c>
      <c r="AO144" s="26">
        <f>IF(OR(J144="",L144=""),"",IF(AND(J144&lt;=EOMONTH(AO$4,0),L144&gt;=AO$4),1,""))</f>
        <v/>
      </c>
      <c r="AP144" s="26">
        <f>IF(OR(J144="",L144=""),"",IF(AND(J144&lt;=EOMONTH(AP$4,0),L144&gt;=AP$4),1,""))</f>
        <v/>
      </c>
      <c r="AQ144" s="26">
        <f>IF(OR(J144="",L144=""),"",IF(AND(J144&lt;=EOMONTH(AQ$4,0),L144&gt;=AQ$4),1,""))</f>
        <v/>
      </c>
      <c r="AR144" s="26">
        <f>IF(OR(J144="",L144=""),"",IF(AND(J144&lt;=EOMONTH(AR$4,0),L144&gt;=AR$4),1,""))</f>
        <v/>
      </c>
      <c r="AS144" s="26">
        <f>IF(OR(J144="",L144=""),"",IF(AND(J144&lt;=EOMONTH(AS$4,0),L144&gt;=AS$4),1,""))</f>
        <v/>
      </c>
      <c r="AT144" s="26">
        <f>IF(OR(J144="",L144=""),"",IF(AND(J144&lt;=EOMONTH(AT$4,0),L144&gt;=AT$4),1,""))</f>
        <v/>
      </c>
      <c r="AU144" s="26">
        <f>IF(OR(J144="",L144=""),"",IF(AND(J144&lt;=EOMONTH(AU$4,0),L144&gt;=AU$4),1,""))</f>
        <v/>
      </c>
      <c r="AV144" s="26">
        <f>IF(OR(J144="",L144=""),"",IF(AND(J144&lt;=EOMONTH(AV$4,0),L144&gt;=AV$4),1,""))</f>
        <v/>
      </c>
      <c r="AW144" s="26">
        <f>IF(OR(J144="",L144=""),"",IF(AND(J144&lt;=EOMONTH(AW$4,0),L144&gt;=AW$4),1,""))</f>
        <v/>
      </c>
      <c r="AX144" s="26">
        <f>IF(OR(J144="",L144=""),"",IF(AND(J144&lt;=EOMONTH(AX$4,0),L144&gt;=AX$4),1,""))</f>
        <v/>
      </c>
      <c r="AY144" s="26">
        <f>IF(OR(J144="",L144=""),"",IF(AND(J144&lt;=EOMONTH(AY$4,0),L144&gt;=AY$4),1,""))</f>
        <v/>
      </c>
      <c r="AZ144" s="26">
        <f>IF(OR(J144="",L144=""),"",IF(AND(J144&lt;=EOMONTH(AZ$4,0),L144&gt;=AZ$4),1,""))</f>
        <v/>
      </c>
      <c r="BA144" s="26">
        <f>IF(OR(J144="",L144=""),"",IF(AND(J144&lt;=EOMONTH(BA$4,0),L144&gt;=BA$4),1,""))</f>
        <v/>
      </c>
      <c r="BB144" s="26">
        <f>IF(OR(J144="",L144=""),"",IF(AND(J144&lt;=EOMONTH(BB$4,0),L144&gt;=BB$4),1,""))</f>
        <v/>
      </c>
    </row>
    <row r="145">
      <c r="A145" s="27" t="n"/>
      <c r="B145" s="28" t="n"/>
      <c r="C145" s="29" t="n"/>
      <c r="D145" s="30">
        <f>IF(E145="","","CWA-"&amp;MID(E145,5,4))</f>
        <v/>
      </c>
      <c r="E145" s="29" t="n"/>
      <c r="F145" s="31" t="n"/>
      <c r="G145" s="29" t="n"/>
      <c r="H145" s="28" t="n"/>
      <c r="I145" s="29" t="n"/>
      <c r="J145" s="32" t="n"/>
      <c r="K145" s="28" t="n"/>
      <c r="L145" s="33">
        <f>IF(OR(J145="",K145=""),"",J145+7*K145-1)</f>
        <v/>
      </c>
      <c r="M145" s="33">
        <f>IF(J145="","",J145-7*$E$3)</f>
        <v/>
      </c>
      <c r="N145" s="33">
        <f>IF(J145="","",J145-7*$H$3)</f>
        <v/>
      </c>
      <c r="O145" s="33">
        <f>IF(J145="","",J145-1*$K$3)</f>
        <v/>
      </c>
      <c r="P145" s="30">
        <f>IF(OR(E145="",I145="",I145="—"),IF(E145="","","OK"),IFERROR(IF(INDEX($L$6:$L$155,MATCH(I145,$E$6:$E$155,0))&gt;=J145,"Conflicto con predecesor","OK"),"Predecesor no encontrado"))</f>
        <v/>
      </c>
      <c r="Q145" s="29" t="n"/>
      <c r="R145" s="31" t="n"/>
      <c r="S145" s="26">
        <f>IF(OR(J145="",L145=""),"",IF(AND(J145&lt;=EOMONTH(S$4,0),L145&gt;=S$4),1,""))</f>
        <v/>
      </c>
      <c r="T145" s="26">
        <f>IF(OR(J145="",L145=""),"",IF(AND(J145&lt;=EOMONTH(T$4,0),L145&gt;=T$4),1,""))</f>
        <v/>
      </c>
      <c r="U145" s="26">
        <f>IF(OR(J145="",L145=""),"",IF(AND(J145&lt;=EOMONTH(U$4,0),L145&gt;=U$4),1,""))</f>
        <v/>
      </c>
      <c r="V145" s="26">
        <f>IF(OR(J145="",L145=""),"",IF(AND(J145&lt;=EOMONTH(V$4,0),L145&gt;=V$4),1,""))</f>
        <v/>
      </c>
      <c r="W145" s="26">
        <f>IF(OR(J145="",L145=""),"",IF(AND(J145&lt;=EOMONTH(W$4,0),L145&gt;=W$4),1,""))</f>
        <v/>
      </c>
      <c r="X145" s="26">
        <f>IF(OR(J145="",L145=""),"",IF(AND(J145&lt;=EOMONTH(X$4,0),L145&gt;=X$4),1,""))</f>
        <v/>
      </c>
      <c r="Y145" s="26">
        <f>IF(OR(J145="",L145=""),"",IF(AND(J145&lt;=EOMONTH(Y$4,0),L145&gt;=Y$4),1,""))</f>
        <v/>
      </c>
      <c r="Z145" s="26">
        <f>IF(OR(J145="",L145=""),"",IF(AND(J145&lt;=EOMONTH(Z$4,0),L145&gt;=Z$4),1,""))</f>
        <v/>
      </c>
      <c r="AA145" s="26">
        <f>IF(OR(J145="",L145=""),"",IF(AND(J145&lt;=EOMONTH(AA$4,0),L145&gt;=AA$4),1,""))</f>
        <v/>
      </c>
      <c r="AB145" s="26">
        <f>IF(OR(J145="",L145=""),"",IF(AND(J145&lt;=EOMONTH(AB$4,0),L145&gt;=AB$4),1,""))</f>
        <v/>
      </c>
      <c r="AC145" s="26">
        <f>IF(OR(J145="",L145=""),"",IF(AND(J145&lt;=EOMONTH(AC$4,0),L145&gt;=AC$4),1,""))</f>
        <v/>
      </c>
      <c r="AD145" s="26">
        <f>IF(OR(J145="",L145=""),"",IF(AND(J145&lt;=EOMONTH(AD$4,0),L145&gt;=AD$4),1,""))</f>
        <v/>
      </c>
      <c r="AE145" s="26">
        <f>IF(OR(J145="",L145=""),"",IF(AND(J145&lt;=EOMONTH(AE$4,0),L145&gt;=AE$4),1,""))</f>
        <v/>
      </c>
      <c r="AF145" s="26">
        <f>IF(OR(J145="",L145=""),"",IF(AND(J145&lt;=EOMONTH(AF$4,0),L145&gt;=AF$4),1,""))</f>
        <v/>
      </c>
      <c r="AG145" s="26">
        <f>IF(OR(J145="",L145=""),"",IF(AND(J145&lt;=EOMONTH(AG$4,0),L145&gt;=AG$4),1,""))</f>
        <v/>
      </c>
      <c r="AH145" s="26">
        <f>IF(OR(J145="",L145=""),"",IF(AND(J145&lt;=EOMONTH(AH$4,0),L145&gt;=AH$4),1,""))</f>
        <v/>
      </c>
      <c r="AI145" s="26">
        <f>IF(OR(J145="",L145=""),"",IF(AND(J145&lt;=EOMONTH(AI$4,0),L145&gt;=AI$4),1,""))</f>
        <v/>
      </c>
      <c r="AJ145" s="26">
        <f>IF(OR(J145="",L145=""),"",IF(AND(J145&lt;=EOMONTH(AJ$4,0),L145&gt;=AJ$4),1,""))</f>
        <v/>
      </c>
      <c r="AK145" s="26">
        <f>IF(OR(J145="",L145=""),"",IF(AND(J145&lt;=EOMONTH(AK$4,0),L145&gt;=AK$4),1,""))</f>
        <v/>
      </c>
      <c r="AL145" s="26">
        <f>IF(OR(J145="",L145=""),"",IF(AND(J145&lt;=EOMONTH(AL$4,0),L145&gt;=AL$4),1,""))</f>
        <v/>
      </c>
      <c r="AM145" s="26">
        <f>IF(OR(J145="",L145=""),"",IF(AND(J145&lt;=EOMONTH(AM$4,0),L145&gt;=AM$4),1,""))</f>
        <v/>
      </c>
      <c r="AN145" s="26">
        <f>IF(OR(J145="",L145=""),"",IF(AND(J145&lt;=EOMONTH(AN$4,0),L145&gt;=AN$4),1,""))</f>
        <v/>
      </c>
      <c r="AO145" s="26">
        <f>IF(OR(J145="",L145=""),"",IF(AND(J145&lt;=EOMONTH(AO$4,0),L145&gt;=AO$4),1,""))</f>
        <v/>
      </c>
      <c r="AP145" s="26">
        <f>IF(OR(J145="",L145=""),"",IF(AND(J145&lt;=EOMONTH(AP$4,0),L145&gt;=AP$4),1,""))</f>
        <v/>
      </c>
      <c r="AQ145" s="26">
        <f>IF(OR(J145="",L145=""),"",IF(AND(J145&lt;=EOMONTH(AQ$4,0),L145&gt;=AQ$4),1,""))</f>
        <v/>
      </c>
      <c r="AR145" s="26">
        <f>IF(OR(J145="",L145=""),"",IF(AND(J145&lt;=EOMONTH(AR$4,0),L145&gt;=AR$4),1,""))</f>
        <v/>
      </c>
      <c r="AS145" s="26">
        <f>IF(OR(J145="",L145=""),"",IF(AND(J145&lt;=EOMONTH(AS$4,0),L145&gt;=AS$4),1,""))</f>
        <v/>
      </c>
      <c r="AT145" s="26">
        <f>IF(OR(J145="",L145=""),"",IF(AND(J145&lt;=EOMONTH(AT$4,0),L145&gt;=AT$4),1,""))</f>
        <v/>
      </c>
      <c r="AU145" s="26">
        <f>IF(OR(J145="",L145=""),"",IF(AND(J145&lt;=EOMONTH(AU$4,0),L145&gt;=AU$4),1,""))</f>
        <v/>
      </c>
      <c r="AV145" s="26">
        <f>IF(OR(J145="",L145=""),"",IF(AND(J145&lt;=EOMONTH(AV$4,0),L145&gt;=AV$4),1,""))</f>
        <v/>
      </c>
      <c r="AW145" s="26">
        <f>IF(OR(J145="",L145=""),"",IF(AND(J145&lt;=EOMONTH(AW$4,0),L145&gt;=AW$4),1,""))</f>
        <v/>
      </c>
      <c r="AX145" s="26">
        <f>IF(OR(J145="",L145=""),"",IF(AND(J145&lt;=EOMONTH(AX$4,0),L145&gt;=AX$4),1,""))</f>
        <v/>
      </c>
      <c r="AY145" s="26">
        <f>IF(OR(J145="",L145=""),"",IF(AND(J145&lt;=EOMONTH(AY$4,0),L145&gt;=AY$4),1,""))</f>
        <v/>
      </c>
      <c r="AZ145" s="26">
        <f>IF(OR(J145="",L145=""),"",IF(AND(J145&lt;=EOMONTH(AZ$4,0),L145&gt;=AZ$4),1,""))</f>
        <v/>
      </c>
      <c r="BA145" s="26">
        <f>IF(OR(J145="",L145=""),"",IF(AND(J145&lt;=EOMONTH(BA$4,0),L145&gt;=BA$4),1,""))</f>
        <v/>
      </c>
      <c r="BB145" s="26">
        <f>IF(OR(J145="",L145=""),"",IF(AND(J145&lt;=EOMONTH(BB$4,0),L145&gt;=BB$4),1,""))</f>
        <v/>
      </c>
    </row>
    <row r="146">
      <c r="A146" s="27" t="n"/>
      <c r="B146" s="28" t="n"/>
      <c r="C146" s="29" t="n"/>
      <c r="D146" s="30">
        <f>IF(E146="","","CWA-"&amp;MID(E146,5,4))</f>
        <v/>
      </c>
      <c r="E146" s="29" t="n"/>
      <c r="F146" s="31" t="n"/>
      <c r="G146" s="29" t="n"/>
      <c r="H146" s="28" t="n"/>
      <c r="I146" s="29" t="n"/>
      <c r="J146" s="32" t="n"/>
      <c r="K146" s="28" t="n"/>
      <c r="L146" s="33">
        <f>IF(OR(J146="",K146=""),"",J146+7*K146-1)</f>
        <v/>
      </c>
      <c r="M146" s="33">
        <f>IF(J146="","",J146-7*$E$3)</f>
        <v/>
      </c>
      <c r="N146" s="33">
        <f>IF(J146="","",J146-7*$H$3)</f>
        <v/>
      </c>
      <c r="O146" s="33">
        <f>IF(J146="","",J146-1*$K$3)</f>
        <v/>
      </c>
      <c r="P146" s="30">
        <f>IF(OR(E146="",I146="",I146="—"),IF(E146="","","OK"),IFERROR(IF(INDEX($L$6:$L$155,MATCH(I146,$E$6:$E$155,0))&gt;=J146,"Conflicto con predecesor","OK"),"Predecesor no encontrado"))</f>
        <v/>
      </c>
      <c r="Q146" s="29" t="n"/>
      <c r="R146" s="31" t="n"/>
      <c r="S146" s="26">
        <f>IF(OR(J146="",L146=""),"",IF(AND(J146&lt;=EOMONTH(S$4,0),L146&gt;=S$4),1,""))</f>
        <v/>
      </c>
      <c r="T146" s="26">
        <f>IF(OR(J146="",L146=""),"",IF(AND(J146&lt;=EOMONTH(T$4,0),L146&gt;=T$4),1,""))</f>
        <v/>
      </c>
      <c r="U146" s="26">
        <f>IF(OR(J146="",L146=""),"",IF(AND(J146&lt;=EOMONTH(U$4,0),L146&gt;=U$4),1,""))</f>
        <v/>
      </c>
      <c r="V146" s="26">
        <f>IF(OR(J146="",L146=""),"",IF(AND(J146&lt;=EOMONTH(V$4,0),L146&gt;=V$4),1,""))</f>
        <v/>
      </c>
      <c r="W146" s="26">
        <f>IF(OR(J146="",L146=""),"",IF(AND(J146&lt;=EOMONTH(W$4,0),L146&gt;=W$4),1,""))</f>
        <v/>
      </c>
      <c r="X146" s="26">
        <f>IF(OR(J146="",L146=""),"",IF(AND(J146&lt;=EOMONTH(X$4,0),L146&gt;=X$4),1,""))</f>
        <v/>
      </c>
      <c r="Y146" s="26">
        <f>IF(OR(J146="",L146=""),"",IF(AND(J146&lt;=EOMONTH(Y$4,0),L146&gt;=Y$4),1,""))</f>
        <v/>
      </c>
      <c r="Z146" s="26">
        <f>IF(OR(J146="",L146=""),"",IF(AND(J146&lt;=EOMONTH(Z$4,0),L146&gt;=Z$4),1,""))</f>
        <v/>
      </c>
      <c r="AA146" s="26">
        <f>IF(OR(J146="",L146=""),"",IF(AND(J146&lt;=EOMONTH(AA$4,0),L146&gt;=AA$4),1,""))</f>
        <v/>
      </c>
      <c r="AB146" s="26">
        <f>IF(OR(J146="",L146=""),"",IF(AND(J146&lt;=EOMONTH(AB$4,0),L146&gt;=AB$4),1,""))</f>
        <v/>
      </c>
      <c r="AC146" s="26">
        <f>IF(OR(J146="",L146=""),"",IF(AND(J146&lt;=EOMONTH(AC$4,0),L146&gt;=AC$4),1,""))</f>
        <v/>
      </c>
      <c r="AD146" s="26">
        <f>IF(OR(J146="",L146=""),"",IF(AND(J146&lt;=EOMONTH(AD$4,0),L146&gt;=AD$4),1,""))</f>
        <v/>
      </c>
      <c r="AE146" s="26">
        <f>IF(OR(J146="",L146=""),"",IF(AND(J146&lt;=EOMONTH(AE$4,0),L146&gt;=AE$4),1,""))</f>
        <v/>
      </c>
      <c r="AF146" s="26">
        <f>IF(OR(J146="",L146=""),"",IF(AND(J146&lt;=EOMONTH(AF$4,0),L146&gt;=AF$4),1,""))</f>
        <v/>
      </c>
      <c r="AG146" s="26">
        <f>IF(OR(J146="",L146=""),"",IF(AND(J146&lt;=EOMONTH(AG$4,0),L146&gt;=AG$4),1,""))</f>
        <v/>
      </c>
      <c r="AH146" s="26">
        <f>IF(OR(J146="",L146=""),"",IF(AND(J146&lt;=EOMONTH(AH$4,0),L146&gt;=AH$4),1,""))</f>
        <v/>
      </c>
      <c r="AI146" s="26">
        <f>IF(OR(J146="",L146=""),"",IF(AND(J146&lt;=EOMONTH(AI$4,0),L146&gt;=AI$4),1,""))</f>
        <v/>
      </c>
      <c r="AJ146" s="26">
        <f>IF(OR(J146="",L146=""),"",IF(AND(J146&lt;=EOMONTH(AJ$4,0),L146&gt;=AJ$4),1,""))</f>
        <v/>
      </c>
      <c r="AK146" s="26">
        <f>IF(OR(J146="",L146=""),"",IF(AND(J146&lt;=EOMONTH(AK$4,0),L146&gt;=AK$4),1,""))</f>
        <v/>
      </c>
      <c r="AL146" s="26">
        <f>IF(OR(J146="",L146=""),"",IF(AND(J146&lt;=EOMONTH(AL$4,0),L146&gt;=AL$4),1,""))</f>
        <v/>
      </c>
      <c r="AM146" s="26">
        <f>IF(OR(J146="",L146=""),"",IF(AND(J146&lt;=EOMONTH(AM$4,0),L146&gt;=AM$4),1,""))</f>
        <v/>
      </c>
      <c r="AN146" s="26">
        <f>IF(OR(J146="",L146=""),"",IF(AND(J146&lt;=EOMONTH(AN$4,0),L146&gt;=AN$4),1,""))</f>
        <v/>
      </c>
      <c r="AO146" s="26">
        <f>IF(OR(J146="",L146=""),"",IF(AND(J146&lt;=EOMONTH(AO$4,0),L146&gt;=AO$4),1,""))</f>
        <v/>
      </c>
      <c r="AP146" s="26">
        <f>IF(OR(J146="",L146=""),"",IF(AND(J146&lt;=EOMONTH(AP$4,0),L146&gt;=AP$4),1,""))</f>
        <v/>
      </c>
      <c r="AQ146" s="26">
        <f>IF(OR(J146="",L146=""),"",IF(AND(J146&lt;=EOMONTH(AQ$4,0),L146&gt;=AQ$4),1,""))</f>
        <v/>
      </c>
      <c r="AR146" s="26">
        <f>IF(OR(J146="",L146=""),"",IF(AND(J146&lt;=EOMONTH(AR$4,0),L146&gt;=AR$4),1,""))</f>
        <v/>
      </c>
      <c r="AS146" s="26">
        <f>IF(OR(J146="",L146=""),"",IF(AND(J146&lt;=EOMONTH(AS$4,0),L146&gt;=AS$4),1,""))</f>
        <v/>
      </c>
      <c r="AT146" s="26">
        <f>IF(OR(J146="",L146=""),"",IF(AND(J146&lt;=EOMONTH(AT$4,0),L146&gt;=AT$4),1,""))</f>
        <v/>
      </c>
      <c r="AU146" s="26">
        <f>IF(OR(J146="",L146=""),"",IF(AND(J146&lt;=EOMONTH(AU$4,0),L146&gt;=AU$4),1,""))</f>
        <v/>
      </c>
      <c r="AV146" s="26">
        <f>IF(OR(J146="",L146=""),"",IF(AND(J146&lt;=EOMONTH(AV$4,0),L146&gt;=AV$4),1,""))</f>
        <v/>
      </c>
      <c r="AW146" s="26">
        <f>IF(OR(J146="",L146=""),"",IF(AND(J146&lt;=EOMONTH(AW$4,0),L146&gt;=AW$4),1,""))</f>
        <v/>
      </c>
      <c r="AX146" s="26">
        <f>IF(OR(J146="",L146=""),"",IF(AND(J146&lt;=EOMONTH(AX$4,0),L146&gt;=AX$4),1,""))</f>
        <v/>
      </c>
      <c r="AY146" s="26">
        <f>IF(OR(J146="",L146=""),"",IF(AND(J146&lt;=EOMONTH(AY$4,0),L146&gt;=AY$4),1,""))</f>
        <v/>
      </c>
      <c r="AZ146" s="26">
        <f>IF(OR(J146="",L146=""),"",IF(AND(J146&lt;=EOMONTH(AZ$4,0),L146&gt;=AZ$4),1,""))</f>
        <v/>
      </c>
      <c r="BA146" s="26">
        <f>IF(OR(J146="",L146=""),"",IF(AND(J146&lt;=EOMONTH(BA$4,0),L146&gt;=BA$4),1,""))</f>
        <v/>
      </c>
      <c r="BB146" s="26">
        <f>IF(OR(J146="",L146=""),"",IF(AND(J146&lt;=EOMONTH(BB$4,0),L146&gt;=BB$4),1,""))</f>
        <v/>
      </c>
    </row>
    <row r="147">
      <c r="A147" s="27" t="n"/>
      <c r="B147" s="28" t="n"/>
      <c r="C147" s="29" t="n"/>
      <c r="D147" s="30">
        <f>IF(E147="","","CWA-"&amp;MID(E147,5,4))</f>
        <v/>
      </c>
      <c r="E147" s="29" t="n"/>
      <c r="F147" s="31" t="n"/>
      <c r="G147" s="29" t="n"/>
      <c r="H147" s="28" t="n"/>
      <c r="I147" s="29" t="n"/>
      <c r="J147" s="32" t="n"/>
      <c r="K147" s="28" t="n"/>
      <c r="L147" s="33">
        <f>IF(OR(J147="",K147=""),"",J147+7*K147-1)</f>
        <v/>
      </c>
      <c r="M147" s="33">
        <f>IF(J147="","",J147-7*$E$3)</f>
        <v/>
      </c>
      <c r="N147" s="33">
        <f>IF(J147="","",J147-7*$H$3)</f>
        <v/>
      </c>
      <c r="O147" s="33">
        <f>IF(J147="","",J147-1*$K$3)</f>
        <v/>
      </c>
      <c r="P147" s="30">
        <f>IF(OR(E147="",I147="",I147="—"),IF(E147="","","OK"),IFERROR(IF(INDEX($L$6:$L$155,MATCH(I147,$E$6:$E$155,0))&gt;=J147,"Conflicto con predecesor","OK"),"Predecesor no encontrado"))</f>
        <v/>
      </c>
      <c r="Q147" s="29" t="n"/>
      <c r="R147" s="31" t="n"/>
      <c r="S147" s="26">
        <f>IF(OR(J147="",L147=""),"",IF(AND(J147&lt;=EOMONTH(S$4,0),L147&gt;=S$4),1,""))</f>
        <v/>
      </c>
      <c r="T147" s="26">
        <f>IF(OR(J147="",L147=""),"",IF(AND(J147&lt;=EOMONTH(T$4,0),L147&gt;=T$4),1,""))</f>
        <v/>
      </c>
      <c r="U147" s="26">
        <f>IF(OR(J147="",L147=""),"",IF(AND(J147&lt;=EOMONTH(U$4,0),L147&gt;=U$4),1,""))</f>
        <v/>
      </c>
      <c r="V147" s="26">
        <f>IF(OR(J147="",L147=""),"",IF(AND(J147&lt;=EOMONTH(V$4,0),L147&gt;=V$4),1,""))</f>
        <v/>
      </c>
      <c r="W147" s="26">
        <f>IF(OR(J147="",L147=""),"",IF(AND(J147&lt;=EOMONTH(W$4,0),L147&gt;=W$4),1,""))</f>
        <v/>
      </c>
      <c r="X147" s="26">
        <f>IF(OR(J147="",L147=""),"",IF(AND(J147&lt;=EOMONTH(X$4,0),L147&gt;=X$4),1,""))</f>
        <v/>
      </c>
      <c r="Y147" s="26">
        <f>IF(OR(J147="",L147=""),"",IF(AND(J147&lt;=EOMONTH(Y$4,0),L147&gt;=Y$4),1,""))</f>
        <v/>
      </c>
      <c r="Z147" s="26">
        <f>IF(OR(J147="",L147=""),"",IF(AND(J147&lt;=EOMONTH(Z$4,0),L147&gt;=Z$4),1,""))</f>
        <v/>
      </c>
      <c r="AA147" s="26">
        <f>IF(OR(J147="",L147=""),"",IF(AND(J147&lt;=EOMONTH(AA$4,0),L147&gt;=AA$4),1,""))</f>
        <v/>
      </c>
      <c r="AB147" s="26">
        <f>IF(OR(J147="",L147=""),"",IF(AND(J147&lt;=EOMONTH(AB$4,0),L147&gt;=AB$4),1,""))</f>
        <v/>
      </c>
      <c r="AC147" s="26">
        <f>IF(OR(J147="",L147=""),"",IF(AND(J147&lt;=EOMONTH(AC$4,0),L147&gt;=AC$4),1,""))</f>
        <v/>
      </c>
      <c r="AD147" s="26">
        <f>IF(OR(J147="",L147=""),"",IF(AND(J147&lt;=EOMONTH(AD$4,0),L147&gt;=AD$4),1,""))</f>
        <v/>
      </c>
      <c r="AE147" s="26">
        <f>IF(OR(J147="",L147=""),"",IF(AND(J147&lt;=EOMONTH(AE$4,0),L147&gt;=AE$4),1,""))</f>
        <v/>
      </c>
      <c r="AF147" s="26">
        <f>IF(OR(J147="",L147=""),"",IF(AND(J147&lt;=EOMONTH(AF$4,0),L147&gt;=AF$4),1,""))</f>
        <v/>
      </c>
      <c r="AG147" s="26">
        <f>IF(OR(J147="",L147=""),"",IF(AND(J147&lt;=EOMONTH(AG$4,0),L147&gt;=AG$4),1,""))</f>
        <v/>
      </c>
      <c r="AH147" s="26">
        <f>IF(OR(J147="",L147=""),"",IF(AND(J147&lt;=EOMONTH(AH$4,0),L147&gt;=AH$4),1,""))</f>
        <v/>
      </c>
      <c r="AI147" s="26">
        <f>IF(OR(J147="",L147=""),"",IF(AND(J147&lt;=EOMONTH(AI$4,0),L147&gt;=AI$4),1,""))</f>
        <v/>
      </c>
      <c r="AJ147" s="26">
        <f>IF(OR(J147="",L147=""),"",IF(AND(J147&lt;=EOMONTH(AJ$4,0),L147&gt;=AJ$4),1,""))</f>
        <v/>
      </c>
      <c r="AK147" s="26">
        <f>IF(OR(J147="",L147=""),"",IF(AND(J147&lt;=EOMONTH(AK$4,0),L147&gt;=AK$4),1,""))</f>
        <v/>
      </c>
      <c r="AL147" s="26">
        <f>IF(OR(J147="",L147=""),"",IF(AND(J147&lt;=EOMONTH(AL$4,0),L147&gt;=AL$4),1,""))</f>
        <v/>
      </c>
      <c r="AM147" s="26">
        <f>IF(OR(J147="",L147=""),"",IF(AND(J147&lt;=EOMONTH(AM$4,0),L147&gt;=AM$4),1,""))</f>
        <v/>
      </c>
      <c r="AN147" s="26">
        <f>IF(OR(J147="",L147=""),"",IF(AND(J147&lt;=EOMONTH(AN$4,0),L147&gt;=AN$4),1,""))</f>
        <v/>
      </c>
      <c r="AO147" s="26">
        <f>IF(OR(J147="",L147=""),"",IF(AND(J147&lt;=EOMONTH(AO$4,0),L147&gt;=AO$4),1,""))</f>
        <v/>
      </c>
      <c r="AP147" s="26">
        <f>IF(OR(J147="",L147=""),"",IF(AND(J147&lt;=EOMONTH(AP$4,0),L147&gt;=AP$4),1,""))</f>
        <v/>
      </c>
      <c r="AQ147" s="26">
        <f>IF(OR(J147="",L147=""),"",IF(AND(J147&lt;=EOMONTH(AQ$4,0),L147&gt;=AQ$4),1,""))</f>
        <v/>
      </c>
      <c r="AR147" s="26">
        <f>IF(OR(J147="",L147=""),"",IF(AND(J147&lt;=EOMONTH(AR$4,0),L147&gt;=AR$4),1,""))</f>
        <v/>
      </c>
      <c r="AS147" s="26">
        <f>IF(OR(J147="",L147=""),"",IF(AND(J147&lt;=EOMONTH(AS$4,0),L147&gt;=AS$4),1,""))</f>
        <v/>
      </c>
      <c r="AT147" s="26">
        <f>IF(OR(J147="",L147=""),"",IF(AND(J147&lt;=EOMONTH(AT$4,0),L147&gt;=AT$4),1,""))</f>
        <v/>
      </c>
      <c r="AU147" s="26">
        <f>IF(OR(J147="",L147=""),"",IF(AND(J147&lt;=EOMONTH(AU$4,0),L147&gt;=AU$4),1,""))</f>
        <v/>
      </c>
      <c r="AV147" s="26">
        <f>IF(OR(J147="",L147=""),"",IF(AND(J147&lt;=EOMONTH(AV$4,0),L147&gt;=AV$4),1,""))</f>
        <v/>
      </c>
      <c r="AW147" s="26">
        <f>IF(OR(J147="",L147=""),"",IF(AND(J147&lt;=EOMONTH(AW$4,0),L147&gt;=AW$4),1,""))</f>
        <v/>
      </c>
      <c r="AX147" s="26">
        <f>IF(OR(J147="",L147=""),"",IF(AND(J147&lt;=EOMONTH(AX$4,0),L147&gt;=AX$4),1,""))</f>
        <v/>
      </c>
      <c r="AY147" s="26">
        <f>IF(OR(J147="",L147=""),"",IF(AND(J147&lt;=EOMONTH(AY$4,0),L147&gt;=AY$4),1,""))</f>
        <v/>
      </c>
      <c r="AZ147" s="26">
        <f>IF(OR(J147="",L147=""),"",IF(AND(J147&lt;=EOMONTH(AZ$4,0),L147&gt;=AZ$4),1,""))</f>
        <v/>
      </c>
      <c r="BA147" s="26">
        <f>IF(OR(J147="",L147=""),"",IF(AND(J147&lt;=EOMONTH(BA$4,0),L147&gt;=BA$4),1,""))</f>
        <v/>
      </c>
      <c r="BB147" s="26">
        <f>IF(OR(J147="",L147=""),"",IF(AND(J147&lt;=EOMONTH(BB$4,0),L147&gt;=BB$4),1,""))</f>
        <v/>
      </c>
    </row>
    <row r="148">
      <c r="A148" s="27" t="n"/>
      <c r="B148" s="28" t="n"/>
      <c r="C148" s="29" t="n"/>
      <c r="D148" s="30">
        <f>IF(E148="","","CWA-"&amp;MID(E148,5,4))</f>
        <v/>
      </c>
      <c r="E148" s="29" t="n"/>
      <c r="F148" s="31" t="n"/>
      <c r="G148" s="29" t="n"/>
      <c r="H148" s="28" t="n"/>
      <c r="I148" s="29" t="n"/>
      <c r="J148" s="32" t="n"/>
      <c r="K148" s="28" t="n"/>
      <c r="L148" s="33">
        <f>IF(OR(J148="",K148=""),"",J148+7*K148-1)</f>
        <v/>
      </c>
      <c r="M148" s="33">
        <f>IF(J148="","",J148-7*$E$3)</f>
        <v/>
      </c>
      <c r="N148" s="33">
        <f>IF(J148="","",J148-7*$H$3)</f>
        <v/>
      </c>
      <c r="O148" s="33">
        <f>IF(J148="","",J148-1*$K$3)</f>
        <v/>
      </c>
      <c r="P148" s="30">
        <f>IF(OR(E148="",I148="",I148="—"),IF(E148="","","OK"),IFERROR(IF(INDEX($L$6:$L$155,MATCH(I148,$E$6:$E$155,0))&gt;=J148,"Conflicto con predecesor","OK"),"Predecesor no encontrado"))</f>
        <v/>
      </c>
      <c r="Q148" s="29" t="n"/>
      <c r="R148" s="31" t="n"/>
      <c r="S148" s="26">
        <f>IF(OR(J148="",L148=""),"",IF(AND(J148&lt;=EOMONTH(S$4,0),L148&gt;=S$4),1,""))</f>
        <v/>
      </c>
      <c r="T148" s="26">
        <f>IF(OR(J148="",L148=""),"",IF(AND(J148&lt;=EOMONTH(T$4,0),L148&gt;=T$4),1,""))</f>
        <v/>
      </c>
      <c r="U148" s="26">
        <f>IF(OR(J148="",L148=""),"",IF(AND(J148&lt;=EOMONTH(U$4,0),L148&gt;=U$4),1,""))</f>
        <v/>
      </c>
      <c r="V148" s="26">
        <f>IF(OR(J148="",L148=""),"",IF(AND(J148&lt;=EOMONTH(V$4,0),L148&gt;=V$4),1,""))</f>
        <v/>
      </c>
      <c r="W148" s="26">
        <f>IF(OR(J148="",L148=""),"",IF(AND(J148&lt;=EOMONTH(W$4,0),L148&gt;=W$4),1,""))</f>
        <v/>
      </c>
      <c r="X148" s="26">
        <f>IF(OR(J148="",L148=""),"",IF(AND(J148&lt;=EOMONTH(X$4,0),L148&gt;=X$4),1,""))</f>
        <v/>
      </c>
      <c r="Y148" s="26">
        <f>IF(OR(J148="",L148=""),"",IF(AND(J148&lt;=EOMONTH(Y$4,0),L148&gt;=Y$4),1,""))</f>
        <v/>
      </c>
      <c r="Z148" s="26">
        <f>IF(OR(J148="",L148=""),"",IF(AND(J148&lt;=EOMONTH(Z$4,0),L148&gt;=Z$4),1,""))</f>
        <v/>
      </c>
      <c r="AA148" s="26">
        <f>IF(OR(J148="",L148=""),"",IF(AND(J148&lt;=EOMONTH(AA$4,0),L148&gt;=AA$4),1,""))</f>
        <v/>
      </c>
      <c r="AB148" s="26">
        <f>IF(OR(J148="",L148=""),"",IF(AND(J148&lt;=EOMONTH(AB$4,0),L148&gt;=AB$4),1,""))</f>
        <v/>
      </c>
      <c r="AC148" s="26">
        <f>IF(OR(J148="",L148=""),"",IF(AND(J148&lt;=EOMONTH(AC$4,0),L148&gt;=AC$4),1,""))</f>
        <v/>
      </c>
      <c r="AD148" s="26">
        <f>IF(OR(J148="",L148=""),"",IF(AND(J148&lt;=EOMONTH(AD$4,0),L148&gt;=AD$4),1,""))</f>
        <v/>
      </c>
      <c r="AE148" s="26">
        <f>IF(OR(J148="",L148=""),"",IF(AND(J148&lt;=EOMONTH(AE$4,0),L148&gt;=AE$4),1,""))</f>
        <v/>
      </c>
      <c r="AF148" s="26">
        <f>IF(OR(J148="",L148=""),"",IF(AND(J148&lt;=EOMONTH(AF$4,0),L148&gt;=AF$4),1,""))</f>
        <v/>
      </c>
      <c r="AG148" s="26">
        <f>IF(OR(J148="",L148=""),"",IF(AND(J148&lt;=EOMONTH(AG$4,0),L148&gt;=AG$4),1,""))</f>
        <v/>
      </c>
      <c r="AH148" s="26">
        <f>IF(OR(J148="",L148=""),"",IF(AND(J148&lt;=EOMONTH(AH$4,0),L148&gt;=AH$4),1,""))</f>
        <v/>
      </c>
      <c r="AI148" s="26">
        <f>IF(OR(J148="",L148=""),"",IF(AND(J148&lt;=EOMONTH(AI$4,0),L148&gt;=AI$4),1,""))</f>
        <v/>
      </c>
      <c r="AJ148" s="26">
        <f>IF(OR(J148="",L148=""),"",IF(AND(J148&lt;=EOMONTH(AJ$4,0),L148&gt;=AJ$4),1,""))</f>
        <v/>
      </c>
      <c r="AK148" s="26">
        <f>IF(OR(J148="",L148=""),"",IF(AND(J148&lt;=EOMONTH(AK$4,0),L148&gt;=AK$4),1,""))</f>
        <v/>
      </c>
      <c r="AL148" s="26">
        <f>IF(OR(J148="",L148=""),"",IF(AND(J148&lt;=EOMONTH(AL$4,0),L148&gt;=AL$4),1,""))</f>
        <v/>
      </c>
      <c r="AM148" s="26">
        <f>IF(OR(J148="",L148=""),"",IF(AND(J148&lt;=EOMONTH(AM$4,0),L148&gt;=AM$4),1,""))</f>
        <v/>
      </c>
      <c r="AN148" s="26">
        <f>IF(OR(J148="",L148=""),"",IF(AND(J148&lt;=EOMONTH(AN$4,0),L148&gt;=AN$4),1,""))</f>
        <v/>
      </c>
      <c r="AO148" s="26">
        <f>IF(OR(J148="",L148=""),"",IF(AND(J148&lt;=EOMONTH(AO$4,0),L148&gt;=AO$4),1,""))</f>
        <v/>
      </c>
      <c r="AP148" s="26">
        <f>IF(OR(J148="",L148=""),"",IF(AND(J148&lt;=EOMONTH(AP$4,0),L148&gt;=AP$4),1,""))</f>
        <v/>
      </c>
      <c r="AQ148" s="26">
        <f>IF(OR(J148="",L148=""),"",IF(AND(J148&lt;=EOMONTH(AQ$4,0),L148&gt;=AQ$4),1,""))</f>
        <v/>
      </c>
      <c r="AR148" s="26">
        <f>IF(OR(J148="",L148=""),"",IF(AND(J148&lt;=EOMONTH(AR$4,0),L148&gt;=AR$4),1,""))</f>
        <v/>
      </c>
      <c r="AS148" s="26">
        <f>IF(OR(J148="",L148=""),"",IF(AND(J148&lt;=EOMONTH(AS$4,0),L148&gt;=AS$4),1,""))</f>
        <v/>
      </c>
      <c r="AT148" s="26">
        <f>IF(OR(J148="",L148=""),"",IF(AND(J148&lt;=EOMONTH(AT$4,0),L148&gt;=AT$4),1,""))</f>
        <v/>
      </c>
      <c r="AU148" s="26">
        <f>IF(OR(J148="",L148=""),"",IF(AND(J148&lt;=EOMONTH(AU$4,0),L148&gt;=AU$4),1,""))</f>
        <v/>
      </c>
      <c r="AV148" s="26">
        <f>IF(OR(J148="",L148=""),"",IF(AND(J148&lt;=EOMONTH(AV$4,0),L148&gt;=AV$4),1,""))</f>
        <v/>
      </c>
      <c r="AW148" s="26">
        <f>IF(OR(J148="",L148=""),"",IF(AND(J148&lt;=EOMONTH(AW$4,0),L148&gt;=AW$4),1,""))</f>
        <v/>
      </c>
      <c r="AX148" s="26">
        <f>IF(OR(J148="",L148=""),"",IF(AND(J148&lt;=EOMONTH(AX$4,0),L148&gt;=AX$4),1,""))</f>
        <v/>
      </c>
      <c r="AY148" s="26">
        <f>IF(OR(J148="",L148=""),"",IF(AND(J148&lt;=EOMONTH(AY$4,0),L148&gt;=AY$4),1,""))</f>
        <v/>
      </c>
      <c r="AZ148" s="26">
        <f>IF(OR(J148="",L148=""),"",IF(AND(J148&lt;=EOMONTH(AZ$4,0),L148&gt;=AZ$4),1,""))</f>
        <v/>
      </c>
      <c r="BA148" s="26">
        <f>IF(OR(J148="",L148=""),"",IF(AND(J148&lt;=EOMONTH(BA$4,0),L148&gt;=BA$4),1,""))</f>
        <v/>
      </c>
      <c r="BB148" s="26">
        <f>IF(OR(J148="",L148=""),"",IF(AND(J148&lt;=EOMONTH(BB$4,0),L148&gt;=BB$4),1,""))</f>
        <v/>
      </c>
    </row>
    <row r="149">
      <c r="A149" s="27" t="n"/>
      <c r="B149" s="28" t="n"/>
      <c r="C149" s="29" t="n"/>
      <c r="D149" s="30">
        <f>IF(E149="","","CWA-"&amp;MID(E149,5,4))</f>
        <v/>
      </c>
      <c r="E149" s="29" t="n"/>
      <c r="F149" s="31" t="n"/>
      <c r="G149" s="29" t="n"/>
      <c r="H149" s="28" t="n"/>
      <c r="I149" s="29" t="n"/>
      <c r="J149" s="32" t="n"/>
      <c r="K149" s="28" t="n"/>
      <c r="L149" s="33">
        <f>IF(OR(J149="",K149=""),"",J149+7*K149-1)</f>
        <v/>
      </c>
      <c r="M149" s="33">
        <f>IF(J149="","",J149-7*$E$3)</f>
        <v/>
      </c>
      <c r="N149" s="33">
        <f>IF(J149="","",J149-7*$H$3)</f>
        <v/>
      </c>
      <c r="O149" s="33">
        <f>IF(J149="","",J149-1*$K$3)</f>
        <v/>
      </c>
      <c r="P149" s="30">
        <f>IF(OR(E149="",I149="",I149="—"),IF(E149="","","OK"),IFERROR(IF(INDEX($L$6:$L$155,MATCH(I149,$E$6:$E$155,0))&gt;=J149,"Conflicto con predecesor","OK"),"Predecesor no encontrado"))</f>
        <v/>
      </c>
      <c r="Q149" s="29" t="n"/>
      <c r="R149" s="31" t="n"/>
      <c r="S149" s="26">
        <f>IF(OR(J149="",L149=""),"",IF(AND(J149&lt;=EOMONTH(S$4,0),L149&gt;=S$4),1,""))</f>
        <v/>
      </c>
      <c r="T149" s="26">
        <f>IF(OR(J149="",L149=""),"",IF(AND(J149&lt;=EOMONTH(T$4,0),L149&gt;=T$4),1,""))</f>
        <v/>
      </c>
      <c r="U149" s="26">
        <f>IF(OR(J149="",L149=""),"",IF(AND(J149&lt;=EOMONTH(U$4,0),L149&gt;=U$4),1,""))</f>
        <v/>
      </c>
      <c r="V149" s="26">
        <f>IF(OR(J149="",L149=""),"",IF(AND(J149&lt;=EOMONTH(V$4,0),L149&gt;=V$4),1,""))</f>
        <v/>
      </c>
      <c r="W149" s="26">
        <f>IF(OR(J149="",L149=""),"",IF(AND(J149&lt;=EOMONTH(W$4,0),L149&gt;=W$4),1,""))</f>
        <v/>
      </c>
      <c r="X149" s="26">
        <f>IF(OR(J149="",L149=""),"",IF(AND(J149&lt;=EOMONTH(X$4,0),L149&gt;=X$4),1,""))</f>
        <v/>
      </c>
      <c r="Y149" s="26">
        <f>IF(OR(J149="",L149=""),"",IF(AND(J149&lt;=EOMONTH(Y$4,0),L149&gt;=Y$4),1,""))</f>
        <v/>
      </c>
      <c r="Z149" s="26">
        <f>IF(OR(J149="",L149=""),"",IF(AND(J149&lt;=EOMONTH(Z$4,0),L149&gt;=Z$4),1,""))</f>
        <v/>
      </c>
      <c r="AA149" s="26">
        <f>IF(OR(J149="",L149=""),"",IF(AND(J149&lt;=EOMONTH(AA$4,0),L149&gt;=AA$4),1,""))</f>
        <v/>
      </c>
      <c r="AB149" s="26">
        <f>IF(OR(J149="",L149=""),"",IF(AND(J149&lt;=EOMONTH(AB$4,0),L149&gt;=AB$4),1,""))</f>
        <v/>
      </c>
      <c r="AC149" s="26">
        <f>IF(OR(J149="",L149=""),"",IF(AND(J149&lt;=EOMONTH(AC$4,0),L149&gt;=AC$4),1,""))</f>
        <v/>
      </c>
      <c r="AD149" s="26">
        <f>IF(OR(J149="",L149=""),"",IF(AND(J149&lt;=EOMONTH(AD$4,0),L149&gt;=AD$4),1,""))</f>
        <v/>
      </c>
      <c r="AE149" s="26">
        <f>IF(OR(J149="",L149=""),"",IF(AND(J149&lt;=EOMONTH(AE$4,0),L149&gt;=AE$4),1,""))</f>
        <v/>
      </c>
      <c r="AF149" s="26">
        <f>IF(OR(J149="",L149=""),"",IF(AND(J149&lt;=EOMONTH(AF$4,0),L149&gt;=AF$4),1,""))</f>
        <v/>
      </c>
      <c r="AG149" s="26">
        <f>IF(OR(J149="",L149=""),"",IF(AND(J149&lt;=EOMONTH(AG$4,0),L149&gt;=AG$4),1,""))</f>
        <v/>
      </c>
      <c r="AH149" s="26">
        <f>IF(OR(J149="",L149=""),"",IF(AND(J149&lt;=EOMONTH(AH$4,0),L149&gt;=AH$4),1,""))</f>
        <v/>
      </c>
      <c r="AI149" s="26">
        <f>IF(OR(J149="",L149=""),"",IF(AND(J149&lt;=EOMONTH(AI$4,0),L149&gt;=AI$4),1,""))</f>
        <v/>
      </c>
      <c r="AJ149" s="26">
        <f>IF(OR(J149="",L149=""),"",IF(AND(J149&lt;=EOMONTH(AJ$4,0),L149&gt;=AJ$4),1,""))</f>
        <v/>
      </c>
      <c r="AK149" s="26">
        <f>IF(OR(J149="",L149=""),"",IF(AND(J149&lt;=EOMONTH(AK$4,0),L149&gt;=AK$4),1,""))</f>
        <v/>
      </c>
      <c r="AL149" s="26">
        <f>IF(OR(J149="",L149=""),"",IF(AND(J149&lt;=EOMONTH(AL$4,0),L149&gt;=AL$4),1,""))</f>
        <v/>
      </c>
      <c r="AM149" s="26">
        <f>IF(OR(J149="",L149=""),"",IF(AND(J149&lt;=EOMONTH(AM$4,0),L149&gt;=AM$4),1,""))</f>
        <v/>
      </c>
      <c r="AN149" s="26">
        <f>IF(OR(J149="",L149=""),"",IF(AND(J149&lt;=EOMONTH(AN$4,0),L149&gt;=AN$4),1,""))</f>
        <v/>
      </c>
      <c r="AO149" s="26">
        <f>IF(OR(J149="",L149=""),"",IF(AND(J149&lt;=EOMONTH(AO$4,0),L149&gt;=AO$4),1,""))</f>
        <v/>
      </c>
      <c r="AP149" s="26">
        <f>IF(OR(J149="",L149=""),"",IF(AND(J149&lt;=EOMONTH(AP$4,0),L149&gt;=AP$4),1,""))</f>
        <v/>
      </c>
      <c r="AQ149" s="26">
        <f>IF(OR(J149="",L149=""),"",IF(AND(J149&lt;=EOMONTH(AQ$4,0),L149&gt;=AQ$4),1,""))</f>
        <v/>
      </c>
      <c r="AR149" s="26">
        <f>IF(OR(J149="",L149=""),"",IF(AND(J149&lt;=EOMONTH(AR$4,0),L149&gt;=AR$4),1,""))</f>
        <v/>
      </c>
      <c r="AS149" s="26">
        <f>IF(OR(J149="",L149=""),"",IF(AND(J149&lt;=EOMONTH(AS$4,0),L149&gt;=AS$4),1,""))</f>
        <v/>
      </c>
      <c r="AT149" s="26">
        <f>IF(OR(J149="",L149=""),"",IF(AND(J149&lt;=EOMONTH(AT$4,0),L149&gt;=AT$4),1,""))</f>
        <v/>
      </c>
      <c r="AU149" s="26">
        <f>IF(OR(J149="",L149=""),"",IF(AND(J149&lt;=EOMONTH(AU$4,0),L149&gt;=AU$4),1,""))</f>
        <v/>
      </c>
      <c r="AV149" s="26">
        <f>IF(OR(J149="",L149=""),"",IF(AND(J149&lt;=EOMONTH(AV$4,0),L149&gt;=AV$4),1,""))</f>
        <v/>
      </c>
      <c r="AW149" s="26">
        <f>IF(OR(J149="",L149=""),"",IF(AND(J149&lt;=EOMONTH(AW$4,0),L149&gt;=AW$4),1,""))</f>
        <v/>
      </c>
      <c r="AX149" s="26">
        <f>IF(OR(J149="",L149=""),"",IF(AND(J149&lt;=EOMONTH(AX$4,0),L149&gt;=AX$4),1,""))</f>
        <v/>
      </c>
      <c r="AY149" s="26">
        <f>IF(OR(J149="",L149=""),"",IF(AND(J149&lt;=EOMONTH(AY$4,0),L149&gt;=AY$4),1,""))</f>
        <v/>
      </c>
      <c r="AZ149" s="26">
        <f>IF(OR(J149="",L149=""),"",IF(AND(J149&lt;=EOMONTH(AZ$4,0),L149&gt;=AZ$4),1,""))</f>
        <v/>
      </c>
      <c r="BA149" s="26">
        <f>IF(OR(J149="",L149=""),"",IF(AND(J149&lt;=EOMONTH(BA$4,0),L149&gt;=BA$4),1,""))</f>
        <v/>
      </c>
      <c r="BB149" s="26">
        <f>IF(OR(J149="",L149=""),"",IF(AND(J149&lt;=EOMONTH(BB$4,0),L149&gt;=BB$4),1,""))</f>
        <v/>
      </c>
    </row>
    <row r="150">
      <c r="A150" s="27" t="n"/>
      <c r="B150" s="28" t="n"/>
      <c r="C150" s="29" t="n"/>
      <c r="D150" s="30">
        <f>IF(E150="","","CWA-"&amp;MID(E150,5,4))</f>
        <v/>
      </c>
      <c r="E150" s="29" t="n"/>
      <c r="F150" s="31" t="n"/>
      <c r="G150" s="29" t="n"/>
      <c r="H150" s="28" t="n"/>
      <c r="I150" s="29" t="n"/>
      <c r="J150" s="32" t="n"/>
      <c r="K150" s="28" t="n"/>
      <c r="L150" s="33">
        <f>IF(OR(J150="",K150=""),"",J150+7*K150-1)</f>
        <v/>
      </c>
      <c r="M150" s="33">
        <f>IF(J150="","",J150-7*$E$3)</f>
        <v/>
      </c>
      <c r="N150" s="33">
        <f>IF(J150="","",J150-7*$H$3)</f>
        <v/>
      </c>
      <c r="O150" s="33">
        <f>IF(J150="","",J150-1*$K$3)</f>
        <v/>
      </c>
      <c r="P150" s="30">
        <f>IF(OR(E150="",I150="",I150="—"),IF(E150="","","OK"),IFERROR(IF(INDEX($L$6:$L$155,MATCH(I150,$E$6:$E$155,0))&gt;=J150,"Conflicto con predecesor","OK"),"Predecesor no encontrado"))</f>
        <v/>
      </c>
      <c r="Q150" s="29" t="n"/>
      <c r="R150" s="31" t="n"/>
      <c r="S150" s="26">
        <f>IF(OR(J150="",L150=""),"",IF(AND(J150&lt;=EOMONTH(S$4,0),L150&gt;=S$4),1,""))</f>
        <v/>
      </c>
      <c r="T150" s="26">
        <f>IF(OR(J150="",L150=""),"",IF(AND(J150&lt;=EOMONTH(T$4,0),L150&gt;=T$4),1,""))</f>
        <v/>
      </c>
      <c r="U150" s="26">
        <f>IF(OR(J150="",L150=""),"",IF(AND(J150&lt;=EOMONTH(U$4,0),L150&gt;=U$4),1,""))</f>
        <v/>
      </c>
      <c r="V150" s="26">
        <f>IF(OR(J150="",L150=""),"",IF(AND(J150&lt;=EOMONTH(V$4,0),L150&gt;=V$4),1,""))</f>
        <v/>
      </c>
      <c r="W150" s="26">
        <f>IF(OR(J150="",L150=""),"",IF(AND(J150&lt;=EOMONTH(W$4,0),L150&gt;=W$4),1,""))</f>
        <v/>
      </c>
      <c r="X150" s="26">
        <f>IF(OR(J150="",L150=""),"",IF(AND(J150&lt;=EOMONTH(X$4,0),L150&gt;=X$4),1,""))</f>
        <v/>
      </c>
      <c r="Y150" s="26">
        <f>IF(OR(J150="",L150=""),"",IF(AND(J150&lt;=EOMONTH(Y$4,0),L150&gt;=Y$4),1,""))</f>
        <v/>
      </c>
      <c r="Z150" s="26">
        <f>IF(OR(J150="",L150=""),"",IF(AND(J150&lt;=EOMONTH(Z$4,0),L150&gt;=Z$4),1,""))</f>
        <v/>
      </c>
      <c r="AA150" s="26">
        <f>IF(OR(J150="",L150=""),"",IF(AND(J150&lt;=EOMONTH(AA$4,0),L150&gt;=AA$4),1,""))</f>
        <v/>
      </c>
      <c r="AB150" s="26">
        <f>IF(OR(J150="",L150=""),"",IF(AND(J150&lt;=EOMONTH(AB$4,0),L150&gt;=AB$4),1,""))</f>
        <v/>
      </c>
      <c r="AC150" s="26">
        <f>IF(OR(J150="",L150=""),"",IF(AND(J150&lt;=EOMONTH(AC$4,0),L150&gt;=AC$4),1,""))</f>
        <v/>
      </c>
      <c r="AD150" s="26">
        <f>IF(OR(J150="",L150=""),"",IF(AND(J150&lt;=EOMONTH(AD$4,0),L150&gt;=AD$4),1,""))</f>
        <v/>
      </c>
      <c r="AE150" s="26">
        <f>IF(OR(J150="",L150=""),"",IF(AND(J150&lt;=EOMONTH(AE$4,0),L150&gt;=AE$4),1,""))</f>
        <v/>
      </c>
      <c r="AF150" s="26">
        <f>IF(OR(J150="",L150=""),"",IF(AND(J150&lt;=EOMONTH(AF$4,0),L150&gt;=AF$4),1,""))</f>
        <v/>
      </c>
      <c r="AG150" s="26">
        <f>IF(OR(J150="",L150=""),"",IF(AND(J150&lt;=EOMONTH(AG$4,0),L150&gt;=AG$4),1,""))</f>
        <v/>
      </c>
      <c r="AH150" s="26">
        <f>IF(OR(J150="",L150=""),"",IF(AND(J150&lt;=EOMONTH(AH$4,0),L150&gt;=AH$4),1,""))</f>
        <v/>
      </c>
      <c r="AI150" s="26">
        <f>IF(OR(J150="",L150=""),"",IF(AND(J150&lt;=EOMONTH(AI$4,0),L150&gt;=AI$4),1,""))</f>
        <v/>
      </c>
      <c r="AJ150" s="26">
        <f>IF(OR(J150="",L150=""),"",IF(AND(J150&lt;=EOMONTH(AJ$4,0),L150&gt;=AJ$4),1,""))</f>
        <v/>
      </c>
      <c r="AK150" s="26">
        <f>IF(OR(J150="",L150=""),"",IF(AND(J150&lt;=EOMONTH(AK$4,0),L150&gt;=AK$4),1,""))</f>
        <v/>
      </c>
      <c r="AL150" s="26">
        <f>IF(OR(J150="",L150=""),"",IF(AND(J150&lt;=EOMONTH(AL$4,0),L150&gt;=AL$4),1,""))</f>
        <v/>
      </c>
      <c r="AM150" s="26">
        <f>IF(OR(J150="",L150=""),"",IF(AND(J150&lt;=EOMONTH(AM$4,0),L150&gt;=AM$4),1,""))</f>
        <v/>
      </c>
      <c r="AN150" s="26">
        <f>IF(OR(J150="",L150=""),"",IF(AND(J150&lt;=EOMONTH(AN$4,0),L150&gt;=AN$4),1,""))</f>
        <v/>
      </c>
      <c r="AO150" s="26">
        <f>IF(OR(J150="",L150=""),"",IF(AND(J150&lt;=EOMONTH(AO$4,0),L150&gt;=AO$4),1,""))</f>
        <v/>
      </c>
      <c r="AP150" s="26">
        <f>IF(OR(J150="",L150=""),"",IF(AND(J150&lt;=EOMONTH(AP$4,0),L150&gt;=AP$4),1,""))</f>
        <v/>
      </c>
      <c r="AQ150" s="26">
        <f>IF(OR(J150="",L150=""),"",IF(AND(J150&lt;=EOMONTH(AQ$4,0),L150&gt;=AQ$4),1,""))</f>
        <v/>
      </c>
      <c r="AR150" s="26">
        <f>IF(OR(J150="",L150=""),"",IF(AND(J150&lt;=EOMONTH(AR$4,0),L150&gt;=AR$4),1,""))</f>
        <v/>
      </c>
      <c r="AS150" s="26">
        <f>IF(OR(J150="",L150=""),"",IF(AND(J150&lt;=EOMONTH(AS$4,0),L150&gt;=AS$4),1,""))</f>
        <v/>
      </c>
      <c r="AT150" s="26">
        <f>IF(OR(J150="",L150=""),"",IF(AND(J150&lt;=EOMONTH(AT$4,0),L150&gt;=AT$4),1,""))</f>
        <v/>
      </c>
      <c r="AU150" s="26">
        <f>IF(OR(J150="",L150=""),"",IF(AND(J150&lt;=EOMONTH(AU$4,0),L150&gt;=AU$4),1,""))</f>
        <v/>
      </c>
      <c r="AV150" s="26">
        <f>IF(OR(J150="",L150=""),"",IF(AND(J150&lt;=EOMONTH(AV$4,0),L150&gt;=AV$4),1,""))</f>
        <v/>
      </c>
      <c r="AW150" s="26">
        <f>IF(OR(J150="",L150=""),"",IF(AND(J150&lt;=EOMONTH(AW$4,0),L150&gt;=AW$4),1,""))</f>
        <v/>
      </c>
      <c r="AX150" s="26">
        <f>IF(OR(J150="",L150=""),"",IF(AND(J150&lt;=EOMONTH(AX$4,0),L150&gt;=AX$4),1,""))</f>
        <v/>
      </c>
      <c r="AY150" s="26">
        <f>IF(OR(J150="",L150=""),"",IF(AND(J150&lt;=EOMONTH(AY$4,0),L150&gt;=AY$4),1,""))</f>
        <v/>
      </c>
      <c r="AZ150" s="26">
        <f>IF(OR(J150="",L150=""),"",IF(AND(J150&lt;=EOMONTH(AZ$4,0),L150&gt;=AZ$4),1,""))</f>
        <v/>
      </c>
      <c r="BA150" s="26">
        <f>IF(OR(J150="",L150=""),"",IF(AND(J150&lt;=EOMONTH(BA$4,0),L150&gt;=BA$4),1,""))</f>
        <v/>
      </c>
      <c r="BB150" s="26">
        <f>IF(OR(J150="",L150=""),"",IF(AND(J150&lt;=EOMONTH(BB$4,0),L150&gt;=BB$4),1,""))</f>
        <v/>
      </c>
    </row>
    <row r="151">
      <c r="A151" s="27" t="n"/>
      <c r="B151" s="28" t="n"/>
      <c r="C151" s="29" t="n"/>
      <c r="D151" s="30">
        <f>IF(E151="","","CWA-"&amp;MID(E151,5,4))</f>
        <v/>
      </c>
      <c r="E151" s="29" t="n"/>
      <c r="F151" s="31" t="n"/>
      <c r="G151" s="29" t="n"/>
      <c r="H151" s="28" t="n"/>
      <c r="I151" s="29" t="n"/>
      <c r="J151" s="32" t="n"/>
      <c r="K151" s="28" t="n"/>
      <c r="L151" s="33">
        <f>IF(OR(J151="",K151=""),"",J151+7*K151-1)</f>
        <v/>
      </c>
      <c r="M151" s="33">
        <f>IF(J151="","",J151-7*$E$3)</f>
        <v/>
      </c>
      <c r="N151" s="33">
        <f>IF(J151="","",J151-7*$H$3)</f>
        <v/>
      </c>
      <c r="O151" s="33">
        <f>IF(J151="","",J151-1*$K$3)</f>
        <v/>
      </c>
      <c r="P151" s="30">
        <f>IF(OR(E151="",I151="",I151="—"),IF(E151="","","OK"),IFERROR(IF(INDEX($L$6:$L$155,MATCH(I151,$E$6:$E$155,0))&gt;=J151,"Conflicto con predecesor","OK"),"Predecesor no encontrado"))</f>
        <v/>
      </c>
      <c r="Q151" s="29" t="n"/>
      <c r="R151" s="31" t="n"/>
      <c r="S151" s="26">
        <f>IF(OR(J151="",L151=""),"",IF(AND(J151&lt;=EOMONTH(S$4,0),L151&gt;=S$4),1,""))</f>
        <v/>
      </c>
      <c r="T151" s="26">
        <f>IF(OR(J151="",L151=""),"",IF(AND(J151&lt;=EOMONTH(T$4,0),L151&gt;=T$4),1,""))</f>
        <v/>
      </c>
      <c r="U151" s="26">
        <f>IF(OR(J151="",L151=""),"",IF(AND(J151&lt;=EOMONTH(U$4,0),L151&gt;=U$4),1,""))</f>
        <v/>
      </c>
      <c r="V151" s="26">
        <f>IF(OR(J151="",L151=""),"",IF(AND(J151&lt;=EOMONTH(V$4,0),L151&gt;=V$4),1,""))</f>
        <v/>
      </c>
      <c r="W151" s="26">
        <f>IF(OR(J151="",L151=""),"",IF(AND(J151&lt;=EOMONTH(W$4,0),L151&gt;=W$4),1,""))</f>
        <v/>
      </c>
      <c r="X151" s="26">
        <f>IF(OR(J151="",L151=""),"",IF(AND(J151&lt;=EOMONTH(X$4,0),L151&gt;=X$4),1,""))</f>
        <v/>
      </c>
      <c r="Y151" s="26">
        <f>IF(OR(J151="",L151=""),"",IF(AND(J151&lt;=EOMONTH(Y$4,0),L151&gt;=Y$4),1,""))</f>
        <v/>
      </c>
      <c r="Z151" s="26">
        <f>IF(OR(J151="",L151=""),"",IF(AND(J151&lt;=EOMONTH(Z$4,0),L151&gt;=Z$4),1,""))</f>
        <v/>
      </c>
      <c r="AA151" s="26">
        <f>IF(OR(J151="",L151=""),"",IF(AND(J151&lt;=EOMONTH(AA$4,0),L151&gt;=AA$4),1,""))</f>
        <v/>
      </c>
      <c r="AB151" s="26">
        <f>IF(OR(J151="",L151=""),"",IF(AND(J151&lt;=EOMONTH(AB$4,0),L151&gt;=AB$4),1,""))</f>
        <v/>
      </c>
      <c r="AC151" s="26">
        <f>IF(OR(J151="",L151=""),"",IF(AND(J151&lt;=EOMONTH(AC$4,0),L151&gt;=AC$4),1,""))</f>
        <v/>
      </c>
      <c r="AD151" s="26">
        <f>IF(OR(J151="",L151=""),"",IF(AND(J151&lt;=EOMONTH(AD$4,0),L151&gt;=AD$4),1,""))</f>
        <v/>
      </c>
      <c r="AE151" s="26">
        <f>IF(OR(J151="",L151=""),"",IF(AND(J151&lt;=EOMONTH(AE$4,0),L151&gt;=AE$4),1,""))</f>
        <v/>
      </c>
      <c r="AF151" s="26">
        <f>IF(OR(J151="",L151=""),"",IF(AND(J151&lt;=EOMONTH(AF$4,0),L151&gt;=AF$4),1,""))</f>
        <v/>
      </c>
      <c r="AG151" s="26">
        <f>IF(OR(J151="",L151=""),"",IF(AND(J151&lt;=EOMONTH(AG$4,0),L151&gt;=AG$4),1,""))</f>
        <v/>
      </c>
      <c r="AH151" s="26">
        <f>IF(OR(J151="",L151=""),"",IF(AND(J151&lt;=EOMONTH(AH$4,0),L151&gt;=AH$4),1,""))</f>
        <v/>
      </c>
      <c r="AI151" s="26">
        <f>IF(OR(J151="",L151=""),"",IF(AND(J151&lt;=EOMONTH(AI$4,0),L151&gt;=AI$4),1,""))</f>
        <v/>
      </c>
      <c r="AJ151" s="26">
        <f>IF(OR(J151="",L151=""),"",IF(AND(J151&lt;=EOMONTH(AJ$4,0),L151&gt;=AJ$4),1,""))</f>
        <v/>
      </c>
      <c r="AK151" s="26">
        <f>IF(OR(J151="",L151=""),"",IF(AND(J151&lt;=EOMONTH(AK$4,0),L151&gt;=AK$4),1,""))</f>
        <v/>
      </c>
      <c r="AL151" s="26">
        <f>IF(OR(J151="",L151=""),"",IF(AND(J151&lt;=EOMONTH(AL$4,0),L151&gt;=AL$4),1,""))</f>
        <v/>
      </c>
      <c r="AM151" s="26">
        <f>IF(OR(J151="",L151=""),"",IF(AND(J151&lt;=EOMONTH(AM$4,0),L151&gt;=AM$4),1,""))</f>
        <v/>
      </c>
      <c r="AN151" s="26">
        <f>IF(OR(J151="",L151=""),"",IF(AND(J151&lt;=EOMONTH(AN$4,0),L151&gt;=AN$4),1,""))</f>
        <v/>
      </c>
      <c r="AO151" s="26">
        <f>IF(OR(J151="",L151=""),"",IF(AND(J151&lt;=EOMONTH(AO$4,0),L151&gt;=AO$4),1,""))</f>
        <v/>
      </c>
      <c r="AP151" s="26">
        <f>IF(OR(J151="",L151=""),"",IF(AND(J151&lt;=EOMONTH(AP$4,0),L151&gt;=AP$4),1,""))</f>
        <v/>
      </c>
      <c r="AQ151" s="26">
        <f>IF(OR(J151="",L151=""),"",IF(AND(J151&lt;=EOMONTH(AQ$4,0),L151&gt;=AQ$4),1,""))</f>
        <v/>
      </c>
      <c r="AR151" s="26">
        <f>IF(OR(J151="",L151=""),"",IF(AND(J151&lt;=EOMONTH(AR$4,0),L151&gt;=AR$4),1,""))</f>
        <v/>
      </c>
      <c r="AS151" s="26">
        <f>IF(OR(J151="",L151=""),"",IF(AND(J151&lt;=EOMONTH(AS$4,0),L151&gt;=AS$4),1,""))</f>
        <v/>
      </c>
      <c r="AT151" s="26">
        <f>IF(OR(J151="",L151=""),"",IF(AND(J151&lt;=EOMONTH(AT$4,0),L151&gt;=AT$4),1,""))</f>
        <v/>
      </c>
      <c r="AU151" s="26">
        <f>IF(OR(J151="",L151=""),"",IF(AND(J151&lt;=EOMONTH(AU$4,0),L151&gt;=AU$4),1,""))</f>
        <v/>
      </c>
      <c r="AV151" s="26">
        <f>IF(OR(J151="",L151=""),"",IF(AND(J151&lt;=EOMONTH(AV$4,0),L151&gt;=AV$4),1,""))</f>
        <v/>
      </c>
      <c r="AW151" s="26">
        <f>IF(OR(J151="",L151=""),"",IF(AND(J151&lt;=EOMONTH(AW$4,0),L151&gt;=AW$4),1,""))</f>
        <v/>
      </c>
      <c r="AX151" s="26">
        <f>IF(OR(J151="",L151=""),"",IF(AND(J151&lt;=EOMONTH(AX$4,0),L151&gt;=AX$4),1,""))</f>
        <v/>
      </c>
      <c r="AY151" s="26">
        <f>IF(OR(J151="",L151=""),"",IF(AND(J151&lt;=EOMONTH(AY$4,0),L151&gt;=AY$4),1,""))</f>
        <v/>
      </c>
      <c r="AZ151" s="26">
        <f>IF(OR(J151="",L151=""),"",IF(AND(J151&lt;=EOMONTH(AZ$4,0),L151&gt;=AZ$4),1,""))</f>
        <v/>
      </c>
      <c r="BA151" s="26">
        <f>IF(OR(J151="",L151=""),"",IF(AND(J151&lt;=EOMONTH(BA$4,0),L151&gt;=BA$4),1,""))</f>
        <v/>
      </c>
      <c r="BB151" s="26">
        <f>IF(OR(J151="",L151=""),"",IF(AND(J151&lt;=EOMONTH(BB$4,0),L151&gt;=BB$4),1,""))</f>
        <v/>
      </c>
    </row>
    <row r="152">
      <c r="A152" s="27" t="n"/>
      <c r="B152" s="28" t="n"/>
      <c r="C152" s="29" t="n"/>
      <c r="D152" s="30">
        <f>IF(E152="","","CWA-"&amp;MID(E152,5,4))</f>
        <v/>
      </c>
      <c r="E152" s="29" t="n"/>
      <c r="F152" s="31" t="n"/>
      <c r="G152" s="29" t="n"/>
      <c r="H152" s="28" t="n"/>
      <c r="I152" s="29" t="n"/>
      <c r="J152" s="32" t="n"/>
      <c r="K152" s="28" t="n"/>
      <c r="L152" s="33">
        <f>IF(OR(J152="",K152=""),"",J152+7*K152-1)</f>
        <v/>
      </c>
      <c r="M152" s="33">
        <f>IF(J152="","",J152-7*$E$3)</f>
        <v/>
      </c>
      <c r="N152" s="33">
        <f>IF(J152="","",J152-7*$H$3)</f>
        <v/>
      </c>
      <c r="O152" s="33">
        <f>IF(J152="","",J152-1*$K$3)</f>
        <v/>
      </c>
      <c r="P152" s="30">
        <f>IF(OR(E152="",I152="",I152="—"),IF(E152="","","OK"),IFERROR(IF(INDEX($L$6:$L$155,MATCH(I152,$E$6:$E$155,0))&gt;=J152,"Conflicto con predecesor","OK"),"Predecesor no encontrado"))</f>
        <v/>
      </c>
      <c r="Q152" s="29" t="n"/>
      <c r="R152" s="31" t="n"/>
      <c r="S152" s="26">
        <f>IF(OR(J152="",L152=""),"",IF(AND(J152&lt;=EOMONTH(S$4,0),L152&gt;=S$4),1,""))</f>
        <v/>
      </c>
      <c r="T152" s="26">
        <f>IF(OR(J152="",L152=""),"",IF(AND(J152&lt;=EOMONTH(T$4,0),L152&gt;=T$4),1,""))</f>
        <v/>
      </c>
      <c r="U152" s="26">
        <f>IF(OR(J152="",L152=""),"",IF(AND(J152&lt;=EOMONTH(U$4,0),L152&gt;=U$4),1,""))</f>
        <v/>
      </c>
      <c r="V152" s="26">
        <f>IF(OR(J152="",L152=""),"",IF(AND(J152&lt;=EOMONTH(V$4,0),L152&gt;=V$4),1,""))</f>
        <v/>
      </c>
      <c r="W152" s="26">
        <f>IF(OR(J152="",L152=""),"",IF(AND(J152&lt;=EOMONTH(W$4,0),L152&gt;=W$4),1,""))</f>
        <v/>
      </c>
      <c r="X152" s="26">
        <f>IF(OR(J152="",L152=""),"",IF(AND(J152&lt;=EOMONTH(X$4,0),L152&gt;=X$4),1,""))</f>
        <v/>
      </c>
      <c r="Y152" s="26">
        <f>IF(OR(J152="",L152=""),"",IF(AND(J152&lt;=EOMONTH(Y$4,0),L152&gt;=Y$4),1,""))</f>
        <v/>
      </c>
      <c r="Z152" s="26">
        <f>IF(OR(J152="",L152=""),"",IF(AND(J152&lt;=EOMONTH(Z$4,0),L152&gt;=Z$4),1,""))</f>
        <v/>
      </c>
      <c r="AA152" s="26">
        <f>IF(OR(J152="",L152=""),"",IF(AND(J152&lt;=EOMONTH(AA$4,0),L152&gt;=AA$4),1,""))</f>
        <v/>
      </c>
      <c r="AB152" s="26">
        <f>IF(OR(J152="",L152=""),"",IF(AND(J152&lt;=EOMONTH(AB$4,0),L152&gt;=AB$4),1,""))</f>
        <v/>
      </c>
      <c r="AC152" s="26">
        <f>IF(OR(J152="",L152=""),"",IF(AND(J152&lt;=EOMONTH(AC$4,0),L152&gt;=AC$4),1,""))</f>
        <v/>
      </c>
      <c r="AD152" s="26">
        <f>IF(OR(J152="",L152=""),"",IF(AND(J152&lt;=EOMONTH(AD$4,0),L152&gt;=AD$4),1,""))</f>
        <v/>
      </c>
      <c r="AE152" s="26">
        <f>IF(OR(J152="",L152=""),"",IF(AND(J152&lt;=EOMONTH(AE$4,0),L152&gt;=AE$4),1,""))</f>
        <v/>
      </c>
      <c r="AF152" s="26">
        <f>IF(OR(J152="",L152=""),"",IF(AND(J152&lt;=EOMONTH(AF$4,0),L152&gt;=AF$4),1,""))</f>
        <v/>
      </c>
      <c r="AG152" s="26">
        <f>IF(OR(J152="",L152=""),"",IF(AND(J152&lt;=EOMONTH(AG$4,0),L152&gt;=AG$4),1,""))</f>
        <v/>
      </c>
      <c r="AH152" s="26">
        <f>IF(OR(J152="",L152=""),"",IF(AND(J152&lt;=EOMONTH(AH$4,0),L152&gt;=AH$4),1,""))</f>
        <v/>
      </c>
      <c r="AI152" s="26">
        <f>IF(OR(J152="",L152=""),"",IF(AND(J152&lt;=EOMONTH(AI$4,0),L152&gt;=AI$4),1,""))</f>
        <v/>
      </c>
      <c r="AJ152" s="26">
        <f>IF(OR(J152="",L152=""),"",IF(AND(J152&lt;=EOMONTH(AJ$4,0),L152&gt;=AJ$4),1,""))</f>
        <v/>
      </c>
      <c r="AK152" s="26">
        <f>IF(OR(J152="",L152=""),"",IF(AND(J152&lt;=EOMONTH(AK$4,0),L152&gt;=AK$4),1,""))</f>
        <v/>
      </c>
      <c r="AL152" s="26">
        <f>IF(OR(J152="",L152=""),"",IF(AND(J152&lt;=EOMONTH(AL$4,0),L152&gt;=AL$4),1,""))</f>
        <v/>
      </c>
      <c r="AM152" s="26">
        <f>IF(OR(J152="",L152=""),"",IF(AND(J152&lt;=EOMONTH(AM$4,0),L152&gt;=AM$4),1,""))</f>
        <v/>
      </c>
      <c r="AN152" s="26">
        <f>IF(OR(J152="",L152=""),"",IF(AND(J152&lt;=EOMONTH(AN$4,0),L152&gt;=AN$4),1,""))</f>
        <v/>
      </c>
      <c r="AO152" s="26">
        <f>IF(OR(J152="",L152=""),"",IF(AND(J152&lt;=EOMONTH(AO$4,0),L152&gt;=AO$4),1,""))</f>
        <v/>
      </c>
      <c r="AP152" s="26">
        <f>IF(OR(J152="",L152=""),"",IF(AND(J152&lt;=EOMONTH(AP$4,0),L152&gt;=AP$4),1,""))</f>
        <v/>
      </c>
      <c r="AQ152" s="26">
        <f>IF(OR(J152="",L152=""),"",IF(AND(J152&lt;=EOMONTH(AQ$4,0),L152&gt;=AQ$4),1,""))</f>
        <v/>
      </c>
      <c r="AR152" s="26">
        <f>IF(OR(J152="",L152=""),"",IF(AND(J152&lt;=EOMONTH(AR$4,0),L152&gt;=AR$4),1,""))</f>
        <v/>
      </c>
      <c r="AS152" s="26">
        <f>IF(OR(J152="",L152=""),"",IF(AND(J152&lt;=EOMONTH(AS$4,0),L152&gt;=AS$4),1,""))</f>
        <v/>
      </c>
      <c r="AT152" s="26">
        <f>IF(OR(J152="",L152=""),"",IF(AND(J152&lt;=EOMONTH(AT$4,0),L152&gt;=AT$4),1,""))</f>
        <v/>
      </c>
      <c r="AU152" s="26">
        <f>IF(OR(J152="",L152=""),"",IF(AND(J152&lt;=EOMONTH(AU$4,0),L152&gt;=AU$4),1,""))</f>
        <v/>
      </c>
      <c r="AV152" s="26">
        <f>IF(OR(J152="",L152=""),"",IF(AND(J152&lt;=EOMONTH(AV$4,0),L152&gt;=AV$4),1,""))</f>
        <v/>
      </c>
      <c r="AW152" s="26">
        <f>IF(OR(J152="",L152=""),"",IF(AND(J152&lt;=EOMONTH(AW$4,0),L152&gt;=AW$4),1,""))</f>
        <v/>
      </c>
      <c r="AX152" s="26">
        <f>IF(OR(J152="",L152=""),"",IF(AND(J152&lt;=EOMONTH(AX$4,0),L152&gt;=AX$4),1,""))</f>
        <v/>
      </c>
      <c r="AY152" s="26">
        <f>IF(OR(J152="",L152=""),"",IF(AND(J152&lt;=EOMONTH(AY$4,0),L152&gt;=AY$4),1,""))</f>
        <v/>
      </c>
      <c r="AZ152" s="26">
        <f>IF(OR(J152="",L152=""),"",IF(AND(J152&lt;=EOMONTH(AZ$4,0),L152&gt;=AZ$4),1,""))</f>
        <v/>
      </c>
      <c r="BA152" s="26">
        <f>IF(OR(J152="",L152=""),"",IF(AND(J152&lt;=EOMONTH(BA$4,0),L152&gt;=BA$4),1,""))</f>
        <v/>
      </c>
      <c r="BB152" s="26">
        <f>IF(OR(J152="",L152=""),"",IF(AND(J152&lt;=EOMONTH(BB$4,0),L152&gt;=BB$4),1,""))</f>
        <v/>
      </c>
    </row>
    <row r="153">
      <c r="A153" s="27" t="n"/>
      <c r="B153" s="28" t="n"/>
      <c r="C153" s="29" t="n"/>
      <c r="D153" s="30">
        <f>IF(E153="","","CWA-"&amp;MID(E153,5,4))</f>
        <v/>
      </c>
      <c r="E153" s="29" t="n"/>
      <c r="F153" s="31" t="n"/>
      <c r="G153" s="29" t="n"/>
      <c r="H153" s="28" t="n"/>
      <c r="I153" s="29" t="n"/>
      <c r="J153" s="32" t="n"/>
      <c r="K153" s="28" t="n"/>
      <c r="L153" s="33">
        <f>IF(OR(J153="",K153=""),"",J153+7*K153-1)</f>
        <v/>
      </c>
      <c r="M153" s="33">
        <f>IF(J153="","",J153-7*$E$3)</f>
        <v/>
      </c>
      <c r="N153" s="33">
        <f>IF(J153="","",J153-7*$H$3)</f>
        <v/>
      </c>
      <c r="O153" s="33">
        <f>IF(J153="","",J153-1*$K$3)</f>
        <v/>
      </c>
      <c r="P153" s="30">
        <f>IF(OR(E153="",I153="",I153="—"),IF(E153="","","OK"),IFERROR(IF(INDEX($L$6:$L$155,MATCH(I153,$E$6:$E$155,0))&gt;=J153,"Conflicto con predecesor","OK"),"Predecesor no encontrado"))</f>
        <v/>
      </c>
      <c r="Q153" s="29" t="n"/>
      <c r="R153" s="31" t="n"/>
      <c r="S153" s="26">
        <f>IF(OR(J153="",L153=""),"",IF(AND(J153&lt;=EOMONTH(S$4,0),L153&gt;=S$4),1,""))</f>
        <v/>
      </c>
      <c r="T153" s="26">
        <f>IF(OR(J153="",L153=""),"",IF(AND(J153&lt;=EOMONTH(T$4,0),L153&gt;=T$4),1,""))</f>
        <v/>
      </c>
      <c r="U153" s="26">
        <f>IF(OR(J153="",L153=""),"",IF(AND(J153&lt;=EOMONTH(U$4,0),L153&gt;=U$4),1,""))</f>
        <v/>
      </c>
      <c r="V153" s="26">
        <f>IF(OR(J153="",L153=""),"",IF(AND(J153&lt;=EOMONTH(V$4,0),L153&gt;=V$4),1,""))</f>
        <v/>
      </c>
      <c r="W153" s="26">
        <f>IF(OR(J153="",L153=""),"",IF(AND(J153&lt;=EOMONTH(W$4,0),L153&gt;=W$4),1,""))</f>
        <v/>
      </c>
      <c r="X153" s="26">
        <f>IF(OR(J153="",L153=""),"",IF(AND(J153&lt;=EOMONTH(X$4,0),L153&gt;=X$4),1,""))</f>
        <v/>
      </c>
      <c r="Y153" s="26">
        <f>IF(OR(J153="",L153=""),"",IF(AND(J153&lt;=EOMONTH(Y$4,0),L153&gt;=Y$4),1,""))</f>
        <v/>
      </c>
      <c r="Z153" s="26">
        <f>IF(OR(J153="",L153=""),"",IF(AND(J153&lt;=EOMONTH(Z$4,0),L153&gt;=Z$4),1,""))</f>
        <v/>
      </c>
      <c r="AA153" s="26">
        <f>IF(OR(J153="",L153=""),"",IF(AND(J153&lt;=EOMONTH(AA$4,0),L153&gt;=AA$4),1,""))</f>
        <v/>
      </c>
      <c r="AB153" s="26">
        <f>IF(OR(J153="",L153=""),"",IF(AND(J153&lt;=EOMONTH(AB$4,0),L153&gt;=AB$4),1,""))</f>
        <v/>
      </c>
      <c r="AC153" s="26">
        <f>IF(OR(J153="",L153=""),"",IF(AND(J153&lt;=EOMONTH(AC$4,0),L153&gt;=AC$4),1,""))</f>
        <v/>
      </c>
      <c r="AD153" s="26">
        <f>IF(OR(J153="",L153=""),"",IF(AND(J153&lt;=EOMONTH(AD$4,0),L153&gt;=AD$4),1,""))</f>
        <v/>
      </c>
      <c r="AE153" s="26">
        <f>IF(OR(J153="",L153=""),"",IF(AND(J153&lt;=EOMONTH(AE$4,0),L153&gt;=AE$4),1,""))</f>
        <v/>
      </c>
      <c r="AF153" s="26">
        <f>IF(OR(J153="",L153=""),"",IF(AND(J153&lt;=EOMONTH(AF$4,0),L153&gt;=AF$4),1,""))</f>
        <v/>
      </c>
      <c r="AG153" s="26">
        <f>IF(OR(J153="",L153=""),"",IF(AND(J153&lt;=EOMONTH(AG$4,0),L153&gt;=AG$4),1,""))</f>
        <v/>
      </c>
      <c r="AH153" s="26">
        <f>IF(OR(J153="",L153=""),"",IF(AND(J153&lt;=EOMONTH(AH$4,0),L153&gt;=AH$4),1,""))</f>
        <v/>
      </c>
      <c r="AI153" s="26">
        <f>IF(OR(J153="",L153=""),"",IF(AND(J153&lt;=EOMONTH(AI$4,0),L153&gt;=AI$4),1,""))</f>
        <v/>
      </c>
      <c r="AJ153" s="26">
        <f>IF(OR(J153="",L153=""),"",IF(AND(J153&lt;=EOMONTH(AJ$4,0),L153&gt;=AJ$4),1,""))</f>
        <v/>
      </c>
      <c r="AK153" s="26">
        <f>IF(OR(J153="",L153=""),"",IF(AND(J153&lt;=EOMONTH(AK$4,0),L153&gt;=AK$4),1,""))</f>
        <v/>
      </c>
      <c r="AL153" s="26">
        <f>IF(OR(J153="",L153=""),"",IF(AND(J153&lt;=EOMONTH(AL$4,0),L153&gt;=AL$4),1,""))</f>
        <v/>
      </c>
      <c r="AM153" s="26">
        <f>IF(OR(J153="",L153=""),"",IF(AND(J153&lt;=EOMONTH(AM$4,0),L153&gt;=AM$4),1,""))</f>
        <v/>
      </c>
      <c r="AN153" s="26">
        <f>IF(OR(J153="",L153=""),"",IF(AND(J153&lt;=EOMONTH(AN$4,0),L153&gt;=AN$4),1,""))</f>
        <v/>
      </c>
      <c r="AO153" s="26">
        <f>IF(OR(J153="",L153=""),"",IF(AND(J153&lt;=EOMONTH(AO$4,0),L153&gt;=AO$4),1,""))</f>
        <v/>
      </c>
      <c r="AP153" s="26">
        <f>IF(OR(J153="",L153=""),"",IF(AND(J153&lt;=EOMONTH(AP$4,0),L153&gt;=AP$4),1,""))</f>
        <v/>
      </c>
      <c r="AQ153" s="26">
        <f>IF(OR(J153="",L153=""),"",IF(AND(J153&lt;=EOMONTH(AQ$4,0),L153&gt;=AQ$4),1,""))</f>
        <v/>
      </c>
      <c r="AR153" s="26">
        <f>IF(OR(J153="",L153=""),"",IF(AND(J153&lt;=EOMONTH(AR$4,0),L153&gt;=AR$4),1,""))</f>
        <v/>
      </c>
      <c r="AS153" s="26">
        <f>IF(OR(J153="",L153=""),"",IF(AND(J153&lt;=EOMONTH(AS$4,0),L153&gt;=AS$4),1,""))</f>
        <v/>
      </c>
      <c r="AT153" s="26">
        <f>IF(OR(J153="",L153=""),"",IF(AND(J153&lt;=EOMONTH(AT$4,0),L153&gt;=AT$4),1,""))</f>
        <v/>
      </c>
      <c r="AU153" s="26">
        <f>IF(OR(J153="",L153=""),"",IF(AND(J153&lt;=EOMONTH(AU$4,0),L153&gt;=AU$4),1,""))</f>
        <v/>
      </c>
      <c r="AV153" s="26">
        <f>IF(OR(J153="",L153=""),"",IF(AND(J153&lt;=EOMONTH(AV$4,0),L153&gt;=AV$4),1,""))</f>
        <v/>
      </c>
      <c r="AW153" s="26">
        <f>IF(OR(J153="",L153=""),"",IF(AND(J153&lt;=EOMONTH(AW$4,0),L153&gt;=AW$4),1,""))</f>
        <v/>
      </c>
      <c r="AX153" s="26">
        <f>IF(OR(J153="",L153=""),"",IF(AND(J153&lt;=EOMONTH(AX$4,0),L153&gt;=AX$4),1,""))</f>
        <v/>
      </c>
      <c r="AY153" s="26">
        <f>IF(OR(J153="",L153=""),"",IF(AND(J153&lt;=EOMONTH(AY$4,0),L153&gt;=AY$4),1,""))</f>
        <v/>
      </c>
      <c r="AZ153" s="26">
        <f>IF(OR(J153="",L153=""),"",IF(AND(J153&lt;=EOMONTH(AZ$4,0),L153&gt;=AZ$4),1,""))</f>
        <v/>
      </c>
      <c r="BA153" s="26">
        <f>IF(OR(J153="",L153=""),"",IF(AND(J153&lt;=EOMONTH(BA$4,0),L153&gt;=BA$4),1,""))</f>
        <v/>
      </c>
      <c r="BB153" s="26">
        <f>IF(OR(J153="",L153=""),"",IF(AND(J153&lt;=EOMONTH(BB$4,0),L153&gt;=BB$4),1,""))</f>
        <v/>
      </c>
    </row>
    <row r="154">
      <c r="A154" s="27" t="n"/>
      <c r="B154" s="28" t="n"/>
      <c r="C154" s="29" t="n"/>
      <c r="D154" s="30">
        <f>IF(E154="","","CWA-"&amp;MID(E154,5,4))</f>
        <v/>
      </c>
      <c r="E154" s="29" t="n"/>
      <c r="F154" s="31" t="n"/>
      <c r="G154" s="29" t="n"/>
      <c r="H154" s="28" t="n"/>
      <c r="I154" s="29" t="n"/>
      <c r="J154" s="32" t="n"/>
      <c r="K154" s="28" t="n"/>
      <c r="L154" s="33">
        <f>IF(OR(J154="",K154=""),"",J154+7*K154-1)</f>
        <v/>
      </c>
      <c r="M154" s="33">
        <f>IF(J154="","",J154-7*$E$3)</f>
        <v/>
      </c>
      <c r="N154" s="33">
        <f>IF(J154="","",J154-7*$H$3)</f>
        <v/>
      </c>
      <c r="O154" s="33">
        <f>IF(J154="","",J154-1*$K$3)</f>
        <v/>
      </c>
      <c r="P154" s="30">
        <f>IF(OR(E154="",I154="",I154="—"),IF(E154="","","OK"),IFERROR(IF(INDEX($L$6:$L$155,MATCH(I154,$E$6:$E$155,0))&gt;=J154,"Conflicto con predecesor","OK"),"Predecesor no encontrado"))</f>
        <v/>
      </c>
      <c r="Q154" s="29" t="n"/>
      <c r="R154" s="31" t="n"/>
      <c r="S154" s="26">
        <f>IF(OR(J154="",L154=""),"",IF(AND(J154&lt;=EOMONTH(S$4,0),L154&gt;=S$4),1,""))</f>
        <v/>
      </c>
      <c r="T154" s="26">
        <f>IF(OR(J154="",L154=""),"",IF(AND(J154&lt;=EOMONTH(T$4,0),L154&gt;=T$4),1,""))</f>
        <v/>
      </c>
      <c r="U154" s="26">
        <f>IF(OR(J154="",L154=""),"",IF(AND(J154&lt;=EOMONTH(U$4,0),L154&gt;=U$4),1,""))</f>
        <v/>
      </c>
      <c r="V154" s="26">
        <f>IF(OR(J154="",L154=""),"",IF(AND(J154&lt;=EOMONTH(V$4,0),L154&gt;=V$4),1,""))</f>
        <v/>
      </c>
      <c r="W154" s="26">
        <f>IF(OR(J154="",L154=""),"",IF(AND(J154&lt;=EOMONTH(W$4,0),L154&gt;=W$4),1,""))</f>
        <v/>
      </c>
      <c r="X154" s="26">
        <f>IF(OR(J154="",L154=""),"",IF(AND(J154&lt;=EOMONTH(X$4,0),L154&gt;=X$4),1,""))</f>
        <v/>
      </c>
      <c r="Y154" s="26">
        <f>IF(OR(J154="",L154=""),"",IF(AND(J154&lt;=EOMONTH(Y$4,0),L154&gt;=Y$4),1,""))</f>
        <v/>
      </c>
      <c r="Z154" s="26">
        <f>IF(OR(J154="",L154=""),"",IF(AND(J154&lt;=EOMONTH(Z$4,0),L154&gt;=Z$4),1,""))</f>
        <v/>
      </c>
      <c r="AA154" s="26">
        <f>IF(OR(J154="",L154=""),"",IF(AND(J154&lt;=EOMONTH(AA$4,0),L154&gt;=AA$4),1,""))</f>
        <v/>
      </c>
      <c r="AB154" s="26">
        <f>IF(OR(J154="",L154=""),"",IF(AND(J154&lt;=EOMONTH(AB$4,0),L154&gt;=AB$4),1,""))</f>
        <v/>
      </c>
      <c r="AC154" s="26">
        <f>IF(OR(J154="",L154=""),"",IF(AND(J154&lt;=EOMONTH(AC$4,0),L154&gt;=AC$4),1,""))</f>
        <v/>
      </c>
      <c r="AD154" s="26">
        <f>IF(OR(J154="",L154=""),"",IF(AND(J154&lt;=EOMONTH(AD$4,0),L154&gt;=AD$4),1,""))</f>
        <v/>
      </c>
      <c r="AE154" s="26">
        <f>IF(OR(J154="",L154=""),"",IF(AND(J154&lt;=EOMONTH(AE$4,0),L154&gt;=AE$4),1,""))</f>
        <v/>
      </c>
      <c r="AF154" s="26">
        <f>IF(OR(J154="",L154=""),"",IF(AND(J154&lt;=EOMONTH(AF$4,0),L154&gt;=AF$4),1,""))</f>
        <v/>
      </c>
      <c r="AG154" s="26">
        <f>IF(OR(J154="",L154=""),"",IF(AND(J154&lt;=EOMONTH(AG$4,0),L154&gt;=AG$4),1,""))</f>
        <v/>
      </c>
      <c r="AH154" s="26">
        <f>IF(OR(J154="",L154=""),"",IF(AND(J154&lt;=EOMONTH(AH$4,0),L154&gt;=AH$4),1,""))</f>
        <v/>
      </c>
      <c r="AI154" s="26">
        <f>IF(OR(J154="",L154=""),"",IF(AND(J154&lt;=EOMONTH(AI$4,0),L154&gt;=AI$4),1,""))</f>
        <v/>
      </c>
      <c r="AJ154" s="26">
        <f>IF(OR(J154="",L154=""),"",IF(AND(J154&lt;=EOMONTH(AJ$4,0),L154&gt;=AJ$4),1,""))</f>
        <v/>
      </c>
      <c r="AK154" s="26">
        <f>IF(OR(J154="",L154=""),"",IF(AND(J154&lt;=EOMONTH(AK$4,0),L154&gt;=AK$4),1,""))</f>
        <v/>
      </c>
      <c r="AL154" s="26">
        <f>IF(OR(J154="",L154=""),"",IF(AND(J154&lt;=EOMONTH(AL$4,0),L154&gt;=AL$4),1,""))</f>
        <v/>
      </c>
      <c r="AM154" s="26">
        <f>IF(OR(J154="",L154=""),"",IF(AND(J154&lt;=EOMONTH(AM$4,0),L154&gt;=AM$4),1,""))</f>
        <v/>
      </c>
      <c r="AN154" s="26">
        <f>IF(OR(J154="",L154=""),"",IF(AND(J154&lt;=EOMONTH(AN$4,0),L154&gt;=AN$4),1,""))</f>
        <v/>
      </c>
      <c r="AO154" s="26">
        <f>IF(OR(J154="",L154=""),"",IF(AND(J154&lt;=EOMONTH(AO$4,0),L154&gt;=AO$4),1,""))</f>
        <v/>
      </c>
      <c r="AP154" s="26">
        <f>IF(OR(J154="",L154=""),"",IF(AND(J154&lt;=EOMONTH(AP$4,0),L154&gt;=AP$4),1,""))</f>
        <v/>
      </c>
      <c r="AQ154" s="26">
        <f>IF(OR(J154="",L154=""),"",IF(AND(J154&lt;=EOMONTH(AQ$4,0),L154&gt;=AQ$4),1,""))</f>
        <v/>
      </c>
      <c r="AR154" s="26">
        <f>IF(OR(J154="",L154=""),"",IF(AND(J154&lt;=EOMONTH(AR$4,0),L154&gt;=AR$4),1,""))</f>
        <v/>
      </c>
      <c r="AS154" s="26">
        <f>IF(OR(J154="",L154=""),"",IF(AND(J154&lt;=EOMONTH(AS$4,0),L154&gt;=AS$4),1,""))</f>
        <v/>
      </c>
      <c r="AT154" s="26">
        <f>IF(OR(J154="",L154=""),"",IF(AND(J154&lt;=EOMONTH(AT$4,0),L154&gt;=AT$4),1,""))</f>
        <v/>
      </c>
      <c r="AU154" s="26">
        <f>IF(OR(J154="",L154=""),"",IF(AND(J154&lt;=EOMONTH(AU$4,0),L154&gt;=AU$4),1,""))</f>
        <v/>
      </c>
      <c r="AV154" s="26">
        <f>IF(OR(J154="",L154=""),"",IF(AND(J154&lt;=EOMONTH(AV$4,0),L154&gt;=AV$4),1,""))</f>
        <v/>
      </c>
      <c r="AW154" s="26">
        <f>IF(OR(J154="",L154=""),"",IF(AND(J154&lt;=EOMONTH(AW$4,0),L154&gt;=AW$4),1,""))</f>
        <v/>
      </c>
      <c r="AX154" s="26">
        <f>IF(OR(J154="",L154=""),"",IF(AND(J154&lt;=EOMONTH(AX$4,0),L154&gt;=AX$4),1,""))</f>
        <v/>
      </c>
      <c r="AY154" s="26">
        <f>IF(OR(J154="",L154=""),"",IF(AND(J154&lt;=EOMONTH(AY$4,0),L154&gt;=AY$4),1,""))</f>
        <v/>
      </c>
      <c r="AZ154" s="26">
        <f>IF(OR(J154="",L154=""),"",IF(AND(J154&lt;=EOMONTH(AZ$4,0),L154&gt;=AZ$4),1,""))</f>
        <v/>
      </c>
      <c r="BA154" s="26">
        <f>IF(OR(J154="",L154=""),"",IF(AND(J154&lt;=EOMONTH(BA$4,0),L154&gt;=BA$4),1,""))</f>
        <v/>
      </c>
      <c r="BB154" s="26">
        <f>IF(OR(J154="",L154=""),"",IF(AND(J154&lt;=EOMONTH(BB$4,0),L154&gt;=BB$4),1,""))</f>
        <v/>
      </c>
    </row>
    <row r="155">
      <c r="A155" s="27" t="n"/>
      <c r="B155" s="28" t="n"/>
      <c r="C155" s="29" t="n"/>
      <c r="D155" s="30">
        <f>IF(E155="","","CWA-"&amp;MID(E155,5,4))</f>
        <v/>
      </c>
      <c r="E155" s="29" t="n"/>
      <c r="F155" s="31" t="n"/>
      <c r="G155" s="29" t="n"/>
      <c r="H155" s="28" t="n"/>
      <c r="I155" s="29" t="n"/>
      <c r="J155" s="32" t="n"/>
      <c r="K155" s="28" t="n"/>
      <c r="L155" s="33">
        <f>IF(OR(J155="",K155=""),"",J155+7*K155-1)</f>
        <v/>
      </c>
      <c r="M155" s="33">
        <f>IF(J155="","",J155-7*$E$3)</f>
        <v/>
      </c>
      <c r="N155" s="33">
        <f>IF(J155="","",J155-7*$H$3)</f>
        <v/>
      </c>
      <c r="O155" s="33">
        <f>IF(J155="","",J155-1*$K$3)</f>
        <v/>
      </c>
      <c r="P155" s="30">
        <f>IF(OR(E155="",I155="",I155="—"),IF(E155="","","OK"),IFERROR(IF(INDEX($L$6:$L$155,MATCH(I155,$E$6:$E$155,0))&gt;=J155,"Conflicto con predecesor","OK"),"Predecesor no encontrado"))</f>
        <v/>
      </c>
      <c r="Q155" s="29" t="n"/>
      <c r="R155" s="31" t="n"/>
      <c r="S155" s="26">
        <f>IF(OR(J155="",L155=""),"",IF(AND(J155&lt;=EOMONTH(S$4,0),L155&gt;=S$4),1,""))</f>
        <v/>
      </c>
      <c r="T155" s="26">
        <f>IF(OR(J155="",L155=""),"",IF(AND(J155&lt;=EOMONTH(T$4,0),L155&gt;=T$4),1,""))</f>
        <v/>
      </c>
      <c r="U155" s="26">
        <f>IF(OR(J155="",L155=""),"",IF(AND(J155&lt;=EOMONTH(U$4,0),L155&gt;=U$4),1,""))</f>
        <v/>
      </c>
      <c r="V155" s="26">
        <f>IF(OR(J155="",L155=""),"",IF(AND(J155&lt;=EOMONTH(V$4,0),L155&gt;=V$4),1,""))</f>
        <v/>
      </c>
      <c r="W155" s="26">
        <f>IF(OR(J155="",L155=""),"",IF(AND(J155&lt;=EOMONTH(W$4,0),L155&gt;=W$4),1,""))</f>
        <v/>
      </c>
      <c r="X155" s="26">
        <f>IF(OR(J155="",L155=""),"",IF(AND(J155&lt;=EOMONTH(X$4,0),L155&gt;=X$4),1,""))</f>
        <v/>
      </c>
      <c r="Y155" s="26">
        <f>IF(OR(J155="",L155=""),"",IF(AND(J155&lt;=EOMONTH(Y$4,0),L155&gt;=Y$4),1,""))</f>
        <v/>
      </c>
      <c r="Z155" s="26">
        <f>IF(OR(J155="",L155=""),"",IF(AND(J155&lt;=EOMONTH(Z$4,0),L155&gt;=Z$4),1,""))</f>
        <v/>
      </c>
      <c r="AA155" s="26">
        <f>IF(OR(J155="",L155=""),"",IF(AND(J155&lt;=EOMONTH(AA$4,0),L155&gt;=AA$4),1,""))</f>
        <v/>
      </c>
      <c r="AB155" s="26">
        <f>IF(OR(J155="",L155=""),"",IF(AND(J155&lt;=EOMONTH(AB$4,0),L155&gt;=AB$4),1,""))</f>
        <v/>
      </c>
      <c r="AC155" s="26">
        <f>IF(OR(J155="",L155=""),"",IF(AND(J155&lt;=EOMONTH(AC$4,0),L155&gt;=AC$4),1,""))</f>
        <v/>
      </c>
      <c r="AD155" s="26">
        <f>IF(OR(J155="",L155=""),"",IF(AND(J155&lt;=EOMONTH(AD$4,0),L155&gt;=AD$4),1,""))</f>
        <v/>
      </c>
      <c r="AE155" s="26">
        <f>IF(OR(J155="",L155=""),"",IF(AND(J155&lt;=EOMONTH(AE$4,0),L155&gt;=AE$4),1,""))</f>
        <v/>
      </c>
      <c r="AF155" s="26">
        <f>IF(OR(J155="",L155=""),"",IF(AND(J155&lt;=EOMONTH(AF$4,0),L155&gt;=AF$4),1,""))</f>
        <v/>
      </c>
      <c r="AG155" s="26">
        <f>IF(OR(J155="",L155=""),"",IF(AND(J155&lt;=EOMONTH(AG$4,0),L155&gt;=AG$4),1,""))</f>
        <v/>
      </c>
      <c r="AH155" s="26">
        <f>IF(OR(J155="",L155=""),"",IF(AND(J155&lt;=EOMONTH(AH$4,0),L155&gt;=AH$4),1,""))</f>
        <v/>
      </c>
      <c r="AI155" s="26">
        <f>IF(OR(J155="",L155=""),"",IF(AND(J155&lt;=EOMONTH(AI$4,0),L155&gt;=AI$4),1,""))</f>
        <v/>
      </c>
      <c r="AJ155" s="26">
        <f>IF(OR(J155="",L155=""),"",IF(AND(J155&lt;=EOMONTH(AJ$4,0),L155&gt;=AJ$4),1,""))</f>
        <v/>
      </c>
      <c r="AK155" s="26">
        <f>IF(OR(J155="",L155=""),"",IF(AND(J155&lt;=EOMONTH(AK$4,0),L155&gt;=AK$4),1,""))</f>
        <v/>
      </c>
      <c r="AL155" s="26">
        <f>IF(OR(J155="",L155=""),"",IF(AND(J155&lt;=EOMONTH(AL$4,0),L155&gt;=AL$4),1,""))</f>
        <v/>
      </c>
      <c r="AM155" s="26">
        <f>IF(OR(J155="",L155=""),"",IF(AND(J155&lt;=EOMONTH(AM$4,0),L155&gt;=AM$4),1,""))</f>
        <v/>
      </c>
      <c r="AN155" s="26">
        <f>IF(OR(J155="",L155=""),"",IF(AND(J155&lt;=EOMONTH(AN$4,0),L155&gt;=AN$4),1,""))</f>
        <v/>
      </c>
      <c r="AO155" s="26">
        <f>IF(OR(J155="",L155=""),"",IF(AND(J155&lt;=EOMONTH(AO$4,0),L155&gt;=AO$4),1,""))</f>
        <v/>
      </c>
      <c r="AP155" s="26">
        <f>IF(OR(J155="",L155=""),"",IF(AND(J155&lt;=EOMONTH(AP$4,0),L155&gt;=AP$4),1,""))</f>
        <v/>
      </c>
      <c r="AQ155" s="26">
        <f>IF(OR(J155="",L155=""),"",IF(AND(J155&lt;=EOMONTH(AQ$4,0),L155&gt;=AQ$4),1,""))</f>
        <v/>
      </c>
      <c r="AR155" s="26">
        <f>IF(OR(J155="",L155=""),"",IF(AND(J155&lt;=EOMONTH(AR$4,0),L155&gt;=AR$4),1,""))</f>
        <v/>
      </c>
      <c r="AS155" s="26">
        <f>IF(OR(J155="",L155=""),"",IF(AND(J155&lt;=EOMONTH(AS$4,0),L155&gt;=AS$4),1,""))</f>
        <v/>
      </c>
      <c r="AT155" s="26">
        <f>IF(OR(J155="",L155=""),"",IF(AND(J155&lt;=EOMONTH(AT$4,0),L155&gt;=AT$4),1,""))</f>
        <v/>
      </c>
      <c r="AU155" s="26">
        <f>IF(OR(J155="",L155=""),"",IF(AND(J155&lt;=EOMONTH(AU$4,0),L155&gt;=AU$4),1,""))</f>
        <v/>
      </c>
      <c r="AV155" s="26">
        <f>IF(OR(J155="",L155=""),"",IF(AND(J155&lt;=EOMONTH(AV$4,0),L155&gt;=AV$4),1,""))</f>
        <v/>
      </c>
      <c r="AW155" s="26">
        <f>IF(OR(J155="",L155=""),"",IF(AND(J155&lt;=EOMONTH(AW$4,0),L155&gt;=AW$4),1,""))</f>
        <v/>
      </c>
      <c r="AX155" s="26">
        <f>IF(OR(J155="",L155=""),"",IF(AND(J155&lt;=EOMONTH(AX$4,0),L155&gt;=AX$4),1,""))</f>
        <v/>
      </c>
      <c r="AY155" s="26">
        <f>IF(OR(J155="",L155=""),"",IF(AND(J155&lt;=EOMONTH(AY$4,0),L155&gt;=AY$4),1,""))</f>
        <v/>
      </c>
      <c r="AZ155" s="26">
        <f>IF(OR(J155="",L155=""),"",IF(AND(J155&lt;=EOMONTH(AZ$4,0),L155&gt;=AZ$4),1,""))</f>
        <v/>
      </c>
      <c r="BA155" s="26">
        <f>IF(OR(J155="",L155=""),"",IF(AND(J155&lt;=EOMONTH(BA$4,0),L155&gt;=BA$4),1,""))</f>
        <v/>
      </c>
      <c r="BB155" s="26">
        <f>IF(OR(J155="",L155=""),"",IF(AND(J155&lt;=EOMONTH(BB$4,0),L155&gt;=BB$4),1,""))</f>
        <v/>
      </c>
    </row>
  </sheetData>
  <autoFilter ref="A5:R155"/>
  <conditionalFormatting sqref="S6:BB155">
    <cfRule type="expression" priority="1" dxfId="0" stopIfTrue="1">
      <formula>S6=1</formula>
    </cfRule>
  </conditionalFormatting>
  <conditionalFormatting sqref="P6:P155">
    <cfRule type="expression" priority="2" dxfId="1" stopIfTrue="1">
      <formula>AND($P6&lt;&gt;"",$P6&lt;&gt;"OK")</formula>
    </cfRule>
    <cfRule type="expression" priority="3" dxfId="2" stopIfTrue="1">
      <formula>$P6="OK"</formula>
    </cfRule>
  </conditionalFormatting>
  <dataValidations count="2">
    <dataValidation sqref="C6:C155" showDropDown="0" showInputMessage="0" showErrorMessage="1" allowBlank="1" errorTitle="Valor no válido" error="Seleccione un valor de la lista." prompt="Seleccione fase del proyecto" type="list">
      <formula1>=Fases</formula1>
    </dataValidation>
    <dataValidation sqref="G6:G155" showDropDown="0" showInputMessage="0" showErrorMessage="1" allowBlank="1" errorTitle="Valor no válido" error="Seleccione un valor de la lista." prompt="Seleccione disciplina" type="list">
      <formula1>=Disciplinas</formula1>
    </dataValidation>
  </dataValidations>
  <printOptions horizontalCentered="1"/>
  <pageMargins left="0.4" right="0.4" top="0.6" bottom="0.6" header="0.5" footer="0.5"/>
  <pageSetup orientation="landscape" paperSize="9" fitToHeight="0" fitToWidth="1"/>
  <headerFooter>
    <oddHeader>&amp;L&amp;8 Kit de implementación AWP&amp;R&amp;8 Path of Construction (secuencia de CWP)</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tabColor rgb="007F7F7F"/>
    <outlinePr summaryBelow="1" summaryRight="1"/>
    <pageSetUpPr/>
  </sheetPr>
  <dimension ref="A1:C10"/>
  <sheetViews>
    <sheetView tabSelected="0"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c r="A1" s="34" t="inlineStr">
        <is>
          <t>Valores de las listas desplegables. Puede ampliarlas agregando valores al final de cada columna y ajustando el rango con nombre (Fórmulas &gt; Administrador de nombres).</t>
        </is>
      </c>
    </row>
    <row r="2">
      <c r="A2" s="35" t="inlineStr">
        <is>
          <t>Fases</t>
        </is>
      </c>
      <c r="B2" s="35" t="inlineStr">
        <is>
          <t>Disciplinas</t>
        </is>
      </c>
      <c r="C2" s="35" t="inlineStr">
        <is>
          <t>SiNo</t>
        </is>
      </c>
    </row>
    <row r="3">
      <c r="A3" s="36" t="inlineStr">
        <is>
          <t>Fase 1</t>
        </is>
      </c>
      <c r="B3" s="36" t="inlineStr">
        <is>
          <t>CIV</t>
        </is>
      </c>
      <c r="C3" s="36" t="inlineStr">
        <is>
          <t>Sí</t>
        </is>
      </c>
    </row>
    <row r="4">
      <c r="A4" s="36" t="inlineStr">
        <is>
          <t>Fase 2</t>
        </is>
      </c>
      <c r="B4" s="36" t="inlineStr">
        <is>
          <t>EST</t>
        </is>
      </c>
      <c r="C4" s="36" t="inlineStr">
        <is>
          <t>No</t>
        </is>
      </c>
    </row>
    <row r="5">
      <c r="A5" s="36" t="inlineStr">
        <is>
          <t>Fase 3</t>
        </is>
      </c>
      <c r="B5" s="36" t="inlineStr">
        <is>
          <t>ARQ</t>
        </is>
      </c>
    </row>
    <row r="6">
      <c r="B6" s="36" t="inlineStr">
        <is>
          <t>MEC</t>
        </is>
      </c>
    </row>
    <row r="7">
      <c r="B7" s="36" t="inlineStr">
        <is>
          <t>TUB</t>
        </is>
      </c>
    </row>
    <row r="8">
      <c r="B8" s="36" t="inlineStr">
        <is>
          <t>ELE</t>
        </is>
      </c>
    </row>
    <row r="9">
      <c r="B9" s="36" t="inlineStr">
        <is>
          <t>INS</t>
        </is>
      </c>
    </row>
    <row r="10">
      <c r="B10" s="36" t="inlineStr">
        <is>
          <t>VAR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Path of Construction</dc:title>
  <dc:subject xmlns:dc="http://purl.org/dc/elements/1.1/">Proyecto Tipo (PT) – Complejo de instalaciones en tres fases</dc:subject>
  <dcterms:created xmlns:dcterms="http://purl.org/dc/terms/" xmlns:xsi="http://www.w3.org/2001/XMLSchema-instance" xsi:type="dcterms:W3CDTF">2026-09-25T03:31:52Z</dcterms:created>
  <dcterms:modified xmlns:dcterms="http://purl.org/dc/terms/" xmlns:xsi="http://www.w3.org/2001/XMLSchema-instance" xsi:type="dcterms:W3CDTF">2026-09-25T03:31:53Z</dcterms:modified>
</cp:coreProperties>
</file>