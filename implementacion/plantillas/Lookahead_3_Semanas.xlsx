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ookahead" sheetId="2" state="visible" r:id="rId2"/>
    <sheet xmlns:r="http://schemas.openxmlformats.org/officeDocument/2006/relationships" name="Causas de no cumplimiento" sheetId="3" state="visible" r:id="rId3"/>
    <sheet xmlns:r="http://schemas.openxmlformats.org/officeDocument/2006/relationships" name="Listas" sheetId="4" state="visible" r:id="rId4"/>
  </sheets>
  <definedNames>
    <definedName name="Fases">Listas!$A$3:$A$5</definedName>
    <definedName name="SiNo">Listas!$B$3:$B$4</definedName>
    <definedName name="Causas">Listas!$C$3:$C$18</definedName>
    <definedName name="_xlnm.Print_Area" localSheetId="0">'Instrucciones'!$A$1:$C$29</definedName>
    <definedName name="_xlnm._FilterDatabase" localSheetId="1" hidden="1">'Lookahead'!$A$5:$AF$125</definedName>
    <definedName name="_xlnm.Print_Titles" localSheetId="1">'Lookahead'!$5:$5</definedName>
    <definedName name="_xlnm.Print_Area" localSheetId="1">'Lookahead'!$A$1:$AF$55</definedName>
    <definedName name="_xlnm.Print_Area" localSheetId="2">'Causas de no cumplimiento'!$A$1:$E$22</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dd/mm"/>
  </numFmts>
  <fonts count="14">
    <font>
      <name val="Calibri"/>
      <family val="2"/>
      <color theme="1"/>
      <sz val="11"/>
      <scheme val="minor"/>
    </font>
    <font>
      <name val="Calibri"/>
      <b val="1"/>
      <color rgb="001F3864"/>
      <sz val="15"/>
    </font>
    <font>
      <name val="Calibri"/>
      <i val="1"/>
      <color rgb="00595959"/>
      <sz val="10"/>
    </font>
    <font>
      <name val="Calibri"/>
      <b val="1"/>
      <sz val="10"/>
    </font>
    <font>
      <name val="Calibri"/>
      <b val="1"/>
      <color rgb="00FFFFFF"/>
      <sz val="10"/>
    </font>
    <font>
      <name val="Calibri"/>
      <color rgb="00000000"/>
      <sz val="10"/>
    </font>
    <font>
      <name val="Calibri"/>
      <color rgb="00404040"/>
      <sz val="10"/>
    </font>
    <font>
      <name val="Calibri"/>
      <color rgb="00595959"/>
      <sz val="7"/>
    </font>
    <font>
      <name val="Calibri"/>
      <b val="1"/>
      <color rgb="001F3864"/>
      <sz val="12"/>
    </font>
    <font>
      <name val="Calibri"/>
      <sz val="10"/>
    </font>
    <font>
      <name val="Calibri"/>
      <b val="1"/>
      <color rgb="001F3864"/>
      <sz val="16"/>
    </font>
    <font>
      <name val="Calibri"/>
      <b val="1"/>
      <color rgb="001F3864"/>
      <sz val="11"/>
    </font>
    <font>
      <name val="Calibri"/>
      <b val="1"/>
      <color rgb="00FFFFFF"/>
    </font>
    <font>
      <name val="Calibri"/>
      <i val="1"/>
      <sz val="9"/>
    </font>
  </fonts>
  <fills count="7">
    <fill>
      <patternFill/>
    </fill>
    <fill>
      <patternFill patternType="gray125"/>
    </fill>
    <fill>
      <patternFill patternType="solid">
        <fgColor rgb="00DCE6F2"/>
        <bgColor rgb="00DCE6F2"/>
      </patternFill>
    </fill>
    <fill>
      <patternFill patternType="solid">
        <fgColor rgb="001F3864"/>
        <bgColor rgb="001F3864"/>
      </patternFill>
    </fill>
    <fill>
      <patternFill patternType="solid">
        <fgColor rgb="002F5597"/>
        <bgColor rgb="002F5597"/>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0" fillId="0" borderId="0" pivotButton="0" quotePrefix="0" xfId="0"/>
    <xf numFmtId="0" fontId="2" fillId="0" borderId="0" pivotButton="0" quotePrefix="0" xfId="0"/>
    <xf numFmtId="0" fontId="11" fillId="0" borderId="0" applyAlignment="1" pivotButton="0" quotePrefix="0" xfId="0">
      <alignment vertical="top"/>
    </xf>
    <xf numFmtId="0" fontId="9" fillId="0" borderId="0" applyAlignment="1" pivotButton="0" quotePrefix="0" xfId="0">
      <alignment vertical="top" wrapText="1"/>
    </xf>
    <xf numFmtId="0" fontId="8" fillId="0" borderId="0" pivotButton="0" quotePrefix="0" xfId="0"/>
    <xf numFmtId="0" fontId="12" fillId="3" borderId="1" pivotButton="0" quotePrefix="0" xfId="0"/>
    <xf numFmtId="0" fontId="3" fillId="0" borderId="1" applyAlignment="1" pivotButton="0" quotePrefix="0" xfId="0">
      <alignment vertical="top" wrapText="1"/>
    </xf>
    <xf numFmtId="0" fontId="9" fillId="0" borderId="1" applyAlignment="1" pivotButton="0" quotePrefix="0" xfId="0">
      <alignment vertical="top" wrapText="1"/>
    </xf>
    <xf numFmtId="0" fontId="3" fillId="6" borderId="1" applyAlignment="1" pivotButton="0" quotePrefix="0" xfId="0">
      <alignment vertical="top" wrapText="1"/>
    </xf>
    <xf numFmtId="0" fontId="9" fillId="6" borderId="1" applyAlignment="1" pivotButton="0" quotePrefix="0" xfId="0">
      <alignment vertical="top" wrapText="1"/>
    </xf>
    <xf numFmtId="0" fontId="1" fillId="0" borderId="0" pivotButton="0" quotePrefix="0" xfId="0"/>
    <xf numFmtId="0" fontId="3" fillId="0" borderId="0" applyAlignment="1" pivotButton="0" quotePrefix="0" xfId="0">
      <alignment horizontal="right"/>
    </xf>
    <xf numFmtId="165" fontId="3" fillId="2" borderId="1" pivotButton="0" quotePrefix="0" xfId="0"/>
    <xf numFmtId="9" fontId="3" fillId="2" borderId="1" pivotButton="0" quotePrefix="0" xfId="0"/>
    <xf numFmtId="166" fontId="7" fillId="0" borderId="0" applyAlignment="1" pivotButton="0" quotePrefix="0" xfId="0">
      <alignment horizontal="center" textRotation="90"/>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3" borderId="1" applyAlignment="1" pivotButton="0" quotePrefix="0" xfId="0">
      <alignment horizontal="center" vertical="center" textRotation="90"/>
    </xf>
    <xf numFmtId="0" fontId="5" fillId="5" borderId="1" applyAlignment="1" pivotButton="0" quotePrefix="0" xfId="0">
      <alignment horizontal="center" vertical="top"/>
    </xf>
    <xf numFmtId="0" fontId="5" fillId="5" borderId="1" applyAlignment="1" pivotButton="0" quotePrefix="0" xfId="0">
      <alignment vertical="top"/>
    </xf>
    <xf numFmtId="0" fontId="6" fillId="5" borderId="1" applyAlignment="1" pivotButton="0" quotePrefix="0" xfId="0">
      <alignment vertical="top"/>
    </xf>
    <xf numFmtId="0" fontId="5" fillId="5" borderId="1" applyAlignment="1" pivotButton="0" quotePrefix="0" xfId="0">
      <alignment vertical="top" wrapText="1"/>
    </xf>
    <xf numFmtId="3" fontId="5" fillId="5" borderId="1" applyAlignment="1" pivotButton="0" quotePrefix="0" xfId="0">
      <alignment vertical="top"/>
    </xf>
    <xf numFmtId="0" fontId="5" fillId="5" borderId="1" applyAlignment="1" pivotButton="0" quotePrefix="0" xfId="0">
      <alignment horizontal="center"/>
    </xf>
    <xf numFmtId="0" fontId="5" fillId="0" borderId="1" applyAlignment="1" pivotButton="0" quotePrefix="0" xfId="0">
      <alignment horizontal="center" vertical="top"/>
    </xf>
    <xf numFmtId="0" fontId="5" fillId="0" borderId="1" applyAlignment="1" pivotButton="0" quotePrefix="0" xfId="0">
      <alignment vertical="top"/>
    </xf>
    <xf numFmtId="0" fontId="6" fillId="6" borderId="1" applyAlignment="1" pivotButton="0" quotePrefix="0" xfId="0">
      <alignment vertical="top"/>
    </xf>
    <xf numFmtId="0" fontId="5" fillId="0" borderId="1" applyAlignment="1" pivotButton="0" quotePrefix="0" xfId="0">
      <alignment vertical="top" wrapText="1"/>
    </xf>
    <xf numFmtId="3" fontId="5" fillId="0" borderId="1" applyAlignment="1" pivotButton="0" quotePrefix="0" xfId="0">
      <alignment vertical="top"/>
    </xf>
    <xf numFmtId="0" fontId="5" fillId="0" borderId="1" applyAlignment="1" pivotButton="0" quotePrefix="0" xfId="0">
      <alignment horizontal="center"/>
    </xf>
    <xf numFmtId="0" fontId="3" fillId="2" borderId="1" pivotButton="0" quotePrefix="0" xfId="0"/>
    <xf numFmtId="1" fontId="9" fillId="0" borderId="1" applyAlignment="1" pivotButton="0" quotePrefix="0" xfId="0">
      <alignment horizontal="center"/>
    </xf>
    <xf numFmtId="0" fontId="13" fillId="0" borderId="0" pivotButton="0" quotePrefix="0" xfId="0"/>
    <xf numFmtId="0" fontId="12" fillId="3" borderId="0" pivotButton="0" quotePrefix="0" xfId="0"/>
    <xf numFmtId="0" fontId="9" fillId="0" borderId="0" pivotButton="0" quotePrefix="0" xfId="0"/>
  </cellXfs>
  <cellStyles count="1">
    <cellStyle name="Normal" xfId="0" builtinId="0" hidden="0"/>
  </cellStyles>
  <dxfs count="5">
    <dxf>
      <font>
        <b val="1"/>
        <color rgb="00FFFFFF"/>
      </font>
      <fill>
        <patternFill patternType="solid">
          <fgColor rgb="00C00000"/>
          <bgColor rgb="00C00000"/>
        </patternFill>
      </fill>
    </dxf>
    <dxf>
      <font>
        <b val="1"/>
        <color rgb="00FFFFFF"/>
      </font>
      <fill>
        <patternFill patternType="solid">
          <fgColor rgb="002F5597"/>
          <bgColor rgb="002F5597"/>
        </patternFill>
      </fill>
    </dxf>
    <dxf>
      <font>
        <color rgb="009C0006"/>
      </font>
      <fill>
        <patternFill patternType="solid">
          <fgColor rgb="00F8CBAD"/>
          <bgColor rgb="00F8CBAD"/>
        </patternFill>
      </fill>
    </dxf>
    <dxf>
      <font>
        <color rgb="00006100"/>
      </font>
      <fill>
        <patternFill patternType="solid">
          <fgColor rgb="00C6EFCE"/>
          <bgColor rgb="00C6EFCE"/>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27"/>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Lookahead de 3 semanas</t>
        </is>
      </c>
    </row>
    <row r="2">
      <c r="A2" s="2" t="inlineStr">
        <is>
          <t>Kit de implementación AWP · Proyecto Tipo (PT) – Complejo de instalaciones en tres fases</t>
        </is>
      </c>
    </row>
    <row r="4" ht="28" customHeight="1">
      <c r="A4" s="3" t="inlineStr">
        <is>
          <t>Propósito</t>
        </is>
      </c>
      <c r="B4" s="4" t="inlineStr">
        <is>
          <t>Planificar las próximas 3 semanas de trabajo con IWP tomados del backlog, confirmar recursos críticos y medir el cumplimiento del plan semanal (PPC) con sus causas de no cumplimiento.</t>
        </is>
      </c>
    </row>
    <row r="5" ht="28" customHeight="1">
      <c r="A5" s="3" t="inlineStr">
        <is>
          <t>Por qué se incluye</t>
        </is>
      </c>
      <c r="B5" s="4" t="inlineStr">
        <is>
          <t>El procedimiento 3.0 y la comparación AWP–Lean Construction establecen el three-week look-ahead y el PPC como el nexo entre el backlog de IWP y la ejecución semanal.</t>
        </is>
      </c>
    </row>
    <row r="6" ht="28" customHeight="1">
      <c r="A6" s="3" t="inlineStr">
        <is>
          <t>Cuándo se usa</t>
        </is>
      </c>
      <c r="B6" s="4" t="inlineStr">
        <is>
          <t>Cada semana, en la reunión de lookahead (jueves). Durante la superposición de fases, se usa un solo lookahead conjunto.</t>
        </is>
      </c>
    </row>
    <row r="7" ht="28" customHeight="1">
      <c r="A7" s="3" t="inlineStr">
        <is>
          <t>Quién la llena</t>
        </is>
      </c>
      <c r="B7" s="4" t="inlineStr">
        <is>
          <t>Los superintendentes seleccionan los IWP; el Líder de WFP y los planificadores preparan la hoja; el Gerente de Construcción la aprueba.</t>
        </is>
      </c>
    </row>
    <row r="8" ht="154" customHeight="1">
      <c r="A8" s="3" t="inlineStr">
        <is>
          <t>Cómo llenarla</t>
        </is>
      </c>
      <c r="B8" s="4" t="inlineStr">
        <is>
          <t>1. Escriba el lunes de la semana 1 (B3); las fechas de los días se actualizan solas.
2. Borre las filas amarillas de ejemplo.
3. Registre los IWP seleccionados del backlog con sus restricciones abiertas y recursos críticos.
4. Marque con «X» los días de ejecución de cada IWP en las 3 semanas.
5. Un día marcado en rojo indica un IWP programado con restricciones abiertas: resuélvalo o sáquelo del plan.
6. Al cerrar la semana 1, indique si cada IWP planificado se completó y, si no, la causa. El PPC se calcula en E3.
7. Revise la hoja «Causas de no cumplimiento» y lleve las causas repetidas al registro de lecciones aprendidas.</t>
        </is>
      </c>
    </row>
    <row r="9" ht="42" customHeight="1">
      <c r="A9" s="3" t="inlineStr">
        <is>
          <t>Colores</t>
        </is>
      </c>
      <c r="B9"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10" ht="42" customHeight="1">
      <c r="A10" s="3" t="inlineStr">
        <is>
          <t>Impresión</t>
        </is>
      </c>
      <c r="B10"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2">
      <c r="A12" s="5" t="inlineStr">
        <is>
          <t>Columnas de la hoja «Lookahead»</t>
        </is>
      </c>
    </row>
    <row r="13">
      <c r="A13" s="6" t="inlineStr">
        <is>
          <t>Columna</t>
        </is>
      </c>
      <c r="B13" s="6" t="inlineStr">
        <is>
          <t>Significado</t>
        </is>
      </c>
      <c r="C13" s="6" t="inlineStr">
        <is>
          <t>Tipo de dato</t>
        </is>
      </c>
    </row>
    <row r="14" ht="15" customHeight="1">
      <c r="A14" s="7" t="inlineStr">
        <is>
          <t>Ejemplo</t>
        </is>
      </c>
      <c r="B14" s="8" t="inlineStr">
        <is>
          <t>Contiene «EJEMPLO» en las filas de ejemplo. Déjela vacía en las filas reales.</t>
        </is>
      </c>
      <c r="C14" s="8" t="inlineStr">
        <is>
          <t>Manual</t>
        </is>
      </c>
    </row>
    <row r="15" ht="15" customHeight="1">
      <c r="A15" s="7" t="inlineStr">
        <is>
          <t>Fase del proyecto</t>
        </is>
      </c>
      <c r="B15" s="8" t="inlineStr">
        <is>
          <t>Fase del proyecto.</t>
        </is>
      </c>
      <c r="C15" s="8" t="inlineStr">
        <is>
          <t>Lista</t>
        </is>
      </c>
    </row>
    <row r="16" ht="15" customHeight="1">
      <c r="A16" s="9" t="inlineStr">
        <is>
          <t>CWP</t>
        </is>
      </c>
      <c r="B16" s="10" t="inlineStr">
        <is>
          <t>Calculado a partir del código del IWP.</t>
        </is>
      </c>
      <c r="C16" s="10" t="inlineStr">
        <is>
          <t>Calculado</t>
        </is>
      </c>
    </row>
    <row r="17" ht="15" customHeight="1">
      <c r="A17" s="7" t="inlineStr">
        <is>
          <t>IWP</t>
        </is>
      </c>
      <c r="B17" s="8" t="inlineStr">
        <is>
          <t>Código del IWP seleccionado del backlog.</t>
        </is>
      </c>
      <c r="C17" s="8" t="inlineStr">
        <is>
          <t>Manual</t>
        </is>
      </c>
    </row>
    <row r="18" ht="15" customHeight="1">
      <c r="A18" s="7" t="inlineStr">
        <is>
          <t>Superintendente / capataz</t>
        </is>
      </c>
      <c r="B18" s="8" t="inlineStr">
        <is>
          <t>Responsables de la ejecución.</t>
        </is>
      </c>
      <c r="C18" s="8" t="inlineStr">
        <is>
          <t>Manual</t>
        </is>
      </c>
    </row>
    <row r="19" ht="15" customHeight="1">
      <c r="A19" s="7" t="inlineStr">
        <is>
          <t>Personas en cuadrilla</t>
        </is>
      </c>
      <c r="B19" s="8" t="inlineStr">
        <is>
          <t>Tamaño de la cuadrilla.</t>
        </is>
      </c>
      <c r="C19" s="8" t="inlineStr">
        <is>
          <t>Manual</t>
        </is>
      </c>
    </row>
    <row r="20" ht="15" customHeight="1">
      <c r="A20" s="7" t="inlineStr">
        <is>
          <t>HH</t>
        </is>
      </c>
      <c r="B20" s="8" t="inlineStr">
        <is>
          <t>Horas-hombre del IWP.</t>
        </is>
      </c>
      <c r="C20" s="8" t="inlineStr">
        <is>
          <t>Manual</t>
        </is>
      </c>
    </row>
    <row r="21" ht="15" customHeight="1">
      <c r="A21" s="7" t="inlineStr">
        <is>
          <t>Restricciones abiertas</t>
        </is>
      </c>
      <c r="B21" s="8" t="inlineStr">
        <is>
          <t>Restricciones abiertas del IWP (del registro).</t>
        </is>
      </c>
      <c r="C21" s="8" t="inlineStr">
        <is>
          <t>Manual</t>
        </is>
      </c>
    </row>
    <row r="22" ht="15" customHeight="1">
      <c r="A22" s="9" t="inlineStr">
        <is>
          <t>Listo para ejecutar</t>
        </is>
      </c>
      <c r="B22" s="10" t="inlineStr">
        <is>
          <t>Calculado: «Sí» si no tiene restricciones abiertas.</t>
        </is>
      </c>
      <c r="C22" s="10" t="inlineStr">
        <is>
          <t>Calculado</t>
        </is>
      </c>
    </row>
    <row r="23" ht="15" customHeight="1">
      <c r="A23" s="7" t="inlineStr">
        <is>
          <t>Recursos críticos</t>
        </is>
      </c>
      <c r="B23" s="8" t="inlineStr">
        <is>
          <t>Grúas, andamios, equipos o permisos que deben confirmarse.</t>
        </is>
      </c>
      <c r="C23" s="8" t="inlineStr">
        <is>
          <t>Manual</t>
        </is>
      </c>
    </row>
    <row r="24" ht="15" customHeight="1">
      <c r="A24" s="9" t="inlineStr">
        <is>
          <t>Planificado semana 1</t>
        </is>
      </c>
      <c r="B24" s="10" t="inlineStr">
        <is>
          <t>Calculado: «Sí» si el IWP tiene días marcados en la semana 1.</t>
        </is>
      </c>
      <c r="C24" s="10" t="inlineStr">
        <is>
          <t>Calculado</t>
        </is>
      </c>
    </row>
    <row r="25" ht="15" customHeight="1">
      <c r="A25" s="7" t="inlineStr">
        <is>
          <t>Completado semana 1</t>
        </is>
      </c>
      <c r="B25" s="8" t="inlineStr">
        <is>
          <t>Al cierre de la semana 1: «Sí» si el IWP planificado se completó.</t>
        </is>
      </c>
      <c r="C25" s="8" t="inlineStr">
        <is>
          <t>Lista</t>
        </is>
      </c>
    </row>
    <row r="26" ht="15" customHeight="1">
      <c r="A26" s="7" t="inlineStr">
        <is>
          <t>Causa de no cumplimiento</t>
        </is>
      </c>
      <c r="B26" s="8" t="inlineStr">
        <is>
          <t>Si no se completó, causa principal (sirve para el análisis de PPC).</t>
        </is>
      </c>
      <c r="C26" s="8" t="inlineStr">
        <is>
          <t>Lista</t>
        </is>
      </c>
    </row>
    <row r="27" ht="28" customHeight="1">
      <c r="A27" s="7" t="inlineStr">
        <is>
          <t>S1 L … S3 S</t>
        </is>
      </c>
      <c r="B27" s="8" t="inlineStr">
        <is>
          <t>Días de las 3 semanas (lunes a sábado). Marque «X» los días de ejecución del IWP.</t>
        </is>
      </c>
      <c r="C27" s="8" t="inlineStr">
        <is>
          <t>Lista</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Lookahead de 3 semanas</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AF125"/>
  <sheetViews>
    <sheetView tabSelected="0" workbookViewId="0">
      <pane xSplit="4" ySplit="5" topLeftCell="E6"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20" customWidth="1" min="4" max="4"/>
    <col width="30" customWidth="1" min="5" max="5"/>
    <col width="22" customWidth="1" min="6" max="6"/>
    <col width="8" customWidth="1" min="7" max="7"/>
    <col width="7" customWidth="1" min="8" max="8"/>
    <col width="9" customWidth="1" min="9" max="9"/>
    <col width="8" customWidth="1" min="10" max="10"/>
    <col width="18"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9" customWidth="1" min="30" max="30"/>
    <col width="9" customWidth="1" min="31" max="31"/>
    <col width="20" customWidth="1" min="32" max="32"/>
  </cols>
  <sheetData>
    <row r="1" ht="24" customHeight="1">
      <c r="A1" s="11" t="inlineStr">
        <is>
          <t>Lookahead de 3 semanas</t>
        </is>
      </c>
    </row>
    <row r="2">
      <c r="A2" s="2" t="inlineStr">
        <is>
          <t>Proyecto Tipo (PT) – Complejo de instalaciones en tres fases. Ejemplo en M27, con las fases 2 y 3 en construcción simultánea (la fase 1 ya está cerrada). Filas amarillas = ejemplo.</t>
        </is>
      </c>
    </row>
    <row r="3">
      <c r="A3" s="12" t="inlineStr">
        <is>
          <t>Lunes de la semana 1:</t>
        </is>
      </c>
      <c r="B3" s="13" t="n">
        <v>47182</v>
      </c>
      <c r="D3" s="12" t="inlineStr">
        <is>
          <t>PPC semana 1:</t>
        </is>
      </c>
      <c r="E3" s="14">
        <f>IFERROR(COUNTIFS($AD$6:$AD$125,"Sí",$AE$6:$AE$125,"Sí")/COUNTIF($AD$6:$AD$125,"Sí"),"")</f>
        <v/>
      </c>
    </row>
    <row r="4" ht="30" customHeight="1">
      <c r="L4" s="15">
        <f>$B$3+0</f>
        <v/>
      </c>
      <c r="M4" s="15">
        <f>$B$3+1</f>
        <v/>
      </c>
      <c r="N4" s="15">
        <f>$B$3+2</f>
        <v/>
      </c>
      <c r="O4" s="15">
        <f>$B$3+3</f>
        <v/>
      </c>
      <c r="P4" s="15">
        <f>$B$3+4</f>
        <v/>
      </c>
      <c r="Q4" s="15">
        <f>$B$3+5</f>
        <v/>
      </c>
      <c r="R4" s="15">
        <f>$B$3+7</f>
        <v/>
      </c>
      <c r="S4" s="15">
        <f>$B$3+8</f>
        <v/>
      </c>
      <c r="T4" s="15">
        <f>$B$3+9</f>
        <v/>
      </c>
      <c r="U4" s="15">
        <f>$B$3+10</f>
        <v/>
      </c>
      <c r="V4" s="15">
        <f>$B$3+11</f>
        <v/>
      </c>
      <c r="W4" s="15">
        <f>$B$3+12</f>
        <v/>
      </c>
      <c r="X4" s="15">
        <f>$B$3+14</f>
        <v/>
      </c>
      <c r="Y4" s="15">
        <f>$B$3+15</f>
        <v/>
      </c>
      <c r="Z4" s="15">
        <f>$B$3+16</f>
        <v/>
      </c>
      <c r="AA4" s="15">
        <f>$B$3+17</f>
        <v/>
      </c>
      <c r="AB4" s="15">
        <f>$B$3+18</f>
        <v/>
      </c>
      <c r="AC4" s="15">
        <f>$B$3+19</f>
        <v/>
      </c>
    </row>
    <row r="5" ht="42" customHeight="1">
      <c r="A5" s="16" t="inlineStr">
        <is>
          <t>Ejemplo</t>
        </is>
      </c>
      <c r="B5" s="16" t="inlineStr">
        <is>
          <t>Fase del proyecto</t>
        </is>
      </c>
      <c r="C5" s="17" t="inlineStr">
        <is>
          <t>CWP</t>
        </is>
      </c>
      <c r="D5" s="16" t="inlineStr">
        <is>
          <t>IWP</t>
        </is>
      </c>
      <c r="E5" s="16" t="inlineStr">
        <is>
          <t>Descripción</t>
        </is>
      </c>
      <c r="F5" s="16" t="inlineStr">
        <is>
          <t>Superintendente / capataz</t>
        </is>
      </c>
      <c r="G5" s="16" t="inlineStr">
        <is>
          <t>Personas en cuadrilla</t>
        </is>
      </c>
      <c r="H5" s="16" t="inlineStr">
        <is>
          <t>HH</t>
        </is>
      </c>
      <c r="I5" s="16" t="inlineStr">
        <is>
          <t>Restricciones abiertas</t>
        </is>
      </c>
      <c r="J5" s="17" t="inlineStr">
        <is>
          <t>Listo para ejecutar</t>
        </is>
      </c>
      <c r="K5" s="16" t="inlineStr">
        <is>
          <t>Recursos críticos</t>
        </is>
      </c>
      <c r="L5" s="18" t="inlineStr">
        <is>
          <t>S1 L</t>
        </is>
      </c>
      <c r="M5" s="18" t="inlineStr">
        <is>
          <t>S1 M</t>
        </is>
      </c>
      <c r="N5" s="18" t="inlineStr">
        <is>
          <t>S1 X</t>
        </is>
      </c>
      <c r="O5" s="18" t="inlineStr">
        <is>
          <t>S1 J</t>
        </is>
      </c>
      <c r="P5" s="18" t="inlineStr">
        <is>
          <t>S1 V</t>
        </is>
      </c>
      <c r="Q5" s="18" t="inlineStr">
        <is>
          <t>S1 S</t>
        </is>
      </c>
      <c r="R5" s="18" t="inlineStr">
        <is>
          <t>S2 L</t>
        </is>
      </c>
      <c r="S5" s="18" t="inlineStr">
        <is>
          <t>S2 M</t>
        </is>
      </c>
      <c r="T5" s="18" t="inlineStr">
        <is>
          <t>S2 X</t>
        </is>
      </c>
      <c r="U5" s="18" t="inlineStr">
        <is>
          <t>S2 J</t>
        </is>
      </c>
      <c r="V5" s="18" t="inlineStr">
        <is>
          <t>S2 V</t>
        </is>
      </c>
      <c r="W5" s="18" t="inlineStr">
        <is>
          <t>S2 S</t>
        </is>
      </c>
      <c r="X5" s="18" t="inlineStr">
        <is>
          <t>S3 L</t>
        </is>
      </c>
      <c r="Y5" s="18" t="inlineStr">
        <is>
          <t>S3 M</t>
        </is>
      </c>
      <c r="Z5" s="18" t="inlineStr">
        <is>
          <t>S3 X</t>
        </is>
      </c>
      <c r="AA5" s="18" t="inlineStr">
        <is>
          <t>S3 J</t>
        </is>
      </c>
      <c r="AB5" s="18" t="inlineStr">
        <is>
          <t>S3 V</t>
        </is>
      </c>
      <c r="AC5" s="18" t="inlineStr">
        <is>
          <t>S3 S</t>
        </is>
      </c>
      <c r="AD5" s="17" t="inlineStr">
        <is>
          <t>Planificado semana 1</t>
        </is>
      </c>
      <c r="AE5" s="16" t="inlineStr">
        <is>
          <t>Completado semana 1</t>
        </is>
      </c>
      <c r="AF5" s="16" t="inlineStr">
        <is>
          <t>Causa de no cumplimiento</t>
        </is>
      </c>
    </row>
    <row r="6">
      <c r="A6" s="19" t="inlineStr">
        <is>
          <t>EJEMPLO</t>
        </is>
      </c>
      <c r="B6" s="20" t="inlineStr">
        <is>
          <t>Fase 2</t>
        </is>
      </c>
      <c r="C6" s="21">
        <f>IF(D6="","","CWP"&amp;MID(D6,4,12))</f>
        <v/>
      </c>
      <c r="D6" s="20" t="inlineStr">
        <is>
          <t>IWP-2.01-TUB-01-021</t>
        </is>
      </c>
      <c r="E6" s="22" t="inlineStr">
        <is>
          <t>Tubería de agua de servicio nivel 3 ejes A5–A8</t>
        </is>
      </c>
      <c r="F6" s="22" t="inlineStr">
        <is>
          <t>Superint. tuberías / Capataz T-06</t>
        </is>
      </c>
      <c r="G6" s="23" t="n">
        <v>8</v>
      </c>
      <c r="H6" s="23" t="n">
        <v>440</v>
      </c>
      <c r="I6" s="23" t="n">
        <v>0</v>
      </c>
      <c r="J6" s="21">
        <f>IF(D6="","",IF(I6=0,"Sí","No"))</f>
        <v/>
      </c>
      <c r="K6" s="22" t="inlineStr">
        <is>
          <t>Andamio AN-31</t>
        </is>
      </c>
      <c r="L6" s="24" t="inlineStr">
        <is>
          <t>X</t>
        </is>
      </c>
      <c r="M6" s="24" t="inlineStr">
        <is>
          <t>X</t>
        </is>
      </c>
      <c r="N6" s="24" t="inlineStr">
        <is>
          <t>X</t>
        </is>
      </c>
      <c r="O6" s="24" t="inlineStr">
        <is>
          <t>X</t>
        </is>
      </c>
      <c r="P6" s="24" t="inlineStr">
        <is>
          <t>X</t>
        </is>
      </c>
      <c r="Q6" s="24" t="inlineStr">
        <is>
          <t>X</t>
        </is>
      </c>
      <c r="R6" s="24" t="n"/>
      <c r="S6" s="24" t="n"/>
      <c r="T6" s="24" t="n"/>
      <c r="U6" s="24" t="n"/>
      <c r="V6" s="24" t="n"/>
      <c r="W6" s="24" t="n"/>
      <c r="X6" s="24" t="n"/>
      <c r="Y6" s="24" t="n"/>
      <c r="Z6" s="24" t="n"/>
      <c r="AA6" s="24" t="n"/>
      <c r="AB6" s="24" t="n"/>
      <c r="AC6" s="24" t="n"/>
      <c r="AD6" s="21">
        <f>IF(D6="","",IF(COUNTIF(L6:Q6,"X")&gt;0,"Sí","No"))</f>
        <v/>
      </c>
      <c r="AE6" s="20" t="inlineStr">
        <is>
          <t>Sí</t>
        </is>
      </c>
      <c r="AF6" s="20" t="inlineStr"/>
    </row>
    <row r="7">
      <c r="A7" s="19" t="inlineStr">
        <is>
          <t>EJEMPLO</t>
        </is>
      </c>
      <c r="B7" s="20" t="inlineStr">
        <is>
          <t>Fase 2</t>
        </is>
      </c>
      <c r="C7" s="21">
        <f>IF(D7="","","CWP"&amp;MID(D7,4,12))</f>
        <v/>
      </c>
      <c r="D7" s="20" t="inlineStr">
        <is>
          <t>IWP-2.01-TUB-01-022</t>
        </is>
      </c>
      <c r="E7" s="22" t="inlineStr">
        <is>
          <t>Tubería de agua de servicio nivel 3 ejes A9–A12</t>
        </is>
      </c>
      <c r="F7" s="22" t="inlineStr">
        <is>
          <t>Superint. tuberías / Capataz T-06</t>
        </is>
      </c>
      <c r="G7" s="23" t="n">
        <v>8</v>
      </c>
      <c r="H7" s="23" t="n">
        <v>440</v>
      </c>
      <c r="I7" s="23" t="n">
        <v>0</v>
      </c>
      <c r="J7" s="21">
        <f>IF(D7="","",IF(I7=0,"Sí","No"))</f>
        <v/>
      </c>
      <c r="K7" s="22" t="inlineStr">
        <is>
          <t>Andamio AN-32</t>
        </is>
      </c>
      <c r="L7" s="24" t="n"/>
      <c r="M7" s="24" t="n"/>
      <c r="N7" s="24" t="n"/>
      <c r="O7" s="24" t="n"/>
      <c r="P7" s="24" t="n"/>
      <c r="Q7" s="24" t="n"/>
      <c r="R7" s="24" t="inlineStr">
        <is>
          <t>X</t>
        </is>
      </c>
      <c r="S7" s="24" t="inlineStr">
        <is>
          <t>X</t>
        </is>
      </c>
      <c r="T7" s="24" t="inlineStr">
        <is>
          <t>X</t>
        </is>
      </c>
      <c r="U7" s="24" t="inlineStr">
        <is>
          <t>X</t>
        </is>
      </c>
      <c r="V7" s="24" t="inlineStr">
        <is>
          <t>X</t>
        </is>
      </c>
      <c r="W7" s="24" t="inlineStr">
        <is>
          <t>X</t>
        </is>
      </c>
      <c r="X7" s="24" t="n"/>
      <c r="Y7" s="24" t="n"/>
      <c r="Z7" s="24" t="n"/>
      <c r="AA7" s="24" t="n"/>
      <c r="AB7" s="24" t="n"/>
      <c r="AC7" s="24" t="n"/>
      <c r="AD7" s="21">
        <f>IF(D7="","",IF(COUNTIF(L7:Q7,"X")&gt;0,"Sí","No"))</f>
        <v/>
      </c>
      <c r="AE7" s="20" t="inlineStr"/>
      <c r="AF7" s="20" t="inlineStr"/>
    </row>
    <row r="8">
      <c r="A8" s="19" t="inlineStr">
        <is>
          <t>EJEMPLO</t>
        </is>
      </c>
      <c r="B8" s="20" t="inlineStr">
        <is>
          <t>Fase 2</t>
        </is>
      </c>
      <c r="C8" s="21">
        <f>IF(D8="","","CWP"&amp;MID(D8,4,12))</f>
        <v/>
      </c>
      <c r="D8" s="20" t="inlineStr">
        <is>
          <t>IWP-2.03-ELE-01-012</t>
        </is>
      </c>
      <c r="E8" s="22" t="inlineStr">
        <is>
          <t>Tendido de cables de media tensión al bloque A</t>
        </is>
      </c>
      <c r="F8" s="22" t="inlineStr">
        <is>
          <t>Superint. eléctrico / Capataz E-04</t>
        </is>
      </c>
      <c r="G8" s="23" t="n">
        <v>10</v>
      </c>
      <c r="H8" s="23" t="n">
        <v>560</v>
      </c>
      <c r="I8" s="23" t="n">
        <v>0</v>
      </c>
      <c r="J8" s="21">
        <f>IF(D8="","",IF(I8=0,"Sí","No"))</f>
        <v/>
      </c>
      <c r="K8" s="22" t="inlineStr">
        <is>
          <t>Carretes y tiracables</t>
        </is>
      </c>
      <c r="L8" s="24" t="inlineStr">
        <is>
          <t>X</t>
        </is>
      </c>
      <c r="M8" s="24" t="inlineStr">
        <is>
          <t>X</t>
        </is>
      </c>
      <c r="N8" s="24" t="inlineStr">
        <is>
          <t>X</t>
        </is>
      </c>
      <c r="O8" s="24" t="inlineStr">
        <is>
          <t>X</t>
        </is>
      </c>
      <c r="P8" s="24" t="inlineStr">
        <is>
          <t>X</t>
        </is>
      </c>
      <c r="Q8" s="24" t="n"/>
      <c r="R8" s="24" t="n"/>
      <c r="S8" s="24" t="n"/>
      <c r="T8" s="24" t="n"/>
      <c r="U8" s="24" t="n"/>
      <c r="V8" s="24" t="n"/>
      <c r="W8" s="24" t="n"/>
      <c r="X8" s="24" t="n"/>
      <c r="Y8" s="24" t="n"/>
      <c r="Z8" s="24" t="n"/>
      <c r="AA8" s="24" t="n"/>
      <c r="AB8" s="24" t="n"/>
      <c r="AC8" s="24" t="n"/>
      <c r="AD8" s="21">
        <f>IF(D8="","",IF(COUNTIF(L8:Q8,"X")&gt;0,"Sí","No"))</f>
        <v/>
      </c>
      <c r="AE8" s="20" t="inlineStr">
        <is>
          <t>No</t>
        </is>
      </c>
      <c r="AF8" s="20" t="inlineStr">
        <is>
          <t>Materiales</t>
        </is>
      </c>
    </row>
    <row r="9">
      <c r="A9" s="19" t="inlineStr">
        <is>
          <t>EJEMPLO</t>
        </is>
      </c>
      <c r="B9" s="20" t="inlineStr">
        <is>
          <t>Fase 2</t>
        </is>
      </c>
      <c r="C9" s="21">
        <f>IF(D9="","","CWP"&amp;MID(D9,4,12))</f>
        <v/>
      </c>
      <c r="D9" s="20" t="inlineStr">
        <is>
          <t>IWP-2.03-ELE-01-013</t>
        </is>
      </c>
      <c r="E9" s="22" t="inlineStr">
        <is>
          <t>Conexionado de tableros de media tensión</t>
        </is>
      </c>
      <c r="F9" s="22" t="inlineStr">
        <is>
          <t>Superint. eléctrico / Capataz E-04</t>
        </is>
      </c>
      <c r="G9" s="23" t="n">
        <v>6</v>
      </c>
      <c r="H9" s="23" t="n">
        <v>300</v>
      </c>
      <c r="I9" s="23" t="n">
        <v>0</v>
      </c>
      <c r="J9" s="21">
        <f>IF(D9="","",IF(I9=0,"Sí","No"))</f>
        <v/>
      </c>
      <c r="K9" s="22" t="inlineStr">
        <is>
          <t>Equipo de pruebas</t>
        </is>
      </c>
      <c r="L9" s="24" t="n"/>
      <c r="M9" s="24" t="n"/>
      <c r="N9" s="24" t="n"/>
      <c r="O9" s="24" t="n"/>
      <c r="P9" s="24" t="n"/>
      <c r="Q9" s="24" t="n"/>
      <c r="R9" s="24" t="inlineStr">
        <is>
          <t>X</t>
        </is>
      </c>
      <c r="S9" s="24" t="inlineStr">
        <is>
          <t>X</t>
        </is>
      </c>
      <c r="T9" s="24" t="inlineStr">
        <is>
          <t>X</t>
        </is>
      </c>
      <c r="U9" s="24" t="inlineStr">
        <is>
          <t>X</t>
        </is>
      </c>
      <c r="V9" s="24" t="inlineStr">
        <is>
          <t>X</t>
        </is>
      </c>
      <c r="W9" s="24" t="inlineStr">
        <is>
          <t>X</t>
        </is>
      </c>
      <c r="X9" s="24" t="n"/>
      <c r="Y9" s="24" t="n"/>
      <c r="Z9" s="24" t="n"/>
      <c r="AA9" s="24" t="n"/>
      <c r="AB9" s="24" t="n"/>
      <c r="AC9" s="24" t="n"/>
      <c r="AD9" s="21">
        <f>IF(D9="","",IF(COUNTIF(L9:Q9,"X")&gt;0,"Sí","No"))</f>
        <v/>
      </c>
      <c r="AE9" s="20" t="inlineStr"/>
      <c r="AF9" s="20" t="inlineStr"/>
    </row>
    <row r="10">
      <c r="A10" s="19" t="inlineStr">
        <is>
          <t>EJEMPLO</t>
        </is>
      </c>
      <c r="B10" s="20" t="inlineStr">
        <is>
          <t>Fase 3</t>
        </is>
      </c>
      <c r="C10" s="21">
        <f>IF(D10="","","CWP"&amp;MID(D10,4,12))</f>
        <v/>
      </c>
      <c r="D10" s="20" t="inlineStr">
        <is>
          <t>IWP-3.02-CIV-01-003</t>
        </is>
      </c>
      <c r="E10" s="22" t="inlineStr">
        <is>
          <t>Zapatas ejes C4–C6</t>
        </is>
      </c>
      <c r="F10" s="22" t="inlineStr">
        <is>
          <t>Superint. civil / Capataz C-08</t>
        </is>
      </c>
      <c r="G10" s="23" t="n">
        <v>12</v>
      </c>
      <c r="H10" s="23" t="n">
        <v>580</v>
      </c>
      <c r="I10" s="23" t="n">
        <v>0</v>
      </c>
      <c r="J10" s="21">
        <f>IF(D10="","",IF(I10=0,"Sí","No"))</f>
        <v/>
      </c>
      <c r="K10" s="22" t="inlineStr">
        <is>
          <t>Bomba de concreto</t>
        </is>
      </c>
      <c r="L10" s="24" t="inlineStr">
        <is>
          <t>X</t>
        </is>
      </c>
      <c r="M10" s="24" t="inlineStr">
        <is>
          <t>X</t>
        </is>
      </c>
      <c r="N10" s="24" t="inlineStr">
        <is>
          <t>X</t>
        </is>
      </c>
      <c r="O10" s="24" t="inlineStr">
        <is>
          <t>X</t>
        </is>
      </c>
      <c r="P10" s="24" t="inlineStr">
        <is>
          <t>X</t>
        </is>
      </c>
      <c r="Q10" s="24" t="inlineStr">
        <is>
          <t>X</t>
        </is>
      </c>
      <c r="R10" s="24" t="n"/>
      <c r="S10" s="24" t="n"/>
      <c r="T10" s="24" t="n"/>
      <c r="U10" s="24" t="n"/>
      <c r="V10" s="24" t="n"/>
      <c r="W10" s="24" t="n"/>
      <c r="X10" s="24" t="n"/>
      <c r="Y10" s="24" t="n"/>
      <c r="Z10" s="24" t="n"/>
      <c r="AA10" s="24" t="n"/>
      <c r="AB10" s="24" t="n"/>
      <c r="AC10" s="24" t="n"/>
      <c r="AD10" s="21">
        <f>IF(D10="","",IF(COUNTIF(L10:Q10,"X")&gt;0,"Sí","No"))</f>
        <v/>
      </c>
      <c r="AE10" s="20" t="inlineStr">
        <is>
          <t>Sí</t>
        </is>
      </c>
      <c r="AF10" s="20" t="inlineStr"/>
    </row>
    <row r="11">
      <c r="A11" s="19" t="inlineStr">
        <is>
          <t>EJEMPLO</t>
        </is>
      </c>
      <c r="B11" s="20" t="inlineStr">
        <is>
          <t>Fase 3</t>
        </is>
      </c>
      <c r="C11" s="21">
        <f>IF(D11="","","CWP"&amp;MID(D11,4,12))</f>
        <v/>
      </c>
      <c r="D11" s="20" t="inlineStr">
        <is>
          <t>IWP-3.02-CIV-01-004</t>
        </is>
      </c>
      <c r="E11" s="22" t="inlineStr">
        <is>
          <t>Pedestales ejes C1–C3</t>
        </is>
      </c>
      <c r="F11" s="22" t="inlineStr">
        <is>
          <t>Superint. civil / Capataz C-08</t>
        </is>
      </c>
      <c r="G11" s="23" t="n">
        <v>10</v>
      </c>
      <c r="H11" s="23" t="n">
        <v>420</v>
      </c>
      <c r="I11" s="23" t="n">
        <v>0</v>
      </c>
      <c r="J11" s="21">
        <f>IF(D11="","",IF(I11=0,"Sí","No"))</f>
        <v/>
      </c>
      <c r="K11" s="22" t="inlineStr">
        <is>
          <t>Encofrado metálico</t>
        </is>
      </c>
      <c r="L11" s="24" t="n"/>
      <c r="M11" s="24" t="n"/>
      <c r="N11" s="24" t="n"/>
      <c r="O11" s="24" t="n"/>
      <c r="P11" s="24" t="n"/>
      <c r="Q11" s="24" t="n"/>
      <c r="R11" s="24" t="inlineStr">
        <is>
          <t>X</t>
        </is>
      </c>
      <c r="S11" s="24" t="inlineStr">
        <is>
          <t>X</t>
        </is>
      </c>
      <c r="T11" s="24" t="inlineStr">
        <is>
          <t>X</t>
        </is>
      </c>
      <c r="U11" s="24" t="inlineStr">
        <is>
          <t>X</t>
        </is>
      </c>
      <c r="V11" s="24" t="inlineStr">
        <is>
          <t>X</t>
        </is>
      </c>
      <c r="W11" s="24" t="inlineStr">
        <is>
          <t>X</t>
        </is>
      </c>
      <c r="X11" s="24" t="n"/>
      <c r="Y11" s="24" t="n"/>
      <c r="Z11" s="24" t="n"/>
      <c r="AA11" s="24" t="n"/>
      <c r="AB11" s="24" t="n"/>
      <c r="AC11" s="24" t="n"/>
      <c r="AD11" s="21">
        <f>IF(D11="","",IF(COUNTIF(L11:Q11,"X")&gt;0,"Sí","No"))</f>
        <v/>
      </c>
      <c r="AE11" s="20" t="inlineStr"/>
      <c r="AF11" s="20" t="inlineStr"/>
    </row>
    <row r="12">
      <c r="A12" s="19" t="inlineStr">
        <is>
          <t>EJEMPLO</t>
        </is>
      </c>
      <c r="B12" s="20" t="inlineStr">
        <is>
          <t>Fase 3</t>
        </is>
      </c>
      <c r="C12" s="21">
        <f>IF(D12="","","CWP"&amp;MID(D12,4,12))</f>
        <v/>
      </c>
      <c r="D12" s="20" t="inlineStr">
        <is>
          <t>IWP-3.01-ARQ-01-001</t>
        </is>
      </c>
      <c r="E12" s="22" t="inlineStr">
        <is>
          <t>Tabiquería nivel 1 edificio de oficinas</t>
        </is>
      </c>
      <c r="F12" s="22" t="inlineStr">
        <is>
          <t>Superint. arquitectura / Capataz A-02</t>
        </is>
      </c>
      <c r="G12" s="23" t="n">
        <v>9</v>
      </c>
      <c r="H12" s="23" t="n">
        <v>350</v>
      </c>
      <c r="I12" s="23" t="n">
        <v>1</v>
      </c>
      <c r="J12" s="21">
        <f>IF(D12="","",IF(I12=0,"Sí","No"))</f>
        <v/>
      </c>
      <c r="K12" s="22" t="inlineStr">
        <is>
          <t>Plataforma elevadora</t>
        </is>
      </c>
      <c r="L12" s="24" t="n"/>
      <c r="M12" s="24" t="n"/>
      <c r="N12" s="24" t="n"/>
      <c r="O12" s="24" t="n"/>
      <c r="P12" s="24" t="n"/>
      <c r="Q12" s="24" t="n"/>
      <c r="R12" s="24" t="n"/>
      <c r="S12" s="24" t="n"/>
      <c r="T12" s="24" t="n"/>
      <c r="U12" s="24" t="n"/>
      <c r="V12" s="24" t="n"/>
      <c r="W12" s="24" t="n"/>
      <c r="X12" s="24" t="inlineStr">
        <is>
          <t>X</t>
        </is>
      </c>
      <c r="Y12" s="24" t="inlineStr">
        <is>
          <t>X</t>
        </is>
      </c>
      <c r="Z12" s="24" t="inlineStr">
        <is>
          <t>X</t>
        </is>
      </c>
      <c r="AA12" s="24" t="inlineStr">
        <is>
          <t>X</t>
        </is>
      </c>
      <c r="AB12" s="24" t="inlineStr">
        <is>
          <t>X</t>
        </is>
      </c>
      <c r="AC12" s="24" t="inlineStr">
        <is>
          <t>X</t>
        </is>
      </c>
      <c r="AD12" s="21">
        <f>IF(D12="","",IF(COUNTIF(L12:Q12,"X")&gt;0,"Sí","No"))</f>
        <v/>
      </c>
      <c r="AE12" s="20" t="inlineStr"/>
      <c r="AF12" s="20" t="inlineStr"/>
    </row>
    <row r="13">
      <c r="A13" s="19" t="inlineStr">
        <is>
          <t>EJEMPLO</t>
        </is>
      </c>
      <c r="B13" s="20" t="inlineStr">
        <is>
          <t>Fase 3</t>
        </is>
      </c>
      <c r="C13" s="21">
        <f>IF(D13="","","CWP"&amp;MID(D13,4,12))</f>
        <v/>
      </c>
      <c r="D13" s="20" t="inlineStr">
        <is>
          <t>IWP-3.01-ARQ-01-002</t>
        </is>
      </c>
      <c r="E13" s="22" t="inlineStr">
        <is>
          <t>Tabiquería nivel 2 edificio de oficinas</t>
        </is>
      </c>
      <c r="F13" s="22" t="inlineStr">
        <is>
          <t>Superint. arquitectura / Capataz A-02</t>
        </is>
      </c>
      <c r="G13" s="23" t="n">
        <v>9</v>
      </c>
      <c r="H13" s="23" t="n">
        <v>350</v>
      </c>
      <c r="I13" s="23" t="n">
        <v>0</v>
      </c>
      <c r="J13" s="21">
        <f>IF(D13="","",IF(I13=0,"Sí","No"))</f>
        <v/>
      </c>
      <c r="K13" s="22" t="inlineStr">
        <is>
          <t>Plataforma elevadora</t>
        </is>
      </c>
      <c r="L13" s="24" t="n"/>
      <c r="M13" s="24" t="n"/>
      <c r="N13" s="24" t="n"/>
      <c r="O13" s="24" t="n"/>
      <c r="P13" s="24" t="n"/>
      <c r="Q13" s="24" t="n"/>
      <c r="R13" s="24" t="n"/>
      <c r="S13" s="24" t="n"/>
      <c r="T13" s="24" t="n"/>
      <c r="U13" s="24" t="n"/>
      <c r="V13" s="24" t="n"/>
      <c r="W13" s="24" t="n"/>
      <c r="X13" s="24" t="n"/>
      <c r="Y13" s="24" t="n"/>
      <c r="Z13" s="24" t="n"/>
      <c r="AA13" s="24" t="n"/>
      <c r="AB13" s="24" t="n"/>
      <c r="AC13" s="24" t="n"/>
      <c r="AD13" s="21">
        <f>IF(D13="","",IF(COUNTIF(L13:Q13,"X")&gt;0,"Sí","No"))</f>
        <v/>
      </c>
      <c r="AE13" s="20" t="inlineStr"/>
      <c r="AF13" s="20" t="inlineStr"/>
    </row>
    <row r="14">
      <c r="A14" s="25" t="n"/>
      <c r="B14" s="26" t="n"/>
      <c r="C14" s="27">
        <f>IF(D14="","","CWP"&amp;MID(D14,4,12))</f>
        <v/>
      </c>
      <c r="D14" s="26" t="n"/>
      <c r="E14" s="28" t="n"/>
      <c r="F14" s="28" t="n"/>
      <c r="G14" s="29" t="n"/>
      <c r="H14" s="29" t="n"/>
      <c r="I14" s="29" t="n"/>
      <c r="J14" s="27">
        <f>IF(D14="","",IF(I14=0,"Sí","No"))</f>
        <v/>
      </c>
      <c r="K14" s="28" t="n"/>
      <c r="L14" s="30" t="n"/>
      <c r="M14" s="30" t="n"/>
      <c r="N14" s="30" t="n"/>
      <c r="O14" s="30" t="n"/>
      <c r="P14" s="30" t="n"/>
      <c r="Q14" s="30" t="n"/>
      <c r="R14" s="30" t="n"/>
      <c r="S14" s="30" t="n"/>
      <c r="T14" s="30" t="n"/>
      <c r="U14" s="30" t="n"/>
      <c r="V14" s="30" t="n"/>
      <c r="W14" s="30" t="n"/>
      <c r="X14" s="30" t="n"/>
      <c r="Y14" s="30" t="n"/>
      <c r="Z14" s="30" t="n"/>
      <c r="AA14" s="30" t="n"/>
      <c r="AB14" s="30" t="n"/>
      <c r="AC14" s="30" t="n"/>
      <c r="AD14" s="27">
        <f>IF(D14="","",IF(COUNTIF(L14:Q14,"X")&gt;0,"Sí","No"))</f>
        <v/>
      </c>
      <c r="AE14" s="26" t="n"/>
      <c r="AF14" s="26" t="n"/>
    </row>
    <row r="15">
      <c r="A15" s="25" t="n"/>
      <c r="B15" s="26" t="n"/>
      <c r="C15" s="27">
        <f>IF(D15="","","CWP"&amp;MID(D15,4,12))</f>
        <v/>
      </c>
      <c r="D15" s="26" t="n"/>
      <c r="E15" s="28" t="n"/>
      <c r="F15" s="28" t="n"/>
      <c r="G15" s="29" t="n"/>
      <c r="H15" s="29" t="n"/>
      <c r="I15" s="29" t="n"/>
      <c r="J15" s="27">
        <f>IF(D15="","",IF(I15=0,"Sí","No"))</f>
        <v/>
      </c>
      <c r="K15" s="28" t="n"/>
      <c r="L15" s="30" t="n"/>
      <c r="M15" s="30" t="n"/>
      <c r="N15" s="30" t="n"/>
      <c r="O15" s="30" t="n"/>
      <c r="P15" s="30" t="n"/>
      <c r="Q15" s="30" t="n"/>
      <c r="R15" s="30" t="n"/>
      <c r="S15" s="30" t="n"/>
      <c r="T15" s="30" t="n"/>
      <c r="U15" s="30" t="n"/>
      <c r="V15" s="30" t="n"/>
      <c r="W15" s="30" t="n"/>
      <c r="X15" s="30" t="n"/>
      <c r="Y15" s="30" t="n"/>
      <c r="Z15" s="30" t="n"/>
      <c r="AA15" s="30" t="n"/>
      <c r="AB15" s="30" t="n"/>
      <c r="AC15" s="30" t="n"/>
      <c r="AD15" s="27">
        <f>IF(D15="","",IF(COUNTIF(L15:Q15,"X")&gt;0,"Sí","No"))</f>
        <v/>
      </c>
      <c r="AE15" s="26" t="n"/>
      <c r="AF15" s="26" t="n"/>
    </row>
    <row r="16">
      <c r="A16" s="25" t="n"/>
      <c r="B16" s="26" t="n"/>
      <c r="C16" s="27">
        <f>IF(D16="","","CWP"&amp;MID(D16,4,12))</f>
        <v/>
      </c>
      <c r="D16" s="26" t="n"/>
      <c r="E16" s="28" t="n"/>
      <c r="F16" s="28" t="n"/>
      <c r="G16" s="29" t="n"/>
      <c r="H16" s="29" t="n"/>
      <c r="I16" s="29" t="n"/>
      <c r="J16" s="27">
        <f>IF(D16="","",IF(I16=0,"Sí","No"))</f>
        <v/>
      </c>
      <c r="K16" s="28" t="n"/>
      <c r="L16" s="30" t="n"/>
      <c r="M16" s="30" t="n"/>
      <c r="N16" s="30" t="n"/>
      <c r="O16" s="30" t="n"/>
      <c r="P16" s="30" t="n"/>
      <c r="Q16" s="30" t="n"/>
      <c r="R16" s="30" t="n"/>
      <c r="S16" s="30" t="n"/>
      <c r="T16" s="30" t="n"/>
      <c r="U16" s="30" t="n"/>
      <c r="V16" s="30" t="n"/>
      <c r="W16" s="30" t="n"/>
      <c r="X16" s="30" t="n"/>
      <c r="Y16" s="30" t="n"/>
      <c r="Z16" s="30" t="n"/>
      <c r="AA16" s="30" t="n"/>
      <c r="AB16" s="30" t="n"/>
      <c r="AC16" s="30" t="n"/>
      <c r="AD16" s="27">
        <f>IF(D16="","",IF(COUNTIF(L16:Q16,"X")&gt;0,"Sí","No"))</f>
        <v/>
      </c>
      <c r="AE16" s="26" t="n"/>
      <c r="AF16" s="26" t="n"/>
    </row>
    <row r="17">
      <c r="A17" s="25" t="n"/>
      <c r="B17" s="26" t="n"/>
      <c r="C17" s="27">
        <f>IF(D17="","","CWP"&amp;MID(D17,4,12))</f>
        <v/>
      </c>
      <c r="D17" s="26" t="n"/>
      <c r="E17" s="28" t="n"/>
      <c r="F17" s="28" t="n"/>
      <c r="G17" s="29" t="n"/>
      <c r="H17" s="29" t="n"/>
      <c r="I17" s="29" t="n"/>
      <c r="J17" s="27">
        <f>IF(D17="","",IF(I17=0,"Sí","No"))</f>
        <v/>
      </c>
      <c r="K17" s="28" t="n"/>
      <c r="L17" s="30" t="n"/>
      <c r="M17" s="30" t="n"/>
      <c r="N17" s="30" t="n"/>
      <c r="O17" s="30" t="n"/>
      <c r="P17" s="30" t="n"/>
      <c r="Q17" s="30" t="n"/>
      <c r="R17" s="30" t="n"/>
      <c r="S17" s="30" t="n"/>
      <c r="T17" s="30" t="n"/>
      <c r="U17" s="30" t="n"/>
      <c r="V17" s="30" t="n"/>
      <c r="W17" s="30" t="n"/>
      <c r="X17" s="30" t="n"/>
      <c r="Y17" s="30" t="n"/>
      <c r="Z17" s="30" t="n"/>
      <c r="AA17" s="30" t="n"/>
      <c r="AB17" s="30" t="n"/>
      <c r="AC17" s="30" t="n"/>
      <c r="AD17" s="27">
        <f>IF(D17="","",IF(COUNTIF(L17:Q17,"X")&gt;0,"Sí","No"))</f>
        <v/>
      </c>
      <c r="AE17" s="26" t="n"/>
      <c r="AF17" s="26" t="n"/>
    </row>
    <row r="18">
      <c r="A18" s="25" t="n"/>
      <c r="B18" s="26" t="n"/>
      <c r="C18" s="27">
        <f>IF(D18="","","CWP"&amp;MID(D18,4,12))</f>
        <v/>
      </c>
      <c r="D18" s="26" t="n"/>
      <c r="E18" s="28" t="n"/>
      <c r="F18" s="28" t="n"/>
      <c r="G18" s="29" t="n"/>
      <c r="H18" s="29" t="n"/>
      <c r="I18" s="29" t="n"/>
      <c r="J18" s="27">
        <f>IF(D18="","",IF(I18=0,"Sí","No"))</f>
        <v/>
      </c>
      <c r="K18" s="28" t="n"/>
      <c r="L18" s="30" t="n"/>
      <c r="M18" s="30" t="n"/>
      <c r="N18" s="30" t="n"/>
      <c r="O18" s="30" t="n"/>
      <c r="P18" s="30" t="n"/>
      <c r="Q18" s="30" t="n"/>
      <c r="R18" s="30" t="n"/>
      <c r="S18" s="30" t="n"/>
      <c r="T18" s="30" t="n"/>
      <c r="U18" s="30" t="n"/>
      <c r="V18" s="30" t="n"/>
      <c r="W18" s="30" t="n"/>
      <c r="X18" s="30" t="n"/>
      <c r="Y18" s="30" t="n"/>
      <c r="Z18" s="30" t="n"/>
      <c r="AA18" s="30" t="n"/>
      <c r="AB18" s="30" t="n"/>
      <c r="AC18" s="30" t="n"/>
      <c r="AD18" s="27">
        <f>IF(D18="","",IF(COUNTIF(L18:Q18,"X")&gt;0,"Sí","No"))</f>
        <v/>
      </c>
      <c r="AE18" s="26" t="n"/>
      <c r="AF18" s="26" t="n"/>
    </row>
    <row r="19">
      <c r="A19" s="25" t="n"/>
      <c r="B19" s="26" t="n"/>
      <c r="C19" s="27">
        <f>IF(D19="","","CWP"&amp;MID(D19,4,12))</f>
        <v/>
      </c>
      <c r="D19" s="26" t="n"/>
      <c r="E19" s="28" t="n"/>
      <c r="F19" s="28" t="n"/>
      <c r="G19" s="29" t="n"/>
      <c r="H19" s="29" t="n"/>
      <c r="I19" s="29" t="n"/>
      <c r="J19" s="27">
        <f>IF(D19="","",IF(I19=0,"Sí","No"))</f>
        <v/>
      </c>
      <c r="K19" s="28" t="n"/>
      <c r="L19" s="30" t="n"/>
      <c r="M19" s="30" t="n"/>
      <c r="N19" s="30" t="n"/>
      <c r="O19" s="30" t="n"/>
      <c r="P19" s="30" t="n"/>
      <c r="Q19" s="30" t="n"/>
      <c r="R19" s="30" t="n"/>
      <c r="S19" s="30" t="n"/>
      <c r="T19" s="30" t="n"/>
      <c r="U19" s="30" t="n"/>
      <c r="V19" s="30" t="n"/>
      <c r="W19" s="30" t="n"/>
      <c r="X19" s="30" t="n"/>
      <c r="Y19" s="30" t="n"/>
      <c r="Z19" s="30" t="n"/>
      <c r="AA19" s="30" t="n"/>
      <c r="AB19" s="30" t="n"/>
      <c r="AC19" s="30" t="n"/>
      <c r="AD19" s="27">
        <f>IF(D19="","",IF(COUNTIF(L19:Q19,"X")&gt;0,"Sí","No"))</f>
        <v/>
      </c>
      <c r="AE19" s="26" t="n"/>
      <c r="AF19" s="26" t="n"/>
    </row>
    <row r="20">
      <c r="A20" s="25" t="n"/>
      <c r="B20" s="26" t="n"/>
      <c r="C20" s="27">
        <f>IF(D20="","","CWP"&amp;MID(D20,4,12))</f>
        <v/>
      </c>
      <c r="D20" s="26" t="n"/>
      <c r="E20" s="28" t="n"/>
      <c r="F20" s="28" t="n"/>
      <c r="G20" s="29" t="n"/>
      <c r="H20" s="29" t="n"/>
      <c r="I20" s="29" t="n"/>
      <c r="J20" s="27">
        <f>IF(D20="","",IF(I20=0,"Sí","No"))</f>
        <v/>
      </c>
      <c r="K20" s="28" t="n"/>
      <c r="L20" s="30" t="n"/>
      <c r="M20" s="30" t="n"/>
      <c r="N20" s="30" t="n"/>
      <c r="O20" s="30" t="n"/>
      <c r="P20" s="30" t="n"/>
      <c r="Q20" s="30" t="n"/>
      <c r="R20" s="30" t="n"/>
      <c r="S20" s="30" t="n"/>
      <c r="T20" s="30" t="n"/>
      <c r="U20" s="30" t="n"/>
      <c r="V20" s="30" t="n"/>
      <c r="W20" s="30" t="n"/>
      <c r="X20" s="30" t="n"/>
      <c r="Y20" s="30" t="n"/>
      <c r="Z20" s="30" t="n"/>
      <c r="AA20" s="30" t="n"/>
      <c r="AB20" s="30" t="n"/>
      <c r="AC20" s="30" t="n"/>
      <c r="AD20" s="27">
        <f>IF(D20="","",IF(COUNTIF(L20:Q20,"X")&gt;0,"Sí","No"))</f>
        <v/>
      </c>
      <c r="AE20" s="26" t="n"/>
      <c r="AF20" s="26" t="n"/>
    </row>
    <row r="21">
      <c r="A21" s="25" t="n"/>
      <c r="B21" s="26" t="n"/>
      <c r="C21" s="27">
        <f>IF(D21="","","CWP"&amp;MID(D21,4,12))</f>
        <v/>
      </c>
      <c r="D21" s="26" t="n"/>
      <c r="E21" s="28" t="n"/>
      <c r="F21" s="28" t="n"/>
      <c r="G21" s="29" t="n"/>
      <c r="H21" s="29" t="n"/>
      <c r="I21" s="29" t="n"/>
      <c r="J21" s="27">
        <f>IF(D21="","",IF(I21=0,"Sí","No"))</f>
        <v/>
      </c>
      <c r="K21" s="28" t="n"/>
      <c r="L21" s="30" t="n"/>
      <c r="M21" s="30" t="n"/>
      <c r="N21" s="30" t="n"/>
      <c r="O21" s="30" t="n"/>
      <c r="P21" s="30" t="n"/>
      <c r="Q21" s="30" t="n"/>
      <c r="R21" s="30" t="n"/>
      <c r="S21" s="30" t="n"/>
      <c r="T21" s="30" t="n"/>
      <c r="U21" s="30" t="n"/>
      <c r="V21" s="30" t="n"/>
      <c r="W21" s="30" t="n"/>
      <c r="X21" s="30" t="n"/>
      <c r="Y21" s="30" t="n"/>
      <c r="Z21" s="30" t="n"/>
      <c r="AA21" s="30" t="n"/>
      <c r="AB21" s="30" t="n"/>
      <c r="AC21" s="30" t="n"/>
      <c r="AD21" s="27">
        <f>IF(D21="","",IF(COUNTIF(L21:Q21,"X")&gt;0,"Sí","No"))</f>
        <v/>
      </c>
      <c r="AE21" s="26" t="n"/>
      <c r="AF21" s="26" t="n"/>
    </row>
    <row r="22">
      <c r="A22" s="25" t="n"/>
      <c r="B22" s="26" t="n"/>
      <c r="C22" s="27">
        <f>IF(D22="","","CWP"&amp;MID(D22,4,12))</f>
        <v/>
      </c>
      <c r="D22" s="26" t="n"/>
      <c r="E22" s="28" t="n"/>
      <c r="F22" s="28" t="n"/>
      <c r="G22" s="29" t="n"/>
      <c r="H22" s="29" t="n"/>
      <c r="I22" s="29" t="n"/>
      <c r="J22" s="27">
        <f>IF(D22="","",IF(I22=0,"Sí","No"))</f>
        <v/>
      </c>
      <c r="K22" s="28" t="n"/>
      <c r="L22" s="30" t="n"/>
      <c r="M22" s="30" t="n"/>
      <c r="N22" s="30" t="n"/>
      <c r="O22" s="30" t="n"/>
      <c r="P22" s="30" t="n"/>
      <c r="Q22" s="30" t="n"/>
      <c r="R22" s="30" t="n"/>
      <c r="S22" s="30" t="n"/>
      <c r="T22" s="30" t="n"/>
      <c r="U22" s="30" t="n"/>
      <c r="V22" s="30" t="n"/>
      <c r="W22" s="30" t="n"/>
      <c r="X22" s="30" t="n"/>
      <c r="Y22" s="30" t="n"/>
      <c r="Z22" s="30" t="n"/>
      <c r="AA22" s="30" t="n"/>
      <c r="AB22" s="30" t="n"/>
      <c r="AC22" s="30" t="n"/>
      <c r="AD22" s="27">
        <f>IF(D22="","",IF(COUNTIF(L22:Q22,"X")&gt;0,"Sí","No"))</f>
        <v/>
      </c>
      <c r="AE22" s="26" t="n"/>
      <c r="AF22" s="26" t="n"/>
    </row>
    <row r="23">
      <c r="A23" s="25" t="n"/>
      <c r="B23" s="26" t="n"/>
      <c r="C23" s="27">
        <f>IF(D23="","","CWP"&amp;MID(D23,4,12))</f>
        <v/>
      </c>
      <c r="D23" s="26" t="n"/>
      <c r="E23" s="28" t="n"/>
      <c r="F23" s="28" t="n"/>
      <c r="G23" s="29" t="n"/>
      <c r="H23" s="29" t="n"/>
      <c r="I23" s="29" t="n"/>
      <c r="J23" s="27">
        <f>IF(D23="","",IF(I23=0,"Sí","No"))</f>
        <v/>
      </c>
      <c r="K23" s="28" t="n"/>
      <c r="L23" s="30" t="n"/>
      <c r="M23" s="30" t="n"/>
      <c r="N23" s="30" t="n"/>
      <c r="O23" s="30" t="n"/>
      <c r="P23" s="30" t="n"/>
      <c r="Q23" s="30" t="n"/>
      <c r="R23" s="30" t="n"/>
      <c r="S23" s="30" t="n"/>
      <c r="T23" s="30" t="n"/>
      <c r="U23" s="30" t="n"/>
      <c r="V23" s="30" t="n"/>
      <c r="W23" s="30" t="n"/>
      <c r="X23" s="30" t="n"/>
      <c r="Y23" s="30" t="n"/>
      <c r="Z23" s="30" t="n"/>
      <c r="AA23" s="30" t="n"/>
      <c r="AB23" s="30" t="n"/>
      <c r="AC23" s="30" t="n"/>
      <c r="AD23" s="27">
        <f>IF(D23="","",IF(COUNTIF(L23:Q23,"X")&gt;0,"Sí","No"))</f>
        <v/>
      </c>
      <c r="AE23" s="26" t="n"/>
      <c r="AF23" s="26" t="n"/>
    </row>
    <row r="24">
      <c r="A24" s="25" t="n"/>
      <c r="B24" s="26" t="n"/>
      <c r="C24" s="27">
        <f>IF(D24="","","CWP"&amp;MID(D24,4,12))</f>
        <v/>
      </c>
      <c r="D24" s="26" t="n"/>
      <c r="E24" s="28" t="n"/>
      <c r="F24" s="28" t="n"/>
      <c r="G24" s="29" t="n"/>
      <c r="H24" s="29" t="n"/>
      <c r="I24" s="29" t="n"/>
      <c r="J24" s="27">
        <f>IF(D24="","",IF(I24=0,"Sí","No"))</f>
        <v/>
      </c>
      <c r="K24" s="28" t="n"/>
      <c r="L24" s="30" t="n"/>
      <c r="M24" s="30" t="n"/>
      <c r="N24" s="30" t="n"/>
      <c r="O24" s="30" t="n"/>
      <c r="P24" s="30" t="n"/>
      <c r="Q24" s="30" t="n"/>
      <c r="R24" s="30" t="n"/>
      <c r="S24" s="30" t="n"/>
      <c r="T24" s="30" t="n"/>
      <c r="U24" s="30" t="n"/>
      <c r="V24" s="30" t="n"/>
      <c r="W24" s="30" t="n"/>
      <c r="X24" s="30" t="n"/>
      <c r="Y24" s="30" t="n"/>
      <c r="Z24" s="30" t="n"/>
      <c r="AA24" s="30" t="n"/>
      <c r="AB24" s="30" t="n"/>
      <c r="AC24" s="30" t="n"/>
      <c r="AD24" s="27">
        <f>IF(D24="","",IF(COUNTIF(L24:Q24,"X")&gt;0,"Sí","No"))</f>
        <v/>
      </c>
      <c r="AE24" s="26" t="n"/>
      <c r="AF24" s="26" t="n"/>
    </row>
    <row r="25">
      <c r="A25" s="25" t="n"/>
      <c r="B25" s="26" t="n"/>
      <c r="C25" s="27">
        <f>IF(D25="","","CWP"&amp;MID(D25,4,12))</f>
        <v/>
      </c>
      <c r="D25" s="26" t="n"/>
      <c r="E25" s="28" t="n"/>
      <c r="F25" s="28" t="n"/>
      <c r="G25" s="29" t="n"/>
      <c r="H25" s="29" t="n"/>
      <c r="I25" s="29" t="n"/>
      <c r="J25" s="27">
        <f>IF(D25="","",IF(I25=0,"Sí","No"))</f>
        <v/>
      </c>
      <c r="K25" s="28" t="n"/>
      <c r="L25" s="30" t="n"/>
      <c r="M25" s="30" t="n"/>
      <c r="N25" s="30" t="n"/>
      <c r="O25" s="30" t="n"/>
      <c r="P25" s="30" t="n"/>
      <c r="Q25" s="30" t="n"/>
      <c r="R25" s="30" t="n"/>
      <c r="S25" s="30" t="n"/>
      <c r="T25" s="30" t="n"/>
      <c r="U25" s="30" t="n"/>
      <c r="V25" s="30" t="n"/>
      <c r="W25" s="30" t="n"/>
      <c r="X25" s="30" t="n"/>
      <c r="Y25" s="30" t="n"/>
      <c r="Z25" s="30" t="n"/>
      <c r="AA25" s="30" t="n"/>
      <c r="AB25" s="30" t="n"/>
      <c r="AC25" s="30" t="n"/>
      <c r="AD25" s="27">
        <f>IF(D25="","",IF(COUNTIF(L25:Q25,"X")&gt;0,"Sí","No"))</f>
        <v/>
      </c>
      <c r="AE25" s="26" t="n"/>
      <c r="AF25" s="26" t="n"/>
    </row>
    <row r="26">
      <c r="A26" s="25" t="n"/>
      <c r="B26" s="26" t="n"/>
      <c r="C26" s="27">
        <f>IF(D26="","","CWP"&amp;MID(D26,4,12))</f>
        <v/>
      </c>
      <c r="D26" s="26" t="n"/>
      <c r="E26" s="28" t="n"/>
      <c r="F26" s="28" t="n"/>
      <c r="G26" s="29" t="n"/>
      <c r="H26" s="29" t="n"/>
      <c r="I26" s="29" t="n"/>
      <c r="J26" s="27">
        <f>IF(D26="","",IF(I26=0,"Sí","No"))</f>
        <v/>
      </c>
      <c r="K26" s="28" t="n"/>
      <c r="L26" s="30" t="n"/>
      <c r="M26" s="30" t="n"/>
      <c r="N26" s="30" t="n"/>
      <c r="O26" s="30" t="n"/>
      <c r="P26" s="30" t="n"/>
      <c r="Q26" s="30" t="n"/>
      <c r="R26" s="30" t="n"/>
      <c r="S26" s="30" t="n"/>
      <c r="T26" s="30" t="n"/>
      <c r="U26" s="30" t="n"/>
      <c r="V26" s="30" t="n"/>
      <c r="W26" s="30" t="n"/>
      <c r="X26" s="30" t="n"/>
      <c r="Y26" s="30" t="n"/>
      <c r="Z26" s="30" t="n"/>
      <c r="AA26" s="30" t="n"/>
      <c r="AB26" s="30" t="n"/>
      <c r="AC26" s="30" t="n"/>
      <c r="AD26" s="27">
        <f>IF(D26="","",IF(COUNTIF(L26:Q26,"X")&gt;0,"Sí","No"))</f>
        <v/>
      </c>
      <c r="AE26" s="26" t="n"/>
      <c r="AF26" s="26" t="n"/>
    </row>
    <row r="27">
      <c r="A27" s="25" t="n"/>
      <c r="B27" s="26" t="n"/>
      <c r="C27" s="27">
        <f>IF(D27="","","CWP"&amp;MID(D27,4,12))</f>
        <v/>
      </c>
      <c r="D27" s="26" t="n"/>
      <c r="E27" s="28" t="n"/>
      <c r="F27" s="28" t="n"/>
      <c r="G27" s="29" t="n"/>
      <c r="H27" s="29" t="n"/>
      <c r="I27" s="29" t="n"/>
      <c r="J27" s="27">
        <f>IF(D27="","",IF(I27=0,"Sí","No"))</f>
        <v/>
      </c>
      <c r="K27" s="28" t="n"/>
      <c r="L27" s="30" t="n"/>
      <c r="M27" s="30" t="n"/>
      <c r="N27" s="30" t="n"/>
      <c r="O27" s="30" t="n"/>
      <c r="P27" s="30" t="n"/>
      <c r="Q27" s="30" t="n"/>
      <c r="R27" s="30" t="n"/>
      <c r="S27" s="30" t="n"/>
      <c r="T27" s="30" t="n"/>
      <c r="U27" s="30" t="n"/>
      <c r="V27" s="30" t="n"/>
      <c r="W27" s="30" t="n"/>
      <c r="X27" s="30" t="n"/>
      <c r="Y27" s="30" t="n"/>
      <c r="Z27" s="30" t="n"/>
      <c r="AA27" s="30" t="n"/>
      <c r="AB27" s="30" t="n"/>
      <c r="AC27" s="30" t="n"/>
      <c r="AD27" s="27">
        <f>IF(D27="","",IF(COUNTIF(L27:Q27,"X")&gt;0,"Sí","No"))</f>
        <v/>
      </c>
      <c r="AE27" s="26" t="n"/>
      <c r="AF27" s="26" t="n"/>
    </row>
    <row r="28">
      <c r="A28" s="25" t="n"/>
      <c r="B28" s="26" t="n"/>
      <c r="C28" s="27">
        <f>IF(D28="","","CWP"&amp;MID(D28,4,12))</f>
        <v/>
      </c>
      <c r="D28" s="26" t="n"/>
      <c r="E28" s="28" t="n"/>
      <c r="F28" s="28" t="n"/>
      <c r="G28" s="29" t="n"/>
      <c r="H28" s="29" t="n"/>
      <c r="I28" s="29" t="n"/>
      <c r="J28" s="27">
        <f>IF(D28="","",IF(I28=0,"Sí","No"))</f>
        <v/>
      </c>
      <c r="K28" s="28" t="n"/>
      <c r="L28" s="30" t="n"/>
      <c r="M28" s="30" t="n"/>
      <c r="N28" s="30" t="n"/>
      <c r="O28" s="30" t="n"/>
      <c r="P28" s="30" t="n"/>
      <c r="Q28" s="30" t="n"/>
      <c r="R28" s="30" t="n"/>
      <c r="S28" s="30" t="n"/>
      <c r="T28" s="30" t="n"/>
      <c r="U28" s="30" t="n"/>
      <c r="V28" s="30" t="n"/>
      <c r="W28" s="30" t="n"/>
      <c r="X28" s="30" t="n"/>
      <c r="Y28" s="30" t="n"/>
      <c r="Z28" s="30" t="n"/>
      <c r="AA28" s="30" t="n"/>
      <c r="AB28" s="30" t="n"/>
      <c r="AC28" s="30" t="n"/>
      <c r="AD28" s="27">
        <f>IF(D28="","",IF(COUNTIF(L28:Q28,"X")&gt;0,"Sí","No"))</f>
        <v/>
      </c>
      <c r="AE28" s="26" t="n"/>
      <c r="AF28" s="26" t="n"/>
    </row>
    <row r="29">
      <c r="A29" s="25" t="n"/>
      <c r="B29" s="26" t="n"/>
      <c r="C29" s="27">
        <f>IF(D29="","","CWP"&amp;MID(D29,4,12))</f>
        <v/>
      </c>
      <c r="D29" s="26" t="n"/>
      <c r="E29" s="28" t="n"/>
      <c r="F29" s="28" t="n"/>
      <c r="G29" s="29" t="n"/>
      <c r="H29" s="29" t="n"/>
      <c r="I29" s="29" t="n"/>
      <c r="J29" s="27">
        <f>IF(D29="","",IF(I29=0,"Sí","No"))</f>
        <v/>
      </c>
      <c r="K29" s="28" t="n"/>
      <c r="L29" s="30" t="n"/>
      <c r="M29" s="30" t="n"/>
      <c r="N29" s="30" t="n"/>
      <c r="O29" s="30" t="n"/>
      <c r="P29" s="30" t="n"/>
      <c r="Q29" s="30" t="n"/>
      <c r="R29" s="30" t="n"/>
      <c r="S29" s="30" t="n"/>
      <c r="T29" s="30" t="n"/>
      <c r="U29" s="30" t="n"/>
      <c r="V29" s="30" t="n"/>
      <c r="W29" s="30" t="n"/>
      <c r="X29" s="30" t="n"/>
      <c r="Y29" s="30" t="n"/>
      <c r="Z29" s="30" t="n"/>
      <c r="AA29" s="30" t="n"/>
      <c r="AB29" s="30" t="n"/>
      <c r="AC29" s="30" t="n"/>
      <c r="AD29" s="27">
        <f>IF(D29="","",IF(COUNTIF(L29:Q29,"X")&gt;0,"Sí","No"))</f>
        <v/>
      </c>
      <c r="AE29" s="26" t="n"/>
      <c r="AF29" s="26" t="n"/>
    </row>
    <row r="30">
      <c r="A30" s="25" t="n"/>
      <c r="B30" s="26" t="n"/>
      <c r="C30" s="27">
        <f>IF(D30="","","CWP"&amp;MID(D30,4,12))</f>
        <v/>
      </c>
      <c r="D30" s="26" t="n"/>
      <c r="E30" s="28" t="n"/>
      <c r="F30" s="28" t="n"/>
      <c r="G30" s="29" t="n"/>
      <c r="H30" s="29" t="n"/>
      <c r="I30" s="29" t="n"/>
      <c r="J30" s="27">
        <f>IF(D30="","",IF(I30=0,"Sí","No"))</f>
        <v/>
      </c>
      <c r="K30" s="28" t="n"/>
      <c r="L30" s="30" t="n"/>
      <c r="M30" s="30" t="n"/>
      <c r="N30" s="30" t="n"/>
      <c r="O30" s="30" t="n"/>
      <c r="P30" s="30" t="n"/>
      <c r="Q30" s="30" t="n"/>
      <c r="R30" s="30" t="n"/>
      <c r="S30" s="30" t="n"/>
      <c r="T30" s="30" t="n"/>
      <c r="U30" s="30" t="n"/>
      <c r="V30" s="30" t="n"/>
      <c r="W30" s="30" t="n"/>
      <c r="X30" s="30" t="n"/>
      <c r="Y30" s="30" t="n"/>
      <c r="Z30" s="30" t="n"/>
      <c r="AA30" s="30" t="n"/>
      <c r="AB30" s="30" t="n"/>
      <c r="AC30" s="30" t="n"/>
      <c r="AD30" s="27">
        <f>IF(D30="","",IF(COUNTIF(L30:Q30,"X")&gt;0,"Sí","No"))</f>
        <v/>
      </c>
      <c r="AE30" s="26" t="n"/>
      <c r="AF30" s="26" t="n"/>
    </row>
    <row r="31">
      <c r="A31" s="25" t="n"/>
      <c r="B31" s="26" t="n"/>
      <c r="C31" s="27">
        <f>IF(D31="","","CWP"&amp;MID(D31,4,12))</f>
        <v/>
      </c>
      <c r="D31" s="26" t="n"/>
      <c r="E31" s="28" t="n"/>
      <c r="F31" s="28" t="n"/>
      <c r="G31" s="29" t="n"/>
      <c r="H31" s="29" t="n"/>
      <c r="I31" s="29" t="n"/>
      <c r="J31" s="27">
        <f>IF(D31="","",IF(I31=0,"Sí","No"))</f>
        <v/>
      </c>
      <c r="K31" s="28" t="n"/>
      <c r="L31" s="30" t="n"/>
      <c r="M31" s="30" t="n"/>
      <c r="N31" s="30" t="n"/>
      <c r="O31" s="30" t="n"/>
      <c r="P31" s="30" t="n"/>
      <c r="Q31" s="30" t="n"/>
      <c r="R31" s="30" t="n"/>
      <c r="S31" s="30" t="n"/>
      <c r="T31" s="30" t="n"/>
      <c r="U31" s="30" t="n"/>
      <c r="V31" s="30" t="n"/>
      <c r="W31" s="30" t="n"/>
      <c r="X31" s="30" t="n"/>
      <c r="Y31" s="30" t="n"/>
      <c r="Z31" s="30" t="n"/>
      <c r="AA31" s="30" t="n"/>
      <c r="AB31" s="30" t="n"/>
      <c r="AC31" s="30" t="n"/>
      <c r="AD31" s="27">
        <f>IF(D31="","",IF(COUNTIF(L31:Q31,"X")&gt;0,"Sí","No"))</f>
        <v/>
      </c>
      <c r="AE31" s="26" t="n"/>
      <c r="AF31" s="26" t="n"/>
    </row>
    <row r="32">
      <c r="A32" s="25" t="n"/>
      <c r="B32" s="26" t="n"/>
      <c r="C32" s="27">
        <f>IF(D32="","","CWP"&amp;MID(D32,4,12))</f>
        <v/>
      </c>
      <c r="D32" s="26" t="n"/>
      <c r="E32" s="28" t="n"/>
      <c r="F32" s="28" t="n"/>
      <c r="G32" s="29" t="n"/>
      <c r="H32" s="29" t="n"/>
      <c r="I32" s="29" t="n"/>
      <c r="J32" s="27">
        <f>IF(D32="","",IF(I32=0,"Sí","No"))</f>
        <v/>
      </c>
      <c r="K32" s="28" t="n"/>
      <c r="L32" s="30" t="n"/>
      <c r="M32" s="30" t="n"/>
      <c r="N32" s="30" t="n"/>
      <c r="O32" s="30" t="n"/>
      <c r="P32" s="30" t="n"/>
      <c r="Q32" s="30" t="n"/>
      <c r="R32" s="30" t="n"/>
      <c r="S32" s="30" t="n"/>
      <c r="T32" s="30" t="n"/>
      <c r="U32" s="30" t="n"/>
      <c r="V32" s="30" t="n"/>
      <c r="W32" s="30" t="n"/>
      <c r="X32" s="30" t="n"/>
      <c r="Y32" s="30" t="n"/>
      <c r="Z32" s="30" t="n"/>
      <c r="AA32" s="30" t="n"/>
      <c r="AB32" s="30" t="n"/>
      <c r="AC32" s="30" t="n"/>
      <c r="AD32" s="27">
        <f>IF(D32="","",IF(COUNTIF(L32:Q32,"X")&gt;0,"Sí","No"))</f>
        <v/>
      </c>
      <c r="AE32" s="26" t="n"/>
      <c r="AF32" s="26" t="n"/>
    </row>
    <row r="33">
      <c r="A33" s="25" t="n"/>
      <c r="B33" s="26" t="n"/>
      <c r="C33" s="27">
        <f>IF(D33="","","CWP"&amp;MID(D33,4,12))</f>
        <v/>
      </c>
      <c r="D33" s="26" t="n"/>
      <c r="E33" s="28" t="n"/>
      <c r="F33" s="28" t="n"/>
      <c r="G33" s="29" t="n"/>
      <c r="H33" s="29" t="n"/>
      <c r="I33" s="29" t="n"/>
      <c r="J33" s="27">
        <f>IF(D33="","",IF(I33=0,"Sí","No"))</f>
        <v/>
      </c>
      <c r="K33" s="28" t="n"/>
      <c r="L33" s="30" t="n"/>
      <c r="M33" s="30" t="n"/>
      <c r="N33" s="30" t="n"/>
      <c r="O33" s="30" t="n"/>
      <c r="P33" s="30" t="n"/>
      <c r="Q33" s="30" t="n"/>
      <c r="R33" s="30" t="n"/>
      <c r="S33" s="30" t="n"/>
      <c r="T33" s="30" t="n"/>
      <c r="U33" s="30" t="n"/>
      <c r="V33" s="30" t="n"/>
      <c r="W33" s="30" t="n"/>
      <c r="X33" s="30" t="n"/>
      <c r="Y33" s="30" t="n"/>
      <c r="Z33" s="30" t="n"/>
      <c r="AA33" s="30" t="n"/>
      <c r="AB33" s="30" t="n"/>
      <c r="AC33" s="30" t="n"/>
      <c r="AD33" s="27">
        <f>IF(D33="","",IF(COUNTIF(L33:Q33,"X")&gt;0,"Sí","No"))</f>
        <v/>
      </c>
      <c r="AE33" s="26" t="n"/>
      <c r="AF33" s="26" t="n"/>
    </row>
    <row r="34">
      <c r="A34" s="25" t="n"/>
      <c r="B34" s="26" t="n"/>
      <c r="C34" s="27">
        <f>IF(D34="","","CWP"&amp;MID(D34,4,12))</f>
        <v/>
      </c>
      <c r="D34" s="26" t="n"/>
      <c r="E34" s="28" t="n"/>
      <c r="F34" s="28" t="n"/>
      <c r="G34" s="29" t="n"/>
      <c r="H34" s="29" t="n"/>
      <c r="I34" s="29" t="n"/>
      <c r="J34" s="27">
        <f>IF(D34="","",IF(I34=0,"Sí","No"))</f>
        <v/>
      </c>
      <c r="K34" s="28" t="n"/>
      <c r="L34" s="30" t="n"/>
      <c r="M34" s="30" t="n"/>
      <c r="N34" s="30" t="n"/>
      <c r="O34" s="30" t="n"/>
      <c r="P34" s="30" t="n"/>
      <c r="Q34" s="30" t="n"/>
      <c r="R34" s="30" t="n"/>
      <c r="S34" s="30" t="n"/>
      <c r="T34" s="30" t="n"/>
      <c r="U34" s="30" t="n"/>
      <c r="V34" s="30" t="n"/>
      <c r="W34" s="30" t="n"/>
      <c r="X34" s="30" t="n"/>
      <c r="Y34" s="30" t="n"/>
      <c r="Z34" s="30" t="n"/>
      <c r="AA34" s="30" t="n"/>
      <c r="AB34" s="30" t="n"/>
      <c r="AC34" s="30" t="n"/>
      <c r="AD34" s="27">
        <f>IF(D34="","",IF(COUNTIF(L34:Q34,"X")&gt;0,"Sí","No"))</f>
        <v/>
      </c>
      <c r="AE34" s="26" t="n"/>
      <c r="AF34" s="26" t="n"/>
    </row>
    <row r="35">
      <c r="A35" s="25" t="n"/>
      <c r="B35" s="26" t="n"/>
      <c r="C35" s="27">
        <f>IF(D35="","","CWP"&amp;MID(D35,4,12))</f>
        <v/>
      </c>
      <c r="D35" s="26" t="n"/>
      <c r="E35" s="28" t="n"/>
      <c r="F35" s="28" t="n"/>
      <c r="G35" s="29" t="n"/>
      <c r="H35" s="29" t="n"/>
      <c r="I35" s="29" t="n"/>
      <c r="J35" s="27">
        <f>IF(D35="","",IF(I35=0,"Sí","No"))</f>
        <v/>
      </c>
      <c r="K35" s="28" t="n"/>
      <c r="L35" s="30" t="n"/>
      <c r="M35" s="30" t="n"/>
      <c r="N35" s="30" t="n"/>
      <c r="O35" s="30" t="n"/>
      <c r="P35" s="30" t="n"/>
      <c r="Q35" s="30" t="n"/>
      <c r="R35" s="30" t="n"/>
      <c r="S35" s="30" t="n"/>
      <c r="T35" s="30" t="n"/>
      <c r="U35" s="30" t="n"/>
      <c r="V35" s="30" t="n"/>
      <c r="W35" s="30" t="n"/>
      <c r="X35" s="30" t="n"/>
      <c r="Y35" s="30" t="n"/>
      <c r="Z35" s="30" t="n"/>
      <c r="AA35" s="30" t="n"/>
      <c r="AB35" s="30" t="n"/>
      <c r="AC35" s="30" t="n"/>
      <c r="AD35" s="27">
        <f>IF(D35="","",IF(COUNTIF(L35:Q35,"X")&gt;0,"Sí","No"))</f>
        <v/>
      </c>
      <c r="AE35" s="26" t="n"/>
      <c r="AF35" s="26" t="n"/>
    </row>
    <row r="36">
      <c r="A36" s="25" t="n"/>
      <c r="B36" s="26" t="n"/>
      <c r="C36" s="27">
        <f>IF(D36="","","CWP"&amp;MID(D36,4,12))</f>
        <v/>
      </c>
      <c r="D36" s="26" t="n"/>
      <c r="E36" s="28" t="n"/>
      <c r="F36" s="28" t="n"/>
      <c r="G36" s="29" t="n"/>
      <c r="H36" s="29" t="n"/>
      <c r="I36" s="29" t="n"/>
      <c r="J36" s="27">
        <f>IF(D36="","",IF(I36=0,"Sí","No"))</f>
        <v/>
      </c>
      <c r="K36" s="28" t="n"/>
      <c r="L36" s="30" t="n"/>
      <c r="M36" s="30" t="n"/>
      <c r="N36" s="30" t="n"/>
      <c r="O36" s="30" t="n"/>
      <c r="P36" s="30" t="n"/>
      <c r="Q36" s="30" t="n"/>
      <c r="R36" s="30" t="n"/>
      <c r="S36" s="30" t="n"/>
      <c r="T36" s="30" t="n"/>
      <c r="U36" s="30" t="n"/>
      <c r="V36" s="30" t="n"/>
      <c r="W36" s="30" t="n"/>
      <c r="X36" s="30" t="n"/>
      <c r="Y36" s="30" t="n"/>
      <c r="Z36" s="30" t="n"/>
      <c r="AA36" s="30" t="n"/>
      <c r="AB36" s="30" t="n"/>
      <c r="AC36" s="30" t="n"/>
      <c r="AD36" s="27">
        <f>IF(D36="","",IF(COUNTIF(L36:Q36,"X")&gt;0,"Sí","No"))</f>
        <v/>
      </c>
      <c r="AE36" s="26" t="n"/>
      <c r="AF36" s="26" t="n"/>
    </row>
    <row r="37">
      <c r="A37" s="25" t="n"/>
      <c r="B37" s="26" t="n"/>
      <c r="C37" s="27">
        <f>IF(D37="","","CWP"&amp;MID(D37,4,12))</f>
        <v/>
      </c>
      <c r="D37" s="26" t="n"/>
      <c r="E37" s="28" t="n"/>
      <c r="F37" s="28" t="n"/>
      <c r="G37" s="29" t="n"/>
      <c r="H37" s="29" t="n"/>
      <c r="I37" s="29" t="n"/>
      <c r="J37" s="27">
        <f>IF(D37="","",IF(I37=0,"Sí","No"))</f>
        <v/>
      </c>
      <c r="K37" s="28" t="n"/>
      <c r="L37" s="30" t="n"/>
      <c r="M37" s="30" t="n"/>
      <c r="N37" s="30" t="n"/>
      <c r="O37" s="30" t="n"/>
      <c r="P37" s="30" t="n"/>
      <c r="Q37" s="30" t="n"/>
      <c r="R37" s="30" t="n"/>
      <c r="S37" s="30" t="n"/>
      <c r="T37" s="30" t="n"/>
      <c r="U37" s="30" t="n"/>
      <c r="V37" s="30" t="n"/>
      <c r="W37" s="30" t="n"/>
      <c r="X37" s="30" t="n"/>
      <c r="Y37" s="30" t="n"/>
      <c r="Z37" s="30" t="n"/>
      <c r="AA37" s="30" t="n"/>
      <c r="AB37" s="30" t="n"/>
      <c r="AC37" s="30" t="n"/>
      <c r="AD37" s="27">
        <f>IF(D37="","",IF(COUNTIF(L37:Q37,"X")&gt;0,"Sí","No"))</f>
        <v/>
      </c>
      <c r="AE37" s="26" t="n"/>
      <c r="AF37" s="26" t="n"/>
    </row>
    <row r="38">
      <c r="A38" s="25" t="n"/>
      <c r="B38" s="26" t="n"/>
      <c r="C38" s="27">
        <f>IF(D38="","","CWP"&amp;MID(D38,4,12))</f>
        <v/>
      </c>
      <c r="D38" s="26" t="n"/>
      <c r="E38" s="28" t="n"/>
      <c r="F38" s="28" t="n"/>
      <c r="G38" s="29" t="n"/>
      <c r="H38" s="29" t="n"/>
      <c r="I38" s="29" t="n"/>
      <c r="J38" s="27">
        <f>IF(D38="","",IF(I38=0,"Sí","No"))</f>
        <v/>
      </c>
      <c r="K38" s="28" t="n"/>
      <c r="L38" s="30" t="n"/>
      <c r="M38" s="30" t="n"/>
      <c r="N38" s="30" t="n"/>
      <c r="O38" s="30" t="n"/>
      <c r="P38" s="30" t="n"/>
      <c r="Q38" s="30" t="n"/>
      <c r="R38" s="30" t="n"/>
      <c r="S38" s="30" t="n"/>
      <c r="T38" s="30" t="n"/>
      <c r="U38" s="30" t="n"/>
      <c r="V38" s="30" t="n"/>
      <c r="W38" s="30" t="n"/>
      <c r="X38" s="30" t="n"/>
      <c r="Y38" s="30" t="n"/>
      <c r="Z38" s="30" t="n"/>
      <c r="AA38" s="30" t="n"/>
      <c r="AB38" s="30" t="n"/>
      <c r="AC38" s="30" t="n"/>
      <c r="AD38" s="27">
        <f>IF(D38="","",IF(COUNTIF(L38:Q38,"X")&gt;0,"Sí","No"))</f>
        <v/>
      </c>
      <c r="AE38" s="26" t="n"/>
      <c r="AF38" s="26" t="n"/>
    </row>
    <row r="39">
      <c r="A39" s="25" t="n"/>
      <c r="B39" s="26" t="n"/>
      <c r="C39" s="27">
        <f>IF(D39="","","CWP"&amp;MID(D39,4,12))</f>
        <v/>
      </c>
      <c r="D39" s="26" t="n"/>
      <c r="E39" s="28" t="n"/>
      <c r="F39" s="28" t="n"/>
      <c r="G39" s="29" t="n"/>
      <c r="H39" s="29" t="n"/>
      <c r="I39" s="29" t="n"/>
      <c r="J39" s="27">
        <f>IF(D39="","",IF(I39=0,"Sí","No"))</f>
        <v/>
      </c>
      <c r="K39" s="28" t="n"/>
      <c r="L39" s="30" t="n"/>
      <c r="M39" s="30" t="n"/>
      <c r="N39" s="30" t="n"/>
      <c r="O39" s="30" t="n"/>
      <c r="P39" s="30" t="n"/>
      <c r="Q39" s="30" t="n"/>
      <c r="R39" s="30" t="n"/>
      <c r="S39" s="30" t="n"/>
      <c r="T39" s="30" t="n"/>
      <c r="U39" s="30" t="n"/>
      <c r="V39" s="30" t="n"/>
      <c r="W39" s="30" t="n"/>
      <c r="X39" s="30" t="n"/>
      <c r="Y39" s="30" t="n"/>
      <c r="Z39" s="30" t="n"/>
      <c r="AA39" s="30" t="n"/>
      <c r="AB39" s="30" t="n"/>
      <c r="AC39" s="30" t="n"/>
      <c r="AD39" s="27">
        <f>IF(D39="","",IF(COUNTIF(L39:Q39,"X")&gt;0,"Sí","No"))</f>
        <v/>
      </c>
      <c r="AE39" s="26" t="n"/>
      <c r="AF39" s="26" t="n"/>
    </row>
    <row r="40">
      <c r="A40" s="25" t="n"/>
      <c r="B40" s="26" t="n"/>
      <c r="C40" s="27">
        <f>IF(D40="","","CWP"&amp;MID(D40,4,12))</f>
        <v/>
      </c>
      <c r="D40" s="26" t="n"/>
      <c r="E40" s="28" t="n"/>
      <c r="F40" s="28" t="n"/>
      <c r="G40" s="29" t="n"/>
      <c r="H40" s="29" t="n"/>
      <c r="I40" s="29" t="n"/>
      <c r="J40" s="27">
        <f>IF(D40="","",IF(I40=0,"Sí","No"))</f>
        <v/>
      </c>
      <c r="K40" s="28" t="n"/>
      <c r="L40" s="30" t="n"/>
      <c r="M40" s="30" t="n"/>
      <c r="N40" s="30" t="n"/>
      <c r="O40" s="30" t="n"/>
      <c r="P40" s="30" t="n"/>
      <c r="Q40" s="30" t="n"/>
      <c r="R40" s="30" t="n"/>
      <c r="S40" s="30" t="n"/>
      <c r="T40" s="30" t="n"/>
      <c r="U40" s="30" t="n"/>
      <c r="V40" s="30" t="n"/>
      <c r="W40" s="30" t="n"/>
      <c r="X40" s="30" t="n"/>
      <c r="Y40" s="30" t="n"/>
      <c r="Z40" s="30" t="n"/>
      <c r="AA40" s="30" t="n"/>
      <c r="AB40" s="30" t="n"/>
      <c r="AC40" s="30" t="n"/>
      <c r="AD40" s="27">
        <f>IF(D40="","",IF(COUNTIF(L40:Q40,"X")&gt;0,"Sí","No"))</f>
        <v/>
      </c>
      <c r="AE40" s="26" t="n"/>
      <c r="AF40" s="26" t="n"/>
    </row>
    <row r="41">
      <c r="A41" s="25" t="n"/>
      <c r="B41" s="26" t="n"/>
      <c r="C41" s="27">
        <f>IF(D41="","","CWP"&amp;MID(D41,4,12))</f>
        <v/>
      </c>
      <c r="D41" s="26" t="n"/>
      <c r="E41" s="28" t="n"/>
      <c r="F41" s="28" t="n"/>
      <c r="G41" s="29" t="n"/>
      <c r="H41" s="29" t="n"/>
      <c r="I41" s="29" t="n"/>
      <c r="J41" s="27">
        <f>IF(D41="","",IF(I41=0,"Sí","No"))</f>
        <v/>
      </c>
      <c r="K41" s="28" t="n"/>
      <c r="L41" s="30" t="n"/>
      <c r="M41" s="30" t="n"/>
      <c r="N41" s="30" t="n"/>
      <c r="O41" s="30" t="n"/>
      <c r="P41" s="30" t="n"/>
      <c r="Q41" s="30" t="n"/>
      <c r="R41" s="30" t="n"/>
      <c r="S41" s="30" t="n"/>
      <c r="T41" s="30" t="n"/>
      <c r="U41" s="30" t="n"/>
      <c r="V41" s="30" t="n"/>
      <c r="W41" s="30" t="n"/>
      <c r="X41" s="30" t="n"/>
      <c r="Y41" s="30" t="n"/>
      <c r="Z41" s="30" t="n"/>
      <c r="AA41" s="30" t="n"/>
      <c r="AB41" s="30" t="n"/>
      <c r="AC41" s="30" t="n"/>
      <c r="AD41" s="27">
        <f>IF(D41="","",IF(COUNTIF(L41:Q41,"X")&gt;0,"Sí","No"))</f>
        <v/>
      </c>
      <c r="AE41" s="26" t="n"/>
      <c r="AF41" s="26" t="n"/>
    </row>
    <row r="42">
      <c r="A42" s="25" t="n"/>
      <c r="B42" s="26" t="n"/>
      <c r="C42" s="27">
        <f>IF(D42="","","CWP"&amp;MID(D42,4,12))</f>
        <v/>
      </c>
      <c r="D42" s="26" t="n"/>
      <c r="E42" s="28" t="n"/>
      <c r="F42" s="28" t="n"/>
      <c r="G42" s="29" t="n"/>
      <c r="H42" s="29" t="n"/>
      <c r="I42" s="29" t="n"/>
      <c r="J42" s="27">
        <f>IF(D42="","",IF(I42=0,"Sí","No"))</f>
        <v/>
      </c>
      <c r="K42" s="28" t="n"/>
      <c r="L42" s="30" t="n"/>
      <c r="M42" s="30" t="n"/>
      <c r="N42" s="30" t="n"/>
      <c r="O42" s="30" t="n"/>
      <c r="P42" s="30" t="n"/>
      <c r="Q42" s="30" t="n"/>
      <c r="R42" s="30" t="n"/>
      <c r="S42" s="30" t="n"/>
      <c r="T42" s="30" t="n"/>
      <c r="U42" s="30" t="n"/>
      <c r="V42" s="30" t="n"/>
      <c r="W42" s="30" t="n"/>
      <c r="X42" s="30" t="n"/>
      <c r="Y42" s="30" t="n"/>
      <c r="Z42" s="30" t="n"/>
      <c r="AA42" s="30" t="n"/>
      <c r="AB42" s="30" t="n"/>
      <c r="AC42" s="30" t="n"/>
      <c r="AD42" s="27">
        <f>IF(D42="","",IF(COUNTIF(L42:Q42,"X")&gt;0,"Sí","No"))</f>
        <v/>
      </c>
      <c r="AE42" s="26" t="n"/>
      <c r="AF42" s="26" t="n"/>
    </row>
    <row r="43">
      <c r="A43" s="25" t="n"/>
      <c r="B43" s="26" t="n"/>
      <c r="C43" s="27">
        <f>IF(D43="","","CWP"&amp;MID(D43,4,12))</f>
        <v/>
      </c>
      <c r="D43" s="26" t="n"/>
      <c r="E43" s="28" t="n"/>
      <c r="F43" s="28" t="n"/>
      <c r="G43" s="29" t="n"/>
      <c r="H43" s="29" t="n"/>
      <c r="I43" s="29" t="n"/>
      <c r="J43" s="27">
        <f>IF(D43="","",IF(I43=0,"Sí","No"))</f>
        <v/>
      </c>
      <c r="K43" s="28" t="n"/>
      <c r="L43" s="30" t="n"/>
      <c r="M43" s="30" t="n"/>
      <c r="N43" s="30" t="n"/>
      <c r="O43" s="30" t="n"/>
      <c r="P43" s="30" t="n"/>
      <c r="Q43" s="30" t="n"/>
      <c r="R43" s="30" t="n"/>
      <c r="S43" s="30" t="n"/>
      <c r="T43" s="30" t="n"/>
      <c r="U43" s="30" t="n"/>
      <c r="V43" s="30" t="n"/>
      <c r="W43" s="30" t="n"/>
      <c r="X43" s="30" t="n"/>
      <c r="Y43" s="30" t="n"/>
      <c r="Z43" s="30" t="n"/>
      <c r="AA43" s="30" t="n"/>
      <c r="AB43" s="30" t="n"/>
      <c r="AC43" s="30" t="n"/>
      <c r="AD43" s="27">
        <f>IF(D43="","",IF(COUNTIF(L43:Q43,"X")&gt;0,"Sí","No"))</f>
        <v/>
      </c>
      <c r="AE43" s="26" t="n"/>
      <c r="AF43" s="26" t="n"/>
    </row>
    <row r="44">
      <c r="A44" s="25" t="n"/>
      <c r="B44" s="26" t="n"/>
      <c r="C44" s="27">
        <f>IF(D44="","","CWP"&amp;MID(D44,4,12))</f>
        <v/>
      </c>
      <c r="D44" s="26" t="n"/>
      <c r="E44" s="28" t="n"/>
      <c r="F44" s="28" t="n"/>
      <c r="G44" s="29" t="n"/>
      <c r="H44" s="29" t="n"/>
      <c r="I44" s="29" t="n"/>
      <c r="J44" s="27">
        <f>IF(D44="","",IF(I44=0,"Sí","No"))</f>
        <v/>
      </c>
      <c r="K44" s="28" t="n"/>
      <c r="L44" s="30" t="n"/>
      <c r="M44" s="30" t="n"/>
      <c r="N44" s="30" t="n"/>
      <c r="O44" s="30" t="n"/>
      <c r="P44" s="30" t="n"/>
      <c r="Q44" s="30" t="n"/>
      <c r="R44" s="30" t="n"/>
      <c r="S44" s="30" t="n"/>
      <c r="T44" s="30" t="n"/>
      <c r="U44" s="30" t="n"/>
      <c r="V44" s="30" t="n"/>
      <c r="W44" s="30" t="n"/>
      <c r="X44" s="30" t="n"/>
      <c r="Y44" s="30" t="n"/>
      <c r="Z44" s="30" t="n"/>
      <c r="AA44" s="30" t="n"/>
      <c r="AB44" s="30" t="n"/>
      <c r="AC44" s="30" t="n"/>
      <c r="AD44" s="27">
        <f>IF(D44="","",IF(COUNTIF(L44:Q44,"X")&gt;0,"Sí","No"))</f>
        <v/>
      </c>
      <c r="AE44" s="26" t="n"/>
      <c r="AF44" s="26" t="n"/>
    </row>
    <row r="45">
      <c r="A45" s="25" t="n"/>
      <c r="B45" s="26" t="n"/>
      <c r="C45" s="27">
        <f>IF(D45="","","CWP"&amp;MID(D45,4,12))</f>
        <v/>
      </c>
      <c r="D45" s="26" t="n"/>
      <c r="E45" s="28" t="n"/>
      <c r="F45" s="28" t="n"/>
      <c r="G45" s="29" t="n"/>
      <c r="H45" s="29" t="n"/>
      <c r="I45" s="29" t="n"/>
      <c r="J45" s="27">
        <f>IF(D45="","",IF(I45=0,"Sí","No"))</f>
        <v/>
      </c>
      <c r="K45" s="28" t="n"/>
      <c r="L45" s="30" t="n"/>
      <c r="M45" s="30" t="n"/>
      <c r="N45" s="30" t="n"/>
      <c r="O45" s="30" t="n"/>
      <c r="P45" s="30" t="n"/>
      <c r="Q45" s="30" t="n"/>
      <c r="R45" s="30" t="n"/>
      <c r="S45" s="30" t="n"/>
      <c r="T45" s="30" t="n"/>
      <c r="U45" s="30" t="n"/>
      <c r="V45" s="30" t="n"/>
      <c r="W45" s="30" t="n"/>
      <c r="X45" s="30" t="n"/>
      <c r="Y45" s="30" t="n"/>
      <c r="Z45" s="30" t="n"/>
      <c r="AA45" s="30" t="n"/>
      <c r="AB45" s="30" t="n"/>
      <c r="AC45" s="30" t="n"/>
      <c r="AD45" s="27">
        <f>IF(D45="","",IF(COUNTIF(L45:Q45,"X")&gt;0,"Sí","No"))</f>
        <v/>
      </c>
      <c r="AE45" s="26" t="n"/>
      <c r="AF45" s="26" t="n"/>
    </row>
    <row r="46">
      <c r="A46" s="25" t="n"/>
      <c r="B46" s="26" t="n"/>
      <c r="C46" s="27">
        <f>IF(D46="","","CWP"&amp;MID(D46,4,12))</f>
        <v/>
      </c>
      <c r="D46" s="26" t="n"/>
      <c r="E46" s="28" t="n"/>
      <c r="F46" s="28" t="n"/>
      <c r="G46" s="29" t="n"/>
      <c r="H46" s="29" t="n"/>
      <c r="I46" s="29" t="n"/>
      <c r="J46" s="27">
        <f>IF(D46="","",IF(I46=0,"Sí","No"))</f>
        <v/>
      </c>
      <c r="K46" s="28" t="n"/>
      <c r="L46" s="30" t="n"/>
      <c r="M46" s="30" t="n"/>
      <c r="N46" s="30" t="n"/>
      <c r="O46" s="30" t="n"/>
      <c r="P46" s="30" t="n"/>
      <c r="Q46" s="30" t="n"/>
      <c r="R46" s="30" t="n"/>
      <c r="S46" s="30" t="n"/>
      <c r="T46" s="30" t="n"/>
      <c r="U46" s="30" t="n"/>
      <c r="V46" s="30" t="n"/>
      <c r="W46" s="30" t="n"/>
      <c r="X46" s="30" t="n"/>
      <c r="Y46" s="30" t="n"/>
      <c r="Z46" s="30" t="n"/>
      <c r="AA46" s="30" t="n"/>
      <c r="AB46" s="30" t="n"/>
      <c r="AC46" s="30" t="n"/>
      <c r="AD46" s="27">
        <f>IF(D46="","",IF(COUNTIF(L46:Q46,"X")&gt;0,"Sí","No"))</f>
        <v/>
      </c>
      <c r="AE46" s="26" t="n"/>
      <c r="AF46" s="26" t="n"/>
    </row>
    <row r="47">
      <c r="A47" s="25" t="n"/>
      <c r="B47" s="26" t="n"/>
      <c r="C47" s="27">
        <f>IF(D47="","","CWP"&amp;MID(D47,4,12))</f>
        <v/>
      </c>
      <c r="D47" s="26" t="n"/>
      <c r="E47" s="28" t="n"/>
      <c r="F47" s="28" t="n"/>
      <c r="G47" s="29" t="n"/>
      <c r="H47" s="29" t="n"/>
      <c r="I47" s="29" t="n"/>
      <c r="J47" s="27">
        <f>IF(D47="","",IF(I47=0,"Sí","No"))</f>
        <v/>
      </c>
      <c r="K47" s="28" t="n"/>
      <c r="L47" s="30" t="n"/>
      <c r="M47" s="30" t="n"/>
      <c r="N47" s="30" t="n"/>
      <c r="O47" s="30" t="n"/>
      <c r="P47" s="30" t="n"/>
      <c r="Q47" s="30" t="n"/>
      <c r="R47" s="30" t="n"/>
      <c r="S47" s="30" t="n"/>
      <c r="T47" s="30" t="n"/>
      <c r="U47" s="30" t="n"/>
      <c r="V47" s="30" t="n"/>
      <c r="W47" s="30" t="n"/>
      <c r="X47" s="30" t="n"/>
      <c r="Y47" s="30" t="n"/>
      <c r="Z47" s="30" t="n"/>
      <c r="AA47" s="30" t="n"/>
      <c r="AB47" s="30" t="n"/>
      <c r="AC47" s="30" t="n"/>
      <c r="AD47" s="27">
        <f>IF(D47="","",IF(COUNTIF(L47:Q47,"X")&gt;0,"Sí","No"))</f>
        <v/>
      </c>
      <c r="AE47" s="26" t="n"/>
      <c r="AF47" s="26" t="n"/>
    </row>
    <row r="48">
      <c r="A48" s="25" t="n"/>
      <c r="B48" s="26" t="n"/>
      <c r="C48" s="27">
        <f>IF(D48="","","CWP"&amp;MID(D48,4,12))</f>
        <v/>
      </c>
      <c r="D48" s="26" t="n"/>
      <c r="E48" s="28" t="n"/>
      <c r="F48" s="28" t="n"/>
      <c r="G48" s="29" t="n"/>
      <c r="H48" s="29" t="n"/>
      <c r="I48" s="29" t="n"/>
      <c r="J48" s="27">
        <f>IF(D48="","",IF(I48=0,"Sí","No"))</f>
        <v/>
      </c>
      <c r="K48" s="28" t="n"/>
      <c r="L48" s="30" t="n"/>
      <c r="M48" s="30" t="n"/>
      <c r="N48" s="30" t="n"/>
      <c r="O48" s="30" t="n"/>
      <c r="P48" s="30" t="n"/>
      <c r="Q48" s="30" t="n"/>
      <c r="R48" s="30" t="n"/>
      <c r="S48" s="30" t="n"/>
      <c r="T48" s="30" t="n"/>
      <c r="U48" s="30" t="n"/>
      <c r="V48" s="30" t="n"/>
      <c r="W48" s="30" t="n"/>
      <c r="X48" s="30" t="n"/>
      <c r="Y48" s="30" t="n"/>
      <c r="Z48" s="30" t="n"/>
      <c r="AA48" s="30" t="n"/>
      <c r="AB48" s="30" t="n"/>
      <c r="AC48" s="30" t="n"/>
      <c r="AD48" s="27">
        <f>IF(D48="","",IF(COUNTIF(L48:Q48,"X")&gt;0,"Sí","No"))</f>
        <v/>
      </c>
      <c r="AE48" s="26" t="n"/>
      <c r="AF48" s="26" t="n"/>
    </row>
    <row r="49">
      <c r="A49" s="25" t="n"/>
      <c r="B49" s="26" t="n"/>
      <c r="C49" s="27">
        <f>IF(D49="","","CWP"&amp;MID(D49,4,12))</f>
        <v/>
      </c>
      <c r="D49" s="26" t="n"/>
      <c r="E49" s="28" t="n"/>
      <c r="F49" s="28" t="n"/>
      <c r="G49" s="29" t="n"/>
      <c r="H49" s="29" t="n"/>
      <c r="I49" s="29" t="n"/>
      <c r="J49" s="27">
        <f>IF(D49="","",IF(I49=0,"Sí","No"))</f>
        <v/>
      </c>
      <c r="K49" s="28" t="n"/>
      <c r="L49" s="30" t="n"/>
      <c r="M49" s="30" t="n"/>
      <c r="N49" s="30" t="n"/>
      <c r="O49" s="30" t="n"/>
      <c r="P49" s="30" t="n"/>
      <c r="Q49" s="30" t="n"/>
      <c r="R49" s="30" t="n"/>
      <c r="S49" s="30" t="n"/>
      <c r="T49" s="30" t="n"/>
      <c r="U49" s="30" t="n"/>
      <c r="V49" s="30" t="n"/>
      <c r="W49" s="30" t="n"/>
      <c r="X49" s="30" t="n"/>
      <c r="Y49" s="30" t="n"/>
      <c r="Z49" s="30" t="n"/>
      <c r="AA49" s="30" t="n"/>
      <c r="AB49" s="30" t="n"/>
      <c r="AC49" s="30" t="n"/>
      <c r="AD49" s="27">
        <f>IF(D49="","",IF(COUNTIF(L49:Q49,"X")&gt;0,"Sí","No"))</f>
        <v/>
      </c>
      <c r="AE49" s="26" t="n"/>
      <c r="AF49" s="26" t="n"/>
    </row>
    <row r="50">
      <c r="A50" s="25" t="n"/>
      <c r="B50" s="26" t="n"/>
      <c r="C50" s="27">
        <f>IF(D50="","","CWP"&amp;MID(D50,4,12))</f>
        <v/>
      </c>
      <c r="D50" s="26" t="n"/>
      <c r="E50" s="28" t="n"/>
      <c r="F50" s="28" t="n"/>
      <c r="G50" s="29" t="n"/>
      <c r="H50" s="29" t="n"/>
      <c r="I50" s="29" t="n"/>
      <c r="J50" s="27">
        <f>IF(D50="","",IF(I50=0,"Sí","No"))</f>
        <v/>
      </c>
      <c r="K50" s="28" t="n"/>
      <c r="L50" s="30" t="n"/>
      <c r="M50" s="30" t="n"/>
      <c r="N50" s="30" t="n"/>
      <c r="O50" s="30" t="n"/>
      <c r="P50" s="30" t="n"/>
      <c r="Q50" s="30" t="n"/>
      <c r="R50" s="30" t="n"/>
      <c r="S50" s="30" t="n"/>
      <c r="T50" s="30" t="n"/>
      <c r="U50" s="30" t="n"/>
      <c r="V50" s="30" t="n"/>
      <c r="W50" s="30" t="n"/>
      <c r="X50" s="30" t="n"/>
      <c r="Y50" s="30" t="n"/>
      <c r="Z50" s="30" t="n"/>
      <c r="AA50" s="30" t="n"/>
      <c r="AB50" s="30" t="n"/>
      <c r="AC50" s="30" t="n"/>
      <c r="AD50" s="27">
        <f>IF(D50="","",IF(COUNTIF(L50:Q50,"X")&gt;0,"Sí","No"))</f>
        <v/>
      </c>
      <c r="AE50" s="26" t="n"/>
      <c r="AF50" s="26" t="n"/>
    </row>
    <row r="51">
      <c r="A51" s="25" t="n"/>
      <c r="B51" s="26" t="n"/>
      <c r="C51" s="27">
        <f>IF(D51="","","CWP"&amp;MID(D51,4,12))</f>
        <v/>
      </c>
      <c r="D51" s="26" t="n"/>
      <c r="E51" s="28" t="n"/>
      <c r="F51" s="28" t="n"/>
      <c r="G51" s="29" t="n"/>
      <c r="H51" s="29" t="n"/>
      <c r="I51" s="29" t="n"/>
      <c r="J51" s="27">
        <f>IF(D51="","",IF(I51=0,"Sí","No"))</f>
        <v/>
      </c>
      <c r="K51" s="28" t="n"/>
      <c r="L51" s="30" t="n"/>
      <c r="M51" s="30" t="n"/>
      <c r="N51" s="30" t="n"/>
      <c r="O51" s="30" t="n"/>
      <c r="P51" s="30" t="n"/>
      <c r="Q51" s="30" t="n"/>
      <c r="R51" s="30" t="n"/>
      <c r="S51" s="30" t="n"/>
      <c r="T51" s="30" t="n"/>
      <c r="U51" s="30" t="n"/>
      <c r="V51" s="30" t="n"/>
      <c r="W51" s="30" t="n"/>
      <c r="X51" s="30" t="n"/>
      <c r="Y51" s="30" t="n"/>
      <c r="Z51" s="30" t="n"/>
      <c r="AA51" s="30" t="n"/>
      <c r="AB51" s="30" t="n"/>
      <c r="AC51" s="30" t="n"/>
      <c r="AD51" s="27">
        <f>IF(D51="","",IF(COUNTIF(L51:Q51,"X")&gt;0,"Sí","No"))</f>
        <v/>
      </c>
      <c r="AE51" s="26" t="n"/>
      <c r="AF51" s="26" t="n"/>
    </row>
    <row r="52">
      <c r="A52" s="25" t="n"/>
      <c r="B52" s="26" t="n"/>
      <c r="C52" s="27">
        <f>IF(D52="","","CWP"&amp;MID(D52,4,12))</f>
        <v/>
      </c>
      <c r="D52" s="26" t="n"/>
      <c r="E52" s="28" t="n"/>
      <c r="F52" s="28" t="n"/>
      <c r="G52" s="29" t="n"/>
      <c r="H52" s="29" t="n"/>
      <c r="I52" s="29" t="n"/>
      <c r="J52" s="27">
        <f>IF(D52="","",IF(I52=0,"Sí","No"))</f>
        <v/>
      </c>
      <c r="K52" s="28" t="n"/>
      <c r="L52" s="30" t="n"/>
      <c r="M52" s="30" t="n"/>
      <c r="N52" s="30" t="n"/>
      <c r="O52" s="30" t="n"/>
      <c r="P52" s="30" t="n"/>
      <c r="Q52" s="30" t="n"/>
      <c r="R52" s="30" t="n"/>
      <c r="S52" s="30" t="n"/>
      <c r="T52" s="30" t="n"/>
      <c r="U52" s="30" t="n"/>
      <c r="V52" s="30" t="n"/>
      <c r="W52" s="30" t="n"/>
      <c r="X52" s="30" t="n"/>
      <c r="Y52" s="30" t="n"/>
      <c r="Z52" s="30" t="n"/>
      <c r="AA52" s="30" t="n"/>
      <c r="AB52" s="30" t="n"/>
      <c r="AC52" s="30" t="n"/>
      <c r="AD52" s="27">
        <f>IF(D52="","",IF(COUNTIF(L52:Q52,"X")&gt;0,"Sí","No"))</f>
        <v/>
      </c>
      <c r="AE52" s="26" t="n"/>
      <c r="AF52" s="26" t="n"/>
    </row>
    <row r="53">
      <c r="A53" s="25" t="n"/>
      <c r="B53" s="26" t="n"/>
      <c r="C53" s="27">
        <f>IF(D53="","","CWP"&amp;MID(D53,4,12))</f>
        <v/>
      </c>
      <c r="D53" s="26" t="n"/>
      <c r="E53" s="28" t="n"/>
      <c r="F53" s="28" t="n"/>
      <c r="G53" s="29" t="n"/>
      <c r="H53" s="29" t="n"/>
      <c r="I53" s="29" t="n"/>
      <c r="J53" s="27">
        <f>IF(D53="","",IF(I53=0,"Sí","No"))</f>
        <v/>
      </c>
      <c r="K53" s="28" t="n"/>
      <c r="L53" s="30" t="n"/>
      <c r="M53" s="30" t="n"/>
      <c r="N53" s="30" t="n"/>
      <c r="O53" s="30" t="n"/>
      <c r="P53" s="30" t="n"/>
      <c r="Q53" s="30" t="n"/>
      <c r="R53" s="30" t="n"/>
      <c r="S53" s="30" t="n"/>
      <c r="T53" s="30" t="n"/>
      <c r="U53" s="30" t="n"/>
      <c r="V53" s="30" t="n"/>
      <c r="W53" s="30" t="n"/>
      <c r="X53" s="30" t="n"/>
      <c r="Y53" s="30" t="n"/>
      <c r="Z53" s="30" t="n"/>
      <c r="AA53" s="30" t="n"/>
      <c r="AB53" s="30" t="n"/>
      <c r="AC53" s="30" t="n"/>
      <c r="AD53" s="27">
        <f>IF(D53="","",IF(COUNTIF(L53:Q53,"X")&gt;0,"Sí","No"))</f>
        <v/>
      </c>
      <c r="AE53" s="26" t="n"/>
      <c r="AF53" s="26" t="n"/>
    </row>
    <row r="54">
      <c r="A54" s="25" t="n"/>
      <c r="B54" s="26" t="n"/>
      <c r="C54" s="27">
        <f>IF(D54="","","CWP"&amp;MID(D54,4,12))</f>
        <v/>
      </c>
      <c r="D54" s="26" t="n"/>
      <c r="E54" s="28" t="n"/>
      <c r="F54" s="28" t="n"/>
      <c r="G54" s="29" t="n"/>
      <c r="H54" s="29" t="n"/>
      <c r="I54" s="29" t="n"/>
      <c r="J54" s="27">
        <f>IF(D54="","",IF(I54=0,"Sí","No"))</f>
        <v/>
      </c>
      <c r="K54" s="28" t="n"/>
      <c r="L54" s="30" t="n"/>
      <c r="M54" s="30" t="n"/>
      <c r="N54" s="30" t="n"/>
      <c r="O54" s="30" t="n"/>
      <c r="P54" s="30" t="n"/>
      <c r="Q54" s="30" t="n"/>
      <c r="R54" s="30" t="n"/>
      <c r="S54" s="30" t="n"/>
      <c r="T54" s="30" t="n"/>
      <c r="U54" s="30" t="n"/>
      <c r="V54" s="30" t="n"/>
      <c r="W54" s="30" t="n"/>
      <c r="X54" s="30" t="n"/>
      <c r="Y54" s="30" t="n"/>
      <c r="Z54" s="30" t="n"/>
      <c r="AA54" s="30" t="n"/>
      <c r="AB54" s="30" t="n"/>
      <c r="AC54" s="30" t="n"/>
      <c r="AD54" s="27">
        <f>IF(D54="","",IF(COUNTIF(L54:Q54,"X")&gt;0,"Sí","No"))</f>
        <v/>
      </c>
      <c r="AE54" s="26" t="n"/>
      <c r="AF54" s="26" t="n"/>
    </row>
    <row r="55">
      <c r="A55" s="25" t="n"/>
      <c r="B55" s="26" t="n"/>
      <c r="C55" s="27">
        <f>IF(D55="","","CWP"&amp;MID(D55,4,12))</f>
        <v/>
      </c>
      <c r="D55" s="26" t="n"/>
      <c r="E55" s="28" t="n"/>
      <c r="F55" s="28" t="n"/>
      <c r="G55" s="29" t="n"/>
      <c r="H55" s="29" t="n"/>
      <c r="I55" s="29" t="n"/>
      <c r="J55" s="27">
        <f>IF(D55="","",IF(I55=0,"Sí","No"))</f>
        <v/>
      </c>
      <c r="K55" s="28" t="n"/>
      <c r="L55" s="30" t="n"/>
      <c r="M55" s="30" t="n"/>
      <c r="N55" s="30" t="n"/>
      <c r="O55" s="30" t="n"/>
      <c r="P55" s="30" t="n"/>
      <c r="Q55" s="30" t="n"/>
      <c r="R55" s="30" t="n"/>
      <c r="S55" s="30" t="n"/>
      <c r="T55" s="30" t="n"/>
      <c r="U55" s="30" t="n"/>
      <c r="V55" s="30" t="n"/>
      <c r="W55" s="30" t="n"/>
      <c r="X55" s="30" t="n"/>
      <c r="Y55" s="30" t="n"/>
      <c r="Z55" s="30" t="n"/>
      <c r="AA55" s="30" t="n"/>
      <c r="AB55" s="30" t="n"/>
      <c r="AC55" s="30" t="n"/>
      <c r="AD55" s="27">
        <f>IF(D55="","",IF(COUNTIF(L55:Q55,"X")&gt;0,"Sí","No"))</f>
        <v/>
      </c>
      <c r="AE55" s="26" t="n"/>
      <c r="AF55" s="26" t="n"/>
    </row>
    <row r="56">
      <c r="A56" s="25" t="n"/>
      <c r="B56" s="26" t="n"/>
      <c r="C56" s="27">
        <f>IF(D56="","","CWP"&amp;MID(D56,4,12))</f>
        <v/>
      </c>
      <c r="D56" s="26" t="n"/>
      <c r="E56" s="28" t="n"/>
      <c r="F56" s="28" t="n"/>
      <c r="G56" s="29" t="n"/>
      <c r="H56" s="29" t="n"/>
      <c r="I56" s="29" t="n"/>
      <c r="J56" s="27">
        <f>IF(D56="","",IF(I56=0,"Sí","No"))</f>
        <v/>
      </c>
      <c r="K56" s="28" t="n"/>
      <c r="L56" s="30" t="n"/>
      <c r="M56" s="30" t="n"/>
      <c r="N56" s="30" t="n"/>
      <c r="O56" s="30" t="n"/>
      <c r="P56" s="30" t="n"/>
      <c r="Q56" s="30" t="n"/>
      <c r="R56" s="30" t="n"/>
      <c r="S56" s="30" t="n"/>
      <c r="T56" s="30" t="n"/>
      <c r="U56" s="30" t="n"/>
      <c r="V56" s="30" t="n"/>
      <c r="W56" s="30" t="n"/>
      <c r="X56" s="30" t="n"/>
      <c r="Y56" s="30" t="n"/>
      <c r="Z56" s="30" t="n"/>
      <c r="AA56" s="30" t="n"/>
      <c r="AB56" s="30" t="n"/>
      <c r="AC56" s="30" t="n"/>
      <c r="AD56" s="27">
        <f>IF(D56="","",IF(COUNTIF(L56:Q56,"X")&gt;0,"Sí","No"))</f>
        <v/>
      </c>
      <c r="AE56" s="26" t="n"/>
      <c r="AF56" s="26" t="n"/>
    </row>
    <row r="57">
      <c r="A57" s="25" t="n"/>
      <c r="B57" s="26" t="n"/>
      <c r="C57" s="27">
        <f>IF(D57="","","CWP"&amp;MID(D57,4,12))</f>
        <v/>
      </c>
      <c r="D57" s="26" t="n"/>
      <c r="E57" s="28" t="n"/>
      <c r="F57" s="28" t="n"/>
      <c r="G57" s="29" t="n"/>
      <c r="H57" s="29" t="n"/>
      <c r="I57" s="29" t="n"/>
      <c r="J57" s="27">
        <f>IF(D57="","",IF(I57=0,"Sí","No"))</f>
        <v/>
      </c>
      <c r="K57" s="28" t="n"/>
      <c r="L57" s="30" t="n"/>
      <c r="M57" s="30" t="n"/>
      <c r="N57" s="30" t="n"/>
      <c r="O57" s="30" t="n"/>
      <c r="P57" s="30" t="n"/>
      <c r="Q57" s="30" t="n"/>
      <c r="R57" s="30" t="n"/>
      <c r="S57" s="30" t="n"/>
      <c r="T57" s="30" t="n"/>
      <c r="U57" s="30" t="n"/>
      <c r="V57" s="30" t="n"/>
      <c r="W57" s="30" t="n"/>
      <c r="X57" s="30" t="n"/>
      <c r="Y57" s="30" t="n"/>
      <c r="Z57" s="30" t="n"/>
      <c r="AA57" s="30" t="n"/>
      <c r="AB57" s="30" t="n"/>
      <c r="AC57" s="30" t="n"/>
      <c r="AD57" s="27">
        <f>IF(D57="","",IF(COUNTIF(L57:Q57,"X")&gt;0,"Sí","No"))</f>
        <v/>
      </c>
      <c r="AE57" s="26" t="n"/>
      <c r="AF57" s="26" t="n"/>
    </row>
    <row r="58">
      <c r="A58" s="25" t="n"/>
      <c r="B58" s="26" t="n"/>
      <c r="C58" s="27">
        <f>IF(D58="","","CWP"&amp;MID(D58,4,12))</f>
        <v/>
      </c>
      <c r="D58" s="26" t="n"/>
      <c r="E58" s="28" t="n"/>
      <c r="F58" s="28" t="n"/>
      <c r="G58" s="29" t="n"/>
      <c r="H58" s="29" t="n"/>
      <c r="I58" s="29" t="n"/>
      <c r="J58" s="27">
        <f>IF(D58="","",IF(I58=0,"Sí","No"))</f>
        <v/>
      </c>
      <c r="K58" s="28" t="n"/>
      <c r="L58" s="30" t="n"/>
      <c r="M58" s="30" t="n"/>
      <c r="N58" s="30" t="n"/>
      <c r="O58" s="30" t="n"/>
      <c r="P58" s="30" t="n"/>
      <c r="Q58" s="30" t="n"/>
      <c r="R58" s="30" t="n"/>
      <c r="S58" s="30" t="n"/>
      <c r="T58" s="30" t="n"/>
      <c r="U58" s="30" t="n"/>
      <c r="V58" s="30" t="n"/>
      <c r="W58" s="30" t="n"/>
      <c r="X58" s="30" t="n"/>
      <c r="Y58" s="30" t="n"/>
      <c r="Z58" s="30" t="n"/>
      <c r="AA58" s="30" t="n"/>
      <c r="AB58" s="30" t="n"/>
      <c r="AC58" s="30" t="n"/>
      <c r="AD58" s="27">
        <f>IF(D58="","",IF(COUNTIF(L58:Q58,"X")&gt;0,"Sí","No"))</f>
        <v/>
      </c>
      <c r="AE58" s="26" t="n"/>
      <c r="AF58" s="26" t="n"/>
    </row>
    <row r="59">
      <c r="A59" s="25" t="n"/>
      <c r="B59" s="26" t="n"/>
      <c r="C59" s="27">
        <f>IF(D59="","","CWP"&amp;MID(D59,4,12))</f>
        <v/>
      </c>
      <c r="D59" s="26" t="n"/>
      <c r="E59" s="28" t="n"/>
      <c r="F59" s="28" t="n"/>
      <c r="G59" s="29" t="n"/>
      <c r="H59" s="29" t="n"/>
      <c r="I59" s="29" t="n"/>
      <c r="J59" s="27">
        <f>IF(D59="","",IF(I59=0,"Sí","No"))</f>
        <v/>
      </c>
      <c r="K59" s="28" t="n"/>
      <c r="L59" s="30" t="n"/>
      <c r="M59" s="30" t="n"/>
      <c r="N59" s="30" t="n"/>
      <c r="O59" s="30" t="n"/>
      <c r="P59" s="30" t="n"/>
      <c r="Q59" s="30" t="n"/>
      <c r="R59" s="30" t="n"/>
      <c r="S59" s="30" t="n"/>
      <c r="T59" s="30" t="n"/>
      <c r="U59" s="30" t="n"/>
      <c r="V59" s="30" t="n"/>
      <c r="W59" s="30" t="n"/>
      <c r="X59" s="30" t="n"/>
      <c r="Y59" s="30" t="n"/>
      <c r="Z59" s="30" t="n"/>
      <c r="AA59" s="30" t="n"/>
      <c r="AB59" s="30" t="n"/>
      <c r="AC59" s="30" t="n"/>
      <c r="AD59" s="27">
        <f>IF(D59="","",IF(COUNTIF(L59:Q59,"X")&gt;0,"Sí","No"))</f>
        <v/>
      </c>
      <c r="AE59" s="26" t="n"/>
      <c r="AF59" s="26" t="n"/>
    </row>
    <row r="60">
      <c r="A60" s="25" t="n"/>
      <c r="B60" s="26" t="n"/>
      <c r="C60" s="27">
        <f>IF(D60="","","CWP"&amp;MID(D60,4,12))</f>
        <v/>
      </c>
      <c r="D60" s="26" t="n"/>
      <c r="E60" s="28" t="n"/>
      <c r="F60" s="28" t="n"/>
      <c r="G60" s="29" t="n"/>
      <c r="H60" s="29" t="n"/>
      <c r="I60" s="29" t="n"/>
      <c r="J60" s="27">
        <f>IF(D60="","",IF(I60=0,"Sí","No"))</f>
        <v/>
      </c>
      <c r="K60" s="28" t="n"/>
      <c r="L60" s="30" t="n"/>
      <c r="M60" s="30" t="n"/>
      <c r="N60" s="30" t="n"/>
      <c r="O60" s="30" t="n"/>
      <c r="P60" s="30" t="n"/>
      <c r="Q60" s="30" t="n"/>
      <c r="R60" s="30" t="n"/>
      <c r="S60" s="30" t="n"/>
      <c r="T60" s="30" t="n"/>
      <c r="U60" s="30" t="n"/>
      <c r="V60" s="30" t="n"/>
      <c r="W60" s="30" t="n"/>
      <c r="X60" s="30" t="n"/>
      <c r="Y60" s="30" t="n"/>
      <c r="Z60" s="30" t="n"/>
      <c r="AA60" s="30" t="n"/>
      <c r="AB60" s="30" t="n"/>
      <c r="AC60" s="30" t="n"/>
      <c r="AD60" s="27">
        <f>IF(D60="","",IF(COUNTIF(L60:Q60,"X")&gt;0,"Sí","No"))</f>
        <v/>
      </c>
      <c r="AE60" s="26" t="n"/>
      <c r="AF60" s="26" t="n"/>
    </row>
    <row r="61">
      <c r="A61" s="25" t="n"/>
      <c r="B61" s="26" t="n"/>
      <c r="C61" s="27">
        <f>IF(D61="","","CWP"&amp;MID(D61,4,12))</f>
        <v/>
      </c>
      <c r="D61" s="26" t="n"/>
      <c r="E61" s="28" t="n"/>
      <c r="F61" s="28" t="n"/>
      <c r="G61" s="29" t="n"/>
      <c r="H61" s="29" t="n"/>
      <c r="I61" s="29" t="n"/>
      <c r="J61" s="27">
        <f>IF(D61="","",IF(I61=0,"Sí","No"))</f>
        <v/>
      </c>
      <c r="K61" s="28" t="n"/>
      <c r="L61" s="30" t="n"/>
      <c r="M61" s="30" t="n"/>
      <c r="N61" s="30" t="n"/>
      <c r="O61" s="30" t="n"/>
      <c r="P61" s="30" t="n"/>
      <c r="Q61" s="30" t="n"/>
      <c r="R61" s="30" t="n"/>
      <c r="S61" s="30" t="n"/>
      <c r="T61" s="30" t="n"/>
      <c r="U61" s="30" t="n"/>
      <c r="V61" s="30" t="n"/>
      <c r="W61" s="30" t="n"/>
      <c r="X61" s="30" t="n"/>
      <c r="Y61" s="30" t="n"/>
      <c r="Z61" s="30" t="n"/>
      <c r="AA61" s="30" t="n"/>
      <c r="AB61" s="30" t="n"/>
      <c r="AC61" s="30" t="n"/>
      <c r="AD61" s="27">
        <f>IF(D61="","",IF(COUNTIF(L61:Q61,"X")&gt;0,"Sí","No"))</f>
        <v/>
      </c>
      <c r="AE61" s="26" t="n"/>
      <c r="AF61" s="26" t="n"/>
    </row>
    <row r="62">
      <c r="A62" s="25" t="n"/>
      <c r="B62" s="26" t="n"/>
      <c r="C62" s="27">
        <f>IF(D62="","","CWP"&amp;MID(D62,4,12))</f>
        <v/>
      </c>
      <c r="D62" s="26" t="n"/>
      <c r="E62" s="28" t="n"/>
      <c r="F62" s="28" t="n"/>
      <c r="G62" s="29" t="n"/>
      <c r="H62" s="29" t="n"/>
      <c r="I62" s="29" t="n"/>
      <c r="J62" s="27">
        <f>IF(D62="","",IF(I62=0,"Sí","No"))</f>
        <v/>
      </c>
      <c r="K62" s="28" t="n"/>
      <c r="L62" s="30" t="n"/>
      <c r="M62" s="30" t="n"/>
      <c r="N62" s="30" t="n"/>
      <c r="O62" s="30" t="n"/>
      <c r="P62" s="30" t="n"/>
      <c r="Q62" s="30" t="n"/>
      <c r="R62" s="30" t="n"/>
      <c r="S62" s="30" t="n"/>
      <c r="T62" s="30" t="n"/>
      <c r="U62" s="30" t="n"/>
      <c r="V62" s="30" t="n"/>
      <c r="W62" s="30" t="n"/>
      <c r="X62" s="30" t="n"/>
      <c r="Y62" s="30" t="n"/>
      <c r="Z62" s="30" t="n"/>
      <c r="AA62" s="30" t="n"/>
      <c r="AB62" s="30" t="n"/>
      <c r="AC62" s="30" t="n"/>
      <c r="AD62" s="27">
        <f>IF(D62="","",IF(COUNTIF(L62:Q62,"X")&gt;0,"Sí","No"))</f>
        <v/>
      </c>
      <c r="AE62" s="26" t="n"/>
      <c r="AF62" s="26" t="n"/>
    </row>
    <row r="63">
      <c r="A63" s="25" t="n"/>
      <c r="B63" s="26" t="n"/>
      <c r="C63" s="27">
        <f>IF(D63="","","CWP"&amp;MID(D63,4,12))</f>
        <v/>
      </c>
      <c r="D63" s="26" t="n"/>
      <c r="E63" s="28" t="n"/>
      <c r="F63" s="28" t="n"/>
      <c r="G63" s="29" t="n"/>
      <c r="H63" s="29" t="n"/>
      <c r="I63" s="29" t="n"/>
      <c r="J63" s="27">
        <f>IF(D63="","",IF(I63=0,"Sí","No"))</f>
        <v/>
      </c>
      <c r="K63" s="28" t="n"/>
      <c r="L63" s="30" t="n"/>
      <c r="M63" s="30" t="n"/>
      <c r="N63" s="30" t="n"/>
      <c r="O63" s="30" t="n"/>
      <c r="P63" s="30" t="n"/>
      <c r="Q63" s="30" t="n"/>
      <c r="R63" s="30" t="n"/>
      <c r="S63" s="30" t="n"/>
      <c r="T63" s="30" t="n"/>
      <c r="U63" s="30" t="n"/>
      <c r="V63" s="30" t="n"/>
      <c r="W63" s="30" t="n"/>
      <c r="X63" s="30" t="n"/>
      <c r="Y63" s="30" t="n"/>
      <c r="Z63" s="30" t="n"/>
      <c r="AA63" s="30" t="n"/>
      <c r="AB63" s="30" t="n"/>
      <c r="AC63" s="30" t="n"/>
      <c r="AD63" s="27">
        <f>IF(D63="","",IF(COUNTIF(L63:Q63,"X")&gt;0,"Sí","No"))</f>
        <v/>
      </c>
      <c r="AE63" s="26" t="n"/>
      <c r="AF63" s="26" t="n"/>
    </row>
    <row r="64">
      <c r="A64" s="25" t="n"/>
      <c r="B64" s="26" t="n"/>
      <c r="C64" s="27">
        <f>IF(D64="","","CWP"&amp;MID(D64,4,12))</f>
        <v/>
      </c>
      <c r="D64" s="26" t="n"/>
      <c r="E64" s="28" t="n"/>
      <c r="F64" s="28" t="n"/>
      <c r="G64" s="29" t="n"/>
      <c r="H64" s="29" t="n"/>
      <c r="I64" s="29" t="n"/>
      <c r="J64" s="27">
        <f>IF(D64="","",IF(I64=0,"Sí","No"))</f>
        <v/>
      </c>
      <c r="K64" s="28" t="n"/>
      <c r="L64" s="30" t="n"/>
      <c r="M64" s="30" t="n"/>
      <c r="N64" s="30" t="n"/>
      <c r="O64" s="30" t="n"/>
      <c r="P64" s="30" t="n"/>
      <c r="Q64" s="30" t="n"/>
      <c r="R64" s="30" t="n"/>
      <c r="S64" s="30" t="n"/>
      <c r="T64" s="30" t="n"/>
      <c r="U64" s="30" t="n"/>
      <c r="V64" s="30" t="n"/>
      <c r="W64" s="30" t="n"/>
      <c r="X64" s="30" t="n"/>
      <c r="Y64" s="30" t="n"/>
      <c r="Z64" s="30" t="n"/>
      <c r="AA64" s="30" t="n"/>
      <c r="AB64" s="30" t="n"/>
      <c r="AC64" s="30" t="n"/>
      <c r="AD64" s="27">
        <f>IF(D64="","",IF(COUNTIF(L64:Q64,"X")&gt;0,"Sí","No"))</f>
        <v/>
      </c>
      <c r="AE64" s="26" t="n"/>
      <c r="AF64" s="26" t="n"/>
    </row>
    <row r="65">
      <c r="A65" s="25" t="n"/>
      <c r="B65" s="26" t="n"/>
      <c r="C65" s="27">
        <f>IF(D65="","","CWP"&amp;MID(D65,4,12))</f>
        <v/>
      </c>
      <c r="D65" s="26" t="n"/>
      <c r="E65" s="28" t="n"/>
      <c r="F65" s="28" t="n"/>
      <c r="G65" s="29" t="n"/>
      <c r="H65" s="29" t="n"/>
      <c r="I65" s="29" t="n"/>
      <c r="J65" s="27">
        <f>IF(D65="","",IF(I65=0,"Sí","No"))</f>
        <v/>
      </c>
      <c r="K65" s="28" t="n"/>
      <c r="L65" s="30" t="n"/>
      <c r="M65" s="30" t="n"/>
      <c r="N65" s="30" t="n"/>
      <c r="O65" s="30" t="n"/>
      <c r="P65" s="30" t="n"/>
      <c r="Q65" s="30" t="n"/>
      <c r="R65" s="30" t="n"/>
      <c r="S65" s="30" t="n"/>
      <c r="T65" s="30" t="n"/>
      <c r="U65" s="30" t="n"/>
      <c r="V65" s="30" t="n"/>
      <c r="W65" s="30" t="n"/>
      <c r="X65" s="30" t="n"/>
      <c r="Y65" s="30" t="n"/>
      <c r="Z65" s="30" t="n"/>
      <c r="AA65" s="30" t="n"/>
      <c r="AB65" s="30" t="n"/>
      <c r="AC65" s="30" t="n"/>
      <c r="AD65" s="27">
        <f>IF(D65="","",IF(COUNTIF(L65:Q65,"X")&gt;0,"Sí","No"))</f>
        <v/>
      </c>
      <c r="AE65" s="26" t="n"/>
      <c r="AF65" s="26" t="n"/>
    </row>
    <row r="66">
      <c r="A66" s="25" t="n"/>
      <c r="B66" s="26" t="n"/>
      <c r="C66" s="27">
        <f>IF(D66="","","CWP"&amp;MID(D66,4,12))</f>
        <v/>
      </c>
      <c r="D66" s="26" t="n"/>
      <c r="E66" s="28" t="n"/>
      <c r="F66" s="28" t="n"/>
      <c r="G66" s="29" t="n"/>
      <c r="H66" s="29" t="n"/>
      <c r="I66" s="29" t="n"/>
      <c r="J66" s="27">
        <f>IF(D66="","",IF(I66=0,"Sí","No"))</f>
        <v/>
      </c>
      <c r="K66" s="28" t="n"/>
      <c r="L66" s="30" t="n"/>
      <c r="M66" s="30" t="n"/>
      <c r="N66" s="30" t="n"/>
      <c r="O66" s="30" t="n"/>
      <c r="P66" s="30" t="n"/>
      <c r="Q66" s="30" t="n"/>
      <c r="R66" s="30" t="n"/>
      <c r="S66" s="30" t="n"/>
      <c r="T66" s="30" t="n"/>
      <c r="U66" s="30" t="n"/>
      <c r="V66" s="30" t="n"/>
      <c r="W66" s="30" t="n"/>
      <c r="X66" s="30" t="n"/>
      <c r="Y66" s="30" t="n"/>
      <c r="Z66" s="30" t="n"/>
      <c r="AA66" s="30" t="n"/>
      <c r="AB66" s="30" t="n"/>
      <c r="AC66" s="30" t="n"/>
      <c r="AD66" s="27">
        <f>IF(D66="","",IF(COUNTIF(L66:Q66,"X")&gt;0,"Sí","No"))</f>
        <v/>
      </c>
      <c r="AE66" s="26" t="n"/>
      <c r="AF66" s="26" t="n"/>
    </row>
    <row r="67">
      <c r="A67" s="25" t="n"/>
      <c r="B67" s="26" t="n"/>
      <c r="C67" s="27">
        <f>IF(D67="","","CWP"&amp;MID(D67,4,12))</f>
        <v/>
      </c>
      <c r="D67" s="26" t="n"/>
      <c r="E67" s="28" t="n"/>
      <c r="F67" s="28" t="n"/>
      <c r="G67" s="29" t="n"/>
      <c r="H67" s="29" t="n"/>
      <c r="I67" s="29" t="n"/>
      <c r="J67" s="27">
        <f>IF(D67="","",IF(I67=0,"Sí","No"))</f>
        <v/>
      </c>
      <c r="K67" s="28" t="n"/>
      <c r="L67" s="30" t="n"/>
      <c r="M67" s="30" t="n"/>
      <c r="N67" s="30" t="n"/>
      <c r="O67" s="30" t="n"/>
      <c r="P67" s="30" t="n"/>
      <c r="Q67" s="30" t="n"/>
      <c r="R67" s="30" t="n"/>
      <c r="S67" s="30" t="n"/>
      <c r="T67" s="30" t="n"/>
      <c r="U67" s="30" t="n"/>
      <c r="V67" s="30" t="n"/>
      <c r="W67" s="30" t="n"/>
      <c r="X67" s="30" t="n"/>
      <c r="Y67" s="30" t="n"/>
      <c r="Z67" s="30" t="n"/>
      <c r="AA67" s="30" t="n"/>
      <c r="AB67" s="30" t="n"/>
      <c r="AC67" s="30" t="n"/>
      <c r="AD67" s="27">
        <f>IF(D67="","",IF(COUNTIF(L67:Q67,"X")&gt;0,"Sí","No"))</f>
        <v/>
      </c>
      <c r="AE67" s="26" t="n"/>
      <c r="AF67" s="26" t="n"/>
    </row>
    <row r="68">
      <c r="A68" s="25" t="n"/>
      <c r="B68" s="26" t="n"/>
      <c r="C68" s="27">
        <f>IF(D68="","","CWP"&amp;MID(D68,4,12))</f>
        <v/>
      </c>
      <c r="D68" s="26" t="n"/>
      <c r="E68" s="28" t="n"/>
      <c r="F68" s="28" t="n"/>
      <c r="G68" s="29" t="n"/>
      <c r="H68" s="29" t="n"/>
      <c r="I68" s="29" t="n"/>
      <c r="J68" s="27">
        <f>IF(D68="","",IF(I68=0,"Sí","No"))</f>
        <v/>
      </c>
      <c r="K68" s="28" t="n"/>
      <c r="L68" s="30" t="n"/>
      <c r="M68" s="30" t="n"/>
      <c r="N68" s="30" t="n"/>
      <c r="O68" s="30" t="n"/>
      <c r="P68" s="30" t="n"/>
      <c r="Q68" s="30" t="n"/>
      <c r="R68" s="30" t="n"/>
      <c r="S68" s="30" t="n"/>
      <c r="T68" s="30" t="n"/>
      <c r="U68" s="30" t="n"/>
      <c r="V68" s="30" t="n"/>
      <c r="W68" s="30" t="n"/>
      <c r="X68" s="30" t="n"/>
      <c r="Y68" s="30" t="n"/>
      <c r="Z68" s="30" t="n"/>
      <c r="AA68" s="30" t="n"/>
      <c r="AB68" s="30" t="n"/>
      <c r="AC68" s="30" t="n"/>
      <c r="AD68" s="27">
        <f>IF(D68="","",IF(COUNTIF(L68:Q68,"X")&gt;0,"Sí","No"))</f>
        <v/>
      </c>
      <c r="AE68" s="26" t="n"/>
      <c r="AF68" s="26" t="n"/>
    </row>
    <row r="69">
      <c r="A69" s="25" t="n"/>
      <c r="B69" s="26" t="n"/>
      <c r="C69" s="27">
        <f>IF(D69="","","CWP"&amp;MID(D69,4,12))</f>
        <v/>
      </c>
      <c r="D69" s="26" t="n"/>
      <c r="E69" s="28" t="n"/>
      <c r="F69" s="28" t="n"/>
      <c r="G69" s="29" t="n"/>
      <c r="H69" s="29" t="n"/>
      <c r="I69" s="29" t="n"/>
      <c r="J69" s="27">
        <f>IF(D69="","",IF(I69=0,"Sí","No"))</f>
        <v/>
      </c>
      <c r="K69" s="28" t="n"/>
      <c r="L69" s="30" t="n"/>
      <c r="M69" s="30" t="n"/>
      <c r="N69" s="30" t="n"/>
      <c r="O69" s="30" t="n"/>
      <c r="P69" s="30" t="n"/>
      <c r="Q69" s="30" t="n"/>
      <c r="R69" s="30" t="n"/>
      <c r="S69" s="30" t="n"/>
      <c r="T69" s="30" t="n"/>
      <c r="U69" s="30" t="n"/>
      <c r="V69" s="30" t="n"/>
      <c r="W69" s="30" t="n"/>
      <c r="X69" s="30" t="n"/>
      <c r="Y69" s="30" t="n"/>
      <c r="Z69" s="30" t="n"/>
      <c r="AA69" s="30" t="n"/>
      <c r="AB69" s="30" t="n"/>
      <c r="AC69" s="30" t="n"/>
      <c r="AD69" s="27">
        <f>IF(D69="","",IF(COUNTIF(L69:Q69,"X")&gt;0,"Sí","No"))</f>
        <v/>
      </c>
      <c r="AE69" s="26" t="n"/>
      <c r="AF69" s="26" t="n"/>
    </row>
    <row r="70">
      <c r="A70" s="25" t="n"/>
      <c r="B70" s="26" t="n"/>
      <c r="C70" s="27">
        <f>IF(D70="","","CWP"&amp;MID(D70,4,12))</f>
        <v/>
      </c>
      <c r="D70" s="26" t="n"/>
      <c r="E70" s="28" t="n"/>
      <c r="F70" s="28" t="n"/>
      <c r="G70" s="29" t="n"/>
      <c r="H70" s="29" t="n"/>
      <c r="I70" s="29" t="n"/>
      <c r="J70" s="27">
        <f>IF(D70="","",IF(I70=0,"Sí","No"))</f>
        <v/>
      </c>
      <c r="K70" s="28" t="n"/>
      <c r="L70" s="30" t="n"/>
      <c r="M70" s="30" t="n"/>
      <c r="N70" s="30" t="n"/>
      <c r="O70" s="30" t="n"/>
      <c r="P70" s="30" t="n"/>
      <c r="Q70" s="30" t="n"/>
      <c r="R70" s="30" t="n"/>
      <c r="S70" s="30" t="n"/>
      <c r="T70" s="30" t="n"/>
      <c r="U70" s="30" t="n"/>
      <c r="V70" s="30" t="n"/>
      <c r="W70" s="30" t="n"/>
      <c r="X70" s="30" t="n"/>
      <c r="Y70" s="30" t="n"/>
      <c r="Z70" s="30" t="n"/>
      <c r="AA70" s="30" t="n"/>
      <c r="AB70" s="30" t="n"/>
      <c r="AC70" s="30" t="n"/>
      <c r="AD70" s="27">
        <f>IF(D70="","",IF(COUNTIF(L70:Q70,"X")&gt;0,"Sí","No"))</f>
        <v/>
      </c>
      <c r="AE70" s="26" t="n"/>
      <c r="AF70" s="26" t="n"/>
    </row>
    <row r="71">
      <c r="A71" s="25" t="n"/>
      <c r="B71" s="26" t="n"/>
      <c r="C71" s="27">
        <f>IF(D71="","","CWP"&amp;MID(D71,4,12))</f>
        <v/>
      </c>
      <c r="D71" s="26" t="n"/>
      <c r="E71" s="28" t="n"/>
      <c r="F71" s="28" t="n"/>
      <c r="G71" s="29" t="n"/>
      <c r="H71" s="29" t="n"/>
      <c r="I71" s="29" t="n"/>
      <c r="J71" s="27">
        <f>IF(D71="","",IF(I71=0,"Sí","No"))</f>
        <v/>
      </c>
      <c r="K71" s="28" t="n"/>
      <c r="L71" s="30" t="n"/>
      <c r="M71" s="30" t="n"/>
      <c r="N71" s="30" t="n"/>
      <c r="O71" s="30" t="n"/>
      <c r="P71" s="30" t="n"/>
      <c r="Q71" s="30" t="n"/>
      <c r="R71" s="30" t="n"/>
      <c r="S71" s="30" t="n"/>
      <c r="T71" s="30" t="n"/>
      <c r="U71" s="30" t="n"/>
      <c r="V71" s="30" t="n"/>
      <c r="W71" s="30" t="n"/>
      <c r="X71" s="30" t="n"/>
      <c r="Y71" s="30" t="n"/>
      <c r="Z71" s="30" t="n"/>
      <c r="AA71" s="30" t="n"/>
      <c r="AB71" s="30" t="n"/>
      <c r="AC71" s="30" t="n"/>
      <c r="AD71" s="27">
        <f>IF(D71="","",IF(COUNTIF(L71:Q71,"X")&gt;0,"Sí","No"))</f>
        <v/>
      </c>
      <c r="AE71" s="26" t="n"/>
      <c r="AF71" s="26" t="n"/>
    </row>
    <row r="72">
      <c r="A72" s="25" t="n"/>
      <c r="B72" s="26" t="n"/>
      <c r="C72" s="27">
        <f>IF(D72="","","CWP"&amp;MID(D72,4,12))</f>
        <v/>
      </c>
      <c r="D72" s="26" t="n"/>
      <c r="E72" s="28" t="n"/>
      <c r="F72" s="28" t="n"/>
      <c r="G72" s="29" t="n"/>
      <c r="H72" s="29" t="n"/>
      <c r="I72" s="29" t="n"/>
      <c r="J72" s="27">
        <f>IF(D72="","",IF(I72=0,"Sí","No"))</f>
        <v/>
      </c>
      <c r="K72" s="28" t="n"/>
      <c r="L72" s="30" t="n"/>
      <c r="M72" s="30" t="n"/>
      <c r="N72" s="30" t="n"/>
      <c r="O72" s="30" t="n"/>
      <c r="P72" s="30" t="n"/>
      <c r="Q72" s="30" t="n"/>
      <c r="R72" s="30" t="n"/>
      <c r="S72" s="30" t="n"/>
      <c r="T72" s="30" t="n"/>
      <c r="U72" s="30" t="n"/>
      <c r="V72" s="30" t="n"/>
      <c r="W72" s="30" t="n"/>
      <c r="X72" s="30" t="n"/>
      <c r="Y72" s="30" t="n"/>
      <c r="Z72" s="30" t="n"/>
      <c r="AA72" s="30" t="n"/>
      <c r="AB72" s="30" t="n"/>
      <c r="AC72" s="30" t="n"/>
      <c r="AD72" s="27">
        <f>IF(D72="","",IF(COUNTIF(L72:Q72,"X")&gt;0,"Sí","No"))</f>
        <v/>
      </c>
      <c r="AE72" s="26" t="n"/>
      <c r="AF72" s="26" t="n"/>
    </row>
    <row r="73">
      <c r="A73" s="25" t="n"/>
      <c r="B73" s="26" t="n"/>
      <c r="C73" s="27">
        <f>IF(D73="","","CWP"&amp;MID(D73,4,12))</f>
        <v/>
      </c>
      <c r="D73" s="26" t="n"/>
      <c r="E73" s="28" t="n"/>
      <c r="F73" s="28" t="n"/>
      <c r="G73" s="29" t="n"/>
      <c r="H73" s="29" t="n"/>
      <c r="I73" s="29" t="n"/>
      <c r="J73" s="27">
        <f>IF(D73="","",IF(I73=0,"Sí","No"))</f>
        <v/>
      </c>
      <c r="K73" s="28" t="n"/>
      <c r="L73" s="30" t="n"/>
      <c r="M73" s="30" t="n"/>
      <c r="N73" s="30" t="n"/>
      <c r="O73" s="30" t="n"/>
      <c r="P73" s="30" t="n"/>
      <c r="Q73" s="30" t="n"/>
      <c r="R73" s="30" t="n"/>
      <c r="S73" s="30" t="n"/>
      <c r="T73" s="30" t="n"/>
      <c r="U73" s="30" t="n"/>
      <c r="V73" s="30" t="n"/>
      <c r="W73" s="30" t="n"/>
      <c r="X73" s="30" t="n"/>
      <c r="Y73" s="30" t="n"/>
      <c r="Z73" s="30" t="n"/>
      <c r="AA73" s="30" t="n"/>
      <c r="AB73" s="30" t="n"/>
      <c r="AC73" s="30" t="n"/>
      <c r="AD73" s="27">
        <f>IF(D73="","",IF(COUNTIF(L73:Q73,"X")&gt;0,"Sí","No"))</f>
        <v/>
      </c>
      <c r="AE73" s="26" t="n"/>
      <c r="AF73" s="26" t="n"/>
    </row>
    <row r="74">
      <c r="A74" s="25" t="n"/>
      <c r="B74" s="26" t="n"/>
      <c r="C74" s="27">
        <f>IF(D74="","","CWP"&amp;MID(D74,4,12))</f>
        <v/>
      </c>
      <c r="D74" s="26" t="n"/>
      <c r="E74" s="28" t="n"/>
      <c r="F74" s="28" t="n"/>
      <c r="G74" s="29" t="n"/>
      <c r="H74" s="29" t="n"/>
      <c r="I74" s="29" t="n"/>
      <c r="J74" s="27">
        <f>IF(D74="","",IF(I74=0,"Sí","No"))</f>
        <v/>
      </c>
      <c r="K74" s="28" t="n"/>
      <c r="L74" s="30" t="n"/>
      <c r="M74" s="30" t="n"/>
      <c r="N74" s="30" t="n"/>
      <c r="O74" s="30" t="n"/>
      <c r="P74" s="30" t="n"/>
      <c r="Q74" s="30" t="n"/>
      <c r="R74" s="30" t="n"/>
      <c r="S74" s="30" t="n"/>
      <c r="T74" s="30" t="n"/>
      <c r="U74" s="30" t="n"/>
      <c r="V74" s="30" t="n"/>
      <c r="W74" s="30" t="n"/>
      <c r="X74" s="30" t="n"/>
      <c r="Y74" s="30" t="n"/>
      <c r="Z74" s="30" t="n"/>
      <c r="AA74" s="30" t="n"/>
      <c r="AB74" s="30" t="n"/>
      <c r="AC74" s="30" t="n"/>
      <c r="AD74" s="27">
        <f>IF(D74="","",IF(COUNTIF(L74:Q74,"X")&gt;0,"Sí","No"))</f>
        <v/>
      </c>
      <c r="AE74" s="26" t="n"/>
      <c r="AF74" s="26" t="n"/>
    </row>
    <row r="75">
      <c r="A75" s="25" t="n"/>
      <c r="B75" s="26" t="n"/>
      <c r="C75" s="27">
        <f>IF(D75="","","CWP"&amp;MID(D75,4,12))</f>
        <v/>
      </c>
      <c r="D75" s="26" t="n"/>
      <c r="E75" s="28" t="n"/>
      <c r="F75" s="28" t="n"/>
      <c r="G75" s="29" t="n"/>
      <c r="H75" s="29" t="n"/>
      <c r="I75" s="29" t="n"/>
      <c r="J75" s="27">
        <f>IF(D75="","",IF(I75=0,"Sí","No"))</f>
        <v/>
      </c>
      <c r="K75" s="28" t="n"/>
      <c r="L75" s="30" t="n"/>
      <c r="M75" s="30" t="n"/>
      <c r="N75" s="30" t="n"/>
      <c r="O75" s="30" t="n"/>
      <c r="P75" s="30" t="n"/>
      <c r="Q75" s="30" t="n"/>
      <c r="R75" s="30" t="n"/>
      <c r="S75" s="30" t="n"/>
      <c r="T75" s="30" t="n"/>
      <c r="U75" s="30" t="n"/>
      <c r="V75" s="30" t="n"/>
      <c r="W75" s="30" t="n"/>
      <c r="X75" s="30" t="n"/>
      <c r="Y75" s="30" t="n"/>
      <c r="Z75" s="30" t="n"/>
      <c r="AA75" s="30" t="n"/>
      <c r="AB75" s="30" t="n"/>
      <c r="AC75" s="30" t="n"/>
      <c r="AD75" s="27">
        <f>IF(D75="","",IF(COUNTIF(L75:Q75,"X")&gt;0,"Sí","No"))</f>
        <v/>
      </c>
      <c r="AE75" s="26" t="n"/>
      <c r="AF75" s="26" t="n"/>
    </row>
    <row r="76">
      <c r="A76" s="25" t="n"/>
      <c r="B76" s="26" t="n"/>
      <c r="C76" s="27">
        <f>IF(D76="","","CWP"&amp;MID(D76,4,12))</f>
        <v/>
      </c>
      <c r="D76" s="26" t="n"/>
      <c r="E76" s="28" t="n"/>
      <c r="F76" s="28" t="n"/>
      <c r="G76" s="29" t="n"/>
      <c r="H76" s="29" t="n"/>
      <c r="I76" s="29" t="n"/>
      <c r="J76" s="27">
        <f>IF(D76="","",IF(I76=0,"Sí","No"))</f>
        <v/>
      </c>
      <c r="K76" s="28" t="n"/>
      <c r="L76" s="30" t="n"/>
      <c r="M76" s="30" t="n"/>
      <c r="N76" s="30" t="n"/>
      <c r="O76" s="30" t="n"/>
      <c r="P76" s="30" t="n"/>
      <c r="Q76" s="30" t="n"/>
      <c r="R76" s="30" t="n"/>
      <c r="S76" s="30" t="n"/>
      <c r="T76" s="30" t="n"/>
      <c r="U76" s="30" t="n"/>
      <c r="V76" s="30" t="n"/>
      <c r="W76" s="30" t="n"/>
      <c r="X76" s="30" t="n"/>
      <c r="Y76" s="30" t="n"/>
      <c r="Z76" s="30" t="n"/>
      <c r="AA76" s="30" t="n"/>
      <c r="AB76" s="30" t="n"/>
      <c r="AC76" s="30" t="n"/>
      <c r="AD76" s="27">
        <f>IF(D76="","",IF(COUNTIF(L76:Q76,"X")&gt;0,"Sí","No"))</f>
        <v/>
      </c>
      <c r="AE76" s="26" t="n"/>
      <c r="AF76" s="26" t="n"/>
    </row>
    <row r="77">
      <c r="A77" s="25" t="n"/>
      <c r="B77" s="26" t="n"/>
      <c r="C77" s="27">
        <f>IF(D77="","","CWP"&amp;MID(D77,4,12))</f>
        <v/>
      </c>
      <c r="D77" s="26" t="n"/>
      <c r="E77" s="28" t="n"/>
      <c r="F77" s="28" t="n"/>
      <c r="G77" s="29" t="n"/>
      <c r="H77" s="29" t="n"/>
      <c r="I77" s="29" t="n"/>
      <c r="J77" s="27">
        <f>IF(D77="","",IF(I77=0,"Sí","No"))</f>
        <v/>
      </c>
      <c r="K77" s="28" t="n"/>
      <c r="L77" s="30" t="n"/>
      <c r="M77" s="30" t="n"/>
      <c r="N77" s="30" t="n"/>
      <c r="O77" s="30" t="n"/>
      <c r="P77" s="30" t="n"/>
      <c r="Q77" s="30" t="n"/>
      <c r="R77" s="30" t="n"/>
      <c r="S77" s="30" t="n"/>
      <c r="T77" s="30" t="n"/>
      <c r="U77" s="30" t="n"/>
      <c r="V77" s="30" t="n"/>
      <c r="W77" s="30" t="n"/>
      <c r="X77" s="30" t="n"/>
      <c r="Y77" s="30" t="n"/>
      <c r="Z77" s="30" t="n"/>
      <c r="AA77" s="30" t="n"/>
      <c r="AB77" s="30" t="n"/>
      <c r="AC77" s="30" t="n"/>
      <c r="AD77" s="27">
        <f>IF(D77="","",IF(COUNTIF(L77:Q77,"X")&gt;0,"Sí","No"))</f>
        <v/>
      </c>
      <c r="AE77" s="26" t="n"/>
      <c r="AF77" s="26" t="n"/>
    </row>
    <row r="78">
      <c r="A78" s="25" t="n"/>
      <c r="B78" s="26" t="n"/>
      <c r="C78" s="27">
        <f>IF(D78="","","CWP"&amp;MID(D78,4,12))</f>
        <v/>
      </c>
      <c r="D78" s="26" t="n"/>
      <c r="E78" s="28" t="n"/>
      <c r="F78" s="28" t="n"/>
      <c r="G78" s="29" t="n"/>
      <c r="H78" s="29" t="n"/>
      <c r="I78" s="29" t="n"/>
      <c r="J78" s="27">
        <f>IF(D78="","",IF(I78=0,"Sí","No"))</f>
        <v/>
      </c>
      <c r="K78" s="28" t="n"/>
      <c r="L78" s="30" t="n"/>
      <c r="M78" s="30" t="n"/>
      <c r="N78" s="30" t="n"/>
      <c r="O78" s="30" t="n"/>
      <c r="P78" s="30" t="n"/>
      <c r="Q78" s="30" t="n"/>
      <c r="R78" s="30" t="n"/>
      <c r="S78" s="30" t="n"/>
      <c r="T78" s="30" t="n"/>
      <c r="U78" s="30" t="n"/>
      <c r="V78" s="30" t="n"/>
      <c r="W78" s="30" t="n"/>
      <c r="X78" s="30" t="n"/>
      <c r="Y78" s="30" t="n"/>
      <c r="Z78" s="30" t="n"/>
      <c r="AA78" s="30" t="n"/>
      <c r="AB78" s="30" t="n"/>
      <c r="AC78" s="30" t="n"/>
      <c r="AD78" s="27">
        <f>IF(D78="","",IF(COUNTIF(L78:Q78,"X")&gt;0,"Sí","No"))</f>
        <v/>
      </c>
      <c r="AE78" s="26" t="n"/>
      <c r="AF78" s="26" t="n"/>
    </row>
    <row r="79">
      <c r="A79" s="25" t="n"/>
      <c r="B79" s="26" t="n"/>
      <c r="C79" s="27">
        <f>IF(D79="","","CWP"&amp;MID(D79,4,12))</f>
        <v/>
      </c>
      <c r="D79" s="26" t="n"/>
      <c r="E79" s="28" t="n"/>
      <c r="F79" s="28" t="n"/>
      <c r="G79" s="29" t="n"/>
      <c r="H79" s="29" t="n"/>
      <c r="I79" s="29" t="n"/>
      <c r="J79" s="27">
        <f>IF(D79="","",IF(I79=0,"Sí","No"))</f>
        <v/>
      </c>
      <c r="K79" s="28" t="n"/>
      <c r="L79" s="30" t="n"/>
      <c r="M79" s="30" t="n"/>
      <c r="N79" s="30" t="n"/>
      <c r="O79" s="30" t="n"/>
      <c r="P79" s="30" t="n"/>
      <c r="Q79" s="30" t="n"/>
      <c r="R79" s="30" t="n"/>
      <c r="S79" s="30" t="n"/>
      <c r="T79" s="30" t="n"/>
      <c r="U79" s="30" t="n"/>
      <c r="V79" s="30" t="n"/>
      <c r="W79" s="30" t="n"/>
      <c r="X79" s="30" t="n"/>
      <c r="Y79" s="30" t="n"/>
      <c r="Z79" s="30" t="n"/>
      <c r="AA79" s="30" t="n"/>
      <c r="AB79" s="30" t="n"/>
      <c r="AC79" s="30" t="n"/>
      <c r="AD79" s="27">
        <f>IF(D79="","",IF(COUNTIF(L79:Q79,"X")&gt;0,"Sí","No"))</f>
        <v/>
      </c>
      <c r="AE79" s="26" t="n"/>
      <c r="AF79" s="26" t="n"/>
    </row>
    <row r="80">
      <c r="A80" s="25" t="n"/>
      <c r="B80" s="26" t="n"/>
      <c r="C80" s="27">
        <f>IF(D80="","","CWP"&amp;MID(D80,4,12))</f>
        <v/>
      </c>
      <c r="D80" s="26" t="n"/>
      <c r="E80" s="28" t="n"/>
      <c r="F80" s="28" t="n"/>
      <c r="G80" s="29" t="n"/>
      <c r="H80" s="29" t="n"/>
      <c r="I80" s="29" t="n"/>
      <c r="J80" s="27">
        <f>IF(D80="","",IF(I80=0,"Sí","No"))</f>
        <v/>
      </c>
      <c r="K80" s="28" t="n"/>
      <c r="L80" s="30" t="n"/>
      <c r="M80" s="30" t="n"/>
      <c r="N80" s="30" t="n"/>
      <c r="O80" s="30" t="n"/>
      <c r="P80" s="30" t="n"/>
      <c r="Q80" s="30" t="n"/>
      <c r="R80" s="30" t="n"/>
      <c r="S80" s="30" t="n"/>
      <c r="T80" s="30" t="n"/>
      <c r="U80" s="30" t="n"/>
      <c r="V80" s="30" t="n"/>
      <c r="W80" s="30" t="n"/>
      <c r="X80" s="30" t="n"/>
      <c r="Y80" s="30" t="n"/>
      <c r="Z80" s="30" t="n"/>
      <c r="AA80" s="30" t="n"/>
      <c r="AB80" s="30" t="n"/>
      <c r="AC80" s="30" t="n"/>
      <c r="AD80" s="27">
        <f>IF(D80="","",IF(COUNTIF(L80:Q80,"X")&gt;0,"Sí","No"))</f>
        <v/>
      </c>
      <c r="AE80" s="26" t="n"/>
      <c r="AF80" s="26" t="n"/>
    </row>
    <row r="81">
      <c r="A81" s="25" t="n"/>
      <c r="B81" s="26" t="n"/>
      <c r="C81" s="27">
        <f>IF(D81="","","CWP"&amp;MID(D81,4,12))</f>
        <v/>
      </c>
      <c r="D81" s="26" t="n"/>
      <c r="E81" s="28" t="n"/>
      <c r="F81" s="28" t="n"/>
      <c r="G81" s="29" t="n"/>
      <c r="H81" s="29" t="n"/>
      <c r="I81" s="29" t="n"/>
      <c r="J81" s="27">
        <f>IF(D81="","",IF(I81=0,"Sí","No"))</f>
        <v/>
      </c>
      <c r="K81" s="28" t="n"/>
      <c r="L81" s="30" t="n"/>
      <c r="M81" s="30" t="n"/>
      <c r="N81" s="30" t="n"/>
      <c r="O81" s="30" t="n"/>
      <c r="P81" s="30" t="n"/>
      <c r="Q81" s="30" t="n"/>
      <c r="R81" s="30" t="n"/>
      <c r="S81" s="30" t="n"/>
      <c r="T81" s="30" t="n"/>
      <c r="U81" s="30" t="n"/>
      <c r="V81" s="30" t="n"/>
      <c r="W81" s="30" t="n"/>
      <c r="X81" s="30" t="n"/>
      <c r="Y81" s="30" t="n"/>
      <c r="Z81" s="30" t="n"/>
      <c r="AA81" s="30" t="n"/>
      <c r="AB81" s="30" t="n"/>
      <c r="AC81" s="30" t="n"/>
      <c r="AD81" s="27">
        <f>IF(D81="","",IF(COUNTIF(L81:Q81,"X")&gt;0,"Sí","No"))</f>
        <v/>
      </c>
      <c r="AE81" s="26" t="n"/>
      <c r="AF81" s="26" t="n"/>
    </row>
    <row r="82">
      <c r="A82" s="25" t="n"/>
      <c r="B82" s="26" t="n"/>
      <c r="C82" s="27">
        <f>IF(D82="","","CWP"&amp;MID(D82,4,12))</f>
        <v/>
      </c>
      <c r="D82" s="26" t="n"/>
      <c r="E82" s="28" t="n"/>
      <c r="F82" s="28" t="n"/>
      <c r="G82" s="29" t="n"/>
      <c r="H82" s="29" t="n"/>
      <c r="I82" s="29" t="n"/>
      <c r="J82" s="27">
        <f>IF(D82="","",IF(I82=0,"Sí","No"))</f>
        <v/>
      </c>
      <c r="K82" s="28" t="n"/>
      <c r="L82" s="30" t="n"/>
      <c r="M82" s="30" t="n"/>
      <c r="N82" s="30" t="n"/>
      <c r="O82" s="30" t="n"/>
      <c r="P82" s="30" t="n"/>
      <c r="Q82" s="30" t="n"/>
      <c r="R82" s="30" t="n"/>
      <c r="S82" s="30" t="n"/>
      <c r="T82" s="30" t="n"/>
      <c r="U82" s="30" t="n"/>
      <c r="V82" s="30" t="n"/>
      <c r="W82" s="30" t="n"/>
      <c r="X82" s="30" t="n"/>
      <c r="Y82" s="30" t="n"/>
      <c r="Z82" s="30" t="n"/>
      <c r="AA82" s="30" t="n"/>
      <c r="AB82" s="30" t="n"/>
      <c r="AC82" s="30" t="n"/>
      <c r="AD82" s="27">
        <f>IF(D82="","",IF(COUNTIF(L82:Q82,"X")&gt;0,"Sí","No"))</f>
        <v/>
      </c>
      <c r="AE82" s="26" t="n"/>
      <c r="AF82" s="26" t="n"/>
    </row>
    <row r="83">
      <c r="A83" s="25" t="n"/>
      <c r="B83" s="26" t="n"/>
      <c r="C83" s="27">
        <f>IF(D83="","","CWP"&amp;MID(D83,4,12))</f>
        <v/>
      </c>
      <c r="D83" s="26" t="n"/>
      <c r="E83" s="28" t="n"/>
      <c r="F83" s="28" t="n"/>
      <c r="G83" s="29" t="n"/>
      <c r="H83" s="29" t="n"/>
      <c r="I83" s="29" t="n"/>
      <c r="J83" s="27">
        <f>IF(D83="","",IF(I83=0,"Sí","No"))</f>
        <v/>
      </c>
      <c r="K83" s="28" t="n"/>
      <c r="L83" s="30" t="n"/>
      <c r="M83" s="30" t="n"/>
      <c r="N83" s="30" t="n"/>
      <c r="O83" s="30" t="n"/>
      <c r="P83" s="30" t="n"/>
      <c r="Q83" s="30" t="n"/>
      <c r="R83" s="30" t="n"/>
      <c r="S83" s="30" t="n"/>
      <c r="T83" s="30" t="n"/>
      <c r="U83" s="30" t="n"/>
      <c r="V83" s="30" t="n"/>
      <c r="W83" s="30" t="n"/>
      <c r="X83" s="30" t="n"/>
      <c r="Y83" s="30" t="n"/>
      <c r="Z83" s="30" t="n"/>
      <c r="AA83" s="30" t="n"/>
      <c r="AB83" s="30" t="n"/>
      <c r="AC83" s="30" t="n"/>
      <c r="AD83" s="27">
        <f>IF(D83="","",IF(COUNTIF(L83:Q83,"X")&gt;0,"Sí","No"))</f>
        <v/>
      </c>
      <c r="AE83" s="26" t="n"/>
      <c r="AF83" s="26" t="n"/>
    </row>
    <row r="84">
      <c r="A84" s="25" t="n"/>
      <c r="B84" s="26" t="n"/>
      <c r="C84" s="27">
        <f>IF(D84="","","CWP"&amp;MID(D84,4,12))</f>
        <v/>
      </c>
      <c r="D84" s="26" t="n"/>
      <c r="E84" s="28" t="n"/>
      <c r="F84" s="28" t="n"/>
      <c r="G84" s="29" t="n"/>
      <c r="H84" s="29" t="n"/>
      <c r="I84" s="29" t="n"/>
      <c r="J84" s="27">
        <f>IF(D84="","",IF(I84=0,"Sí","No"))</f>
        <v/>
      </c>
      <c r="K84" s="28" t="n"/>
      <c r="L84" s="30" t="n"/>
      <c r="M84" s="30" t="n"/>
      <c r="N84" s="30" t="n"/>
      <c r="O84" s="30" t="n"/>
      <c r="P84" s="30" t="n"/>
      <c r="Q84" s="30" t="n"/>
      <c r="R84" s="30" t="n"/>
      <c r="S84" s="30" t="n"/>
      <c r="T84" s="30" t="n"/>
      <c r="U84" s="30" t="n"/>
      <c r="V84" s="30" t="n"/>
      <c r="W84" s="30" t="n"/>
      <c r="X84" s="30" t="n"/>
      <c r="Y84" s="30" t="n"/>
      <c r="Z84" s="30" t="n"/>
      <c r="AA84" s="30" t="n"/>
      <c r="AB84" s="30" t="n"/>
      <c r="AC84" s="30" t="n"/>
      <c r="AD84" s="27">
        <f>IF(D84="","",IF(COUNTIF(L84:Q84,"X")&gt;0,"Sí","No"))</f>
        <v/>
      </c>
      <c r="AE84" s="26" t="n"/>
      <c r="AF84" s="26" t="n"/>
    </row>
    <row r="85">
      <c r="A85" s="25" t="n"/>
      <c r="B85" s="26" t="n"/>
      <c r="C85" s="27">
        <f>IF(D85="","","CWP"&amp;MID(D85,4,12))</f>
        <v/>
      </c>
      <c r="D85" s="26" t="n"/>
      <c r="E85" s="28" t="n"/>
      <c r="F85" s="28" t="n"/>
      <c r="G85" s="29" t="n"/>
      <c r="H85" s="29" t="n"/>
      <c r="I85" s="29" t="n"/>
      <c r="J85" s="27">
        <f>IF(D85="","",IF(I85=0,"Sí","No"))</f>
        <v/>
      </c>
      <c r="K85" s="28" t="n"/>
      <c r="L85" s="30" t="n"/>
      <c r="M85" s="30" t="n"/>
      <c r="N85" s="30" t="n"/>
      <c r="O85" s="30" t="n"/>
      <c r="P85" s="30" t="n"/>
      <c r="Q85" s="30" t="n"/>
      <c r="R85" s="30" t="n"/>
      <c r="S85" s="30" t="n"/>
      <c r="T85" s="30" t="n"/>
      <c r="U85" s="30" t="n"/>
      <c r="V85" s="30" t="n"/>
      <c r="W85" s="30" t="n"/>
      <c r="X85" s="30" t="n"/>
      <c r="Y85" s="30" t="n"/>
      <c r="Z85" s="30" t="n"/>
      <c r="AA85" s="30" t="n"/>
      <c r="AB85" s="30" t="n"/>
      <c r="AC85" s="30" t="n"/>
      <c r="AD85" s="27">
        <f>IF(D85="","",IF(COUNTIF(L85:Q85,"X")&gt;0,"Sí","No"))</f>
        <v/>
      </c>
      <c r="AE85" s="26" t="n"/>
      <c r="AF85" s="26" t="n"/>
    </row>
    <row r="86">
      <c r="A86" s="25" t="n"/>
      <c r="B86" s="26" t="n"/>
      <c r="C86" s="27">
        <f>IF(D86="","","CWP"&amp;MID(D86,4,12))</f>
        <v/>
      </c>
      <c r="D86" s="26" t="n"/>
      <c r="E86" s="28" t="n"/>
      <c r="F86" s="28" t="n"/>
      <c r="G86" s="29" t="n"/>
      <c r="H86" s="29" t="n"/>
      <c r="I86" s="29" t="n"/>
      <c r="J86" s="27">
        <f>IF(D86="","",IF(I86=0,"Sí","No"))</f>
        <v/>
      </c>
      <c r="K86" s="28" t="n"/>
      <c r="L86" s="30" t="n"/>
      <c r="M86" s="30" t="n"/>
      <c r="N86" s="30" t="n"/>
      <c r="O86" s="30" t="n"/>
      <c r="P86" s="30" t="n"/>
      <c r="Q86" s="30" t="n"/>
      <c r="R86" s="30" t="n"/>
      <c r="S86" s="30" t="n"/>
      <c r="T86" s="30" t="n"/>
      <c r="U86" s="30" t="n"/>
      <c r="V86" s="30" t="n"/>
      <c r="W86" s="30" t="n"/>
      <c r="X86" s="30" t="n"/>
      <c r="Y86" s="30" t="n"/>
      <c r="Z86" s="30" t="n"/>
      <c r="AA86" s="30" t="n"/>
      <c r="AB86" s="30" t="n"/>
      <c r="AC86" s="30" t="n"/>
      <c r="AD86" s="27">
        <f>IF(D86="","",IF(COUNTIF(L86:Q86,"X")&gt;0,"Sí","No"))</f>
        <v/>
      </c>
      <c r="AE86" s="26" t="n"/>
      <c r="AF86" s="26" t="n"/>
    </row>
    <row r="87">
      <c r="A87" s="25" t="n"/>
      <c r="B87" s="26" t="n"/>
      <c r="C87" s="27">
        <f>IF(D87="","","CWP"&amp;MID(D87,4,12))</f>
        <v/>
      </c>
      <c r="D87" s="26" t="n"/>
      <c r="E87" s="28" t="n"/>
      <c r="F87" s="28" t="n"/>
      <c r="G87" s="29" t="n"/>
      <c r="H87" s="29" t="n"/>
      <c r="I87" s="29" t="n"/>
      <c r="J87" s="27">
        <f>IF(D87="","",IF(I87=0,"Sí","No"))</f>
        <v/>
      </c>
      <c r="K87" s="28" t="n"/>
      <c r="L87" s="30" t="n"/>
      <c r="M87" s="30" t="n"/>
      <c r="N87" s="30" t="n"/>
      <c r="O87" s="30" t="n"/>
      <c r="P87" s="30" t="n"/>
      <c r="Q87" s="30" t="n"/>
      <c r="R87" s="30" t="n"/>
      <c r="S87" s="30" t="n"/>
      <c r="T87" s="30" t="n"/>
      <c r="U87" s="30" t="n"/>
      <c r="V87" s="30" t="n"/>
      <c r="W87" s="30" t="n"/>
      <c r="X87" s="30" t="n"/>
      <c r="Y87" s="30" t="n"/>
      <c r="Z87" s="30" t="n"/>
      <c r="AA87" s="30" t="n"/>
      <c r="AB87" s="30" t="n"/>
      <c r="AC87" s="30" t="n"/>
      <c r="AD87" s="27">
        <f>IF(D87="","",IF(COUNTIF(L87:Q87,"X")&gt;0,"Sí","No"))</f>
        <v/>
      </c>
      <c r="AE87" s="26" t="n"/>
      <c r="AF87" s="26" t="n"/>
    </row>
    <row r="88">
      <c r="A88" s="25" t="n"/>
      <c r="B88" s="26" t="n"/>
      <c r="C88" s="27">
        <f>IF(D88="","","CWP"&amp;MID(D88,4,12))</f>
        <v/>
      </c>
      <c r="D88" s="26" t="n"/>
      <c r="E88" s="28" t="n"/>
      <c r="F88" s="28" t="n"/>
      <c r="G88" s="29" t="n"/>
      <c r="H88" s="29" t="n"/>
      <c r="I88" s="29" t="n"/>
      <c r="J88" s="27">
        <f>IF(D88="","",IF(I88=0,"Sí","No"))</f>
        <v/>
      </c>
      <c r="K88" s="28" t="n"/>
      <c r="L88" s="30" t="n"/>
      <c r="M88" s="30" t="n"/>
      <c r="N88" s="30" t="n"/>
      <c r="O88" s="30" t="n"/>
      <c r="P88" s="30" t="n"/>
      <c r="Q88" s="30" t="n"/>
      <c r="R88" s="30" t="n"/>
      <c r="S88" s="30" t="n"/>
      <c r="T88" s="30" t="n"/>
      <c r="U88" s="30" t="n"/>
      <c r="V88" s="30" t="n"/>
      <c r="W88" s="30" t="n"/>
      <c r="X88" s="30" t="n"/>
      <c r="Y88" s="30" t="n"/>
      <c r="Z88" s="30" t="n"/>
      <c r="AA88" s="30" t="n"/>
      <c r="AB88" s="30" t="n"/>
      <c r="AC88" s="30" t="n"/>
      <c r="AD88" s="27">
        <f>IF(D88="","",IF(COUNTIF(L88:Q88,"X")&gt;0,"Sí","No"))</f>
        <v/>
      </c>
      <c r="AE88" s="26" t="n"/>
      <c r="AF88" s="26" t="n"/>
    </row>
    <row r="89">
      <c r="A89" s="25" t="n"/>
      <c r="B89" s="26" t="n"/>
      <c r="C89" s="27">
        <f>IF(D89="","","CWP"&amp;MID(D89,4,12))</f>
        <v/>
      </c>
      <c r="D89" s="26" t="n"/>
      <c r="E89" s="28" t="n"/>
      <c r="F89" s="28" t="n"/>
      <c r="G89" s="29" t="n"/>
      <c r="H89" s="29" t="n"/>
      <c r="I89" s="29" t="n"/>
      <c r="J89" s="27">
        <f>IF(D89="","",IF(I89=0,"Sí","No"))</f>
        <v/>
      </c>
      <c r="K89" s="28" t="n"/>
      <c r="L89" s="30" t="n"/>
      <c r="M89" s="30" t="n"/>
      <c r="N89" s="30" t="n"/>
      <c r="O89" s="30" t="n"/>
      <c r="P89" s="30" t="n"/>
      <c r="Q89" s="30" t="n"/>
      <c r="R89" s="30" t="n"/>
      <c r="S89" s="30" t="n"/>
      <c r="T89" s="30" t="n"/>
      <c r="U89" s="30" t="n"/>
      <c r="V89" s="30" t="n"/>
      <c r="W89" s="30" t="n"/>
      <c r="X89" s="30" t="n"/>
      <c r="Y89" s="30" t="n"/>
      <c r="Z89" s="30" t="n"/>
      <c r="AA89" s="30" t="n"/>
      <c r="AB89" s="30" t="n"/>
      <c r="AC89" s="30" t="n"/>
      <c r="AD89" s="27">
        <f>IF(D89="","",IF(COUNTIF(L89:Q89,"X")&gt;0,"Sí","No"))</f>
        <v/>
      </c>
      <c r="AE89" s="26" t="n"/>
      <c r="AF89" s="26" t="n"/>
    </row>
    <row r="90">
      <c r="A90" s="25" t="n"/>
      <c r="B90" s="26" t="n"/>
      <c r="C90" s="27">
        <f>IF(D90="","","CWP"&amp;MID(D90,4,12))</f>
        <v/>
      </c>
      <c r="D90" s="26" t="n"/>
      <c r="E90" s="28" t="n"/>
      <c r="F90" s="28" t="n"/>
      <c r="G90" s="29" t="n"/>
      <c r="H90" s="29" t="n"/>
      <c r="I90" s="29" t="n"/>
      <c r="J90" s="27">
        <f>IF(D90="","",IF(I90=0,"Sí","No"))</f>
        <v/>
      </c>
      <c r="K90" s="28" t="n"/>
      <c r="L90" s="30" t="n"/>
      <c r="M90" s="30" t="n"/>
      <c r="N90" s="30" t="n"/>
      <c r="O90" s="30" t="n"/>
      <c r="P90" s="30" t="n"/>
      <c r="Q90" s="30" t="n"/>
      <c r="R90" s="30" t="n"/>
      <c r="S90" s="30" t="n"/>
      <c r="T90" s="30" t="n"/>
      <c r="U90" s="30" t="n"/>
      <c r="V90" s="30" t="n"/>
      <c r="W90" s="30" t="n"/>
      <c r="X90" s="30" t="n"/>
      <c r="Y90" s="30" t="n"/>
      <c r="Z90" s="30" t="n"/>
      <c r="AA90" s="30" t="n"/>
      <c r="AB90" s="30" t="n"/>
      <c r="AC90" s="30" t="n"/>
      <c r="AD90" s="27">
        <f>IF(D90="","",IF(COUNTIF(L90:Q90,"X")&gt;0,"Sí","No"))</f>
        <v/>
      </c>
      <c r="AE90" s="26" t="n"/>
      <c r="AF90" s="26" t="n"/>
    </row>
    <row r="91">
      <c r="A91" s="25" t="n"/>
      <c r="B91" s="26" t="n"/>
      <c r="C91" s="27">
        <f>IF(D91="","","CWP"&amp;MID(D91,4,12))</f>
        <v/>
      </c>
      <c r="D91" s="26" t="n"/>
      <c r="E91" s="28" t="n"/>
      <c r="F91" s="28" t="n"/>
      <c r="G91" s="29" t="n"/>
      <c r="H91" s="29" t="n"/>
      <c r="I91" s="29" t="n"/>
      <c r="J91" s="27">
        <f>IF(D91="","",IF(I91=0,"Sí","No"))</f>
        <v/>
      </c>
      <c r="K91" s="28" t="n"/>
      <c r="L91" s="30" t="n"/>
      <c r="M91" s="30" t="n"/>
      <c r="N91" s="30" t="n"/>
      <c r="O91" s="30" t="n"/>
      <c r="P91" s="30" t="n"/>
      <c r="Q91" s="30" t="n"/>
      <c r="R91" s="30" t="n"/>
      <c r="S91" s="30" t="n"/>
      <c r="T91" s="30" t="n"/>
      <c r="U91" s="30" t="n"/>
      <c r="V91" s="30" t="n"/>
      <c r="W91" s="30" t="n"/>
      <c r="X91" s="30" t="n"/>
      <c r="Y91" s="30" t="n"/>
      <c r="Z91" s="30" t="n"/>
      <c r="AA91" s="30" t="n"/>
      <c r="AB91" s="30" t="n"/>
      <c r="AC91" s="30" t="n"/>
      <c r="AD91" s="27">
        <f>IF(D91="","",IF(COUNTIF(L91:Q91,"X")&gt;0,"Sí","No"))</f>
        <v/>
      </c>
      <c r="AE91" s="26" t="n"/>
      <c r="AF91" s="26" t="n"/>
    </row>
    <row r="92">
      <c r="A92" s="25" t="n"/>
      <c r="B92" s="26" t="n"/>
      <c r="C92" s="27">
        <f>IF(D92="","","CWP"&amp;MID(D92,4,12))</f>
        <v/>
      </c>
      <c r="D92" s="26" t="n"/>
      <c r="E92" s="28" t="n"/>
      <c r="F92" s="28" t="n"/>
      <c r="G92" s="29" t="n"/>
      <c r="H92" s="29" t="n"/>
      <c r="I92" s="29" t="n"/>
      <c r="J92" s="27">
        <f>IF(D92="","",IF(I92=0,"Sí","No"))</f>
        <v/>
      </c>
      <c r="K92" s="28" t="n"/>
      <c r="L92" s="30" t="n"/>
      <c r="M92" s="30" t="n"/>
      <c r="N92" s="30" t="n"/>
      <c r="O92" s="30" t="n"/>
      <c r="P92" s="30" t="n"/>
      <c r="Q92" s="30" t="n"/>
      <c r="R92" s="30" t="n"/>
      <c r="S92" s="30" t="n"/>
      <c r="T92" s="30" t="n"/>
      <c r="U92" s="30" t="n"/>
      <c r="V92" s="30" t="n"/>
      <c r="W92" s="30" t="n"/>
      <c r="X92" s="30" t="n"/>
      <c r="Y92" s="30" t="n"/>
      <c r="Z92" s="30" t="n"/>
      <c r="AA92" s="30" t="n"/>
      <c r="AB92" s="30" t="n"/>
      <c r="AC92" s="30" t="n"/>
      <c r="AD92" s="27">
        <f>IF(D92="","",IF(COUNTIF(L92:Q92,"X")&gt;0,"Sí","No"))</f>
        <v/>
      </c>
      <c r="AE92" s="26" t="n"/>
      <c r="AF92" s="26" t="n"/>
    </row>
    <row r="93">
      <c r="A93" s="25" t="n"/>
      <c r="B93" s="26" t="n"/>
      <c r="C93" s="27">
        <f>IF(D93="","","CWP"&amp;MID(D93,4,12))</f>
        <v/>
      </c>
      <c r="D93" s="26" t="n"/>
      <c r="E93" s="28" t="n"/>
      <c r="F93" s="28" t="n"/>
      <c r="G93" s="29" t="n"/>
      <c r="H93" s="29" t="n"/>
      <c r="I93" s="29" t="n"/>
      <c r="J93" s="27">
        <f>IF(D93="","",IF(I93=0,"Sí","No"))</f>
        <v/>
      </c>
      <c r="K93" s="28" t="n"/>
      <c r="L93" s="30" t="n"/>
      <c r="M93" s="30" t="n"/>
      <c r="N93" s="30" t="n"/>
      <c r="O93" s="30" t="n"/>
      <c r="P93" s="30" t="n"/>
      <c r="Q93" s="30" t="n"/>
      <c r="R93" s="30" t="n"/>
      <c r="S93" s="30" t="n"/>
      <c r="T93" s="30" t="n"/>
      <c r="U93" s="30" t="n"/>
      <c r="V93" s="30" t="n"/>
      <c r="W93" s="30" t="n"/>
      <c r="X93" s="30" t="n"/>
      <c r="Y93" s="30" t="n"/>
      <c r="Z93" s="30" t="n"/>
      <c r="AA93" s="30" t="n"/>
      <c r="AB93" s="30" t="n"/>
      <c r="AC93" s="30" t="n"/>
      <c r="AD93" s="27">
        <f>IF(D93="","",IF(COUNTIF(L93:Q93,"X")&gt;0,"Sí","No"))</f>
        <v/>
      </c>
      <c r="AE93" s="26" t="n"/>
      <c r="AF93" s="26" t="n"/>
    </row>
    <row r="94">
      <c r="A94" s="25" t="n"/>
      <c r="B94" s="26" t="n"/>
      <c r="C94" s="27">
        <f>IF(D94="","","CWP"&amp;MID(D94,4,12))</f>
        <v/>
      </c>
      <c r="D94" s="26" t="n"/>
      <c r="E94" s="28" t="n"/>
      <c r="F94" s="28" t="n"/>
      <c r="G94" s="29" t="n"/>
      <c r="H94" s="29" t="n"/>
      <c r="I94" s="29" t="n"/>
      <c r="J94" s="27">
        <f>IF(D94="","",IF(I94=0,"Sí","No"))</f>
        <v/>
      </c>
      <c r="K94" s="28" t="n"/>
      <c r="L94" s="30" t="n"/>
      <c r="M94" s="30" t="n"/>
      <c r="N94" s="30" t="n"/>
      <c r="O94" s="30" t="n"/>
      <c r="P94" s="30" t="n"/>
      <c r="Q94" s="30" t="n"/>
      <c r="R94" s="30" t="n"/>
      <c r="S94" s="30" t="n"/>
      <c r="T94" s="30" t="n"/>
      <c r="U94" s="30" t="n"/>
      <c r="V94" s="30" t="n"/>
      <c r="W94" s="30" t="n"/>
      <c r="X94" s="30" t="n"/>
      <c r="Y94" s="30" t="n"/>
      <c r="Z94" s="30" t="n"/>
      <c r="AA94" s="30" t="n"/>
      <c r="AB94" s="30" t="n"/>
      <c r="AC94" s="30" t="n"/>
      <c r="AD94" s="27">
        <f>IF(D94="","",IF(COUNTIF(L94:Q94,"X")&gt;0,"Sí","No"))</f>
        <v/>
      </c>
      <c r="AE94" s="26" t="n"/>
      <c r="AF94" s="26" t="n"/>
    </row>
    <row r="95">
      <c r="A95" s="25" t="n"/>
      <c r="B95" s="26" t="n"/>
      <c r="C95" s="27">
        <f>IF(D95="","","CWP"&amp;MID(D95,4,12))</f>
        <v/>
      </c>
      <c r="D95" s="26" t="n"/>
      <c r="E95" s="28" t="n"/>
      <c r="F95" s="28" t="n"/>
      <c r="G95" s="29" t="n"/>
      <c r="H95" s="29" t="n"/>
      <c r="I95" s="29" t="n"/>
      <c r="J95" s="27">
        <f>IF(D95="","",IF(I95=0,"Sí","No"))</f>
        <v/>
      </c>
      <c r="K95" s="28" t="n"/>
      <c r="L95" s="30" t="n"/>
      <c r="M95" s="30" t="n"/>
      <c r="N95" s="30" t="n"/>
      <c r="O95" s="30" t="n"/>
      <c r="P95" s="30" t="n"/>
      <c r="Q95" s="30" t="n"/>
      <c r="R95" s="30" t="n"/>
      <c r="S95" s="30" t="n"/>
      <c r="T95" s="30" t="n"/>
      <c r="U95" s="30" t="n"/>
      <c r="V95" s="30" t="n"/>
      <c r="W95" s="30" t="n"/>
      <c r="X95" s="30" t="n"/>
      <c r="Y95" s="30" t="n"/>
      <c r="Z95" s="30" t="n"/>
      <c r="AA95" s="30" t="n"/>
      <c r="AB95" s="30" t="n"/>
      <c r="AC95" s="30" t="n"/>
      <c r="AD95" s="27">
        <f>IF(D95="","",IF(COUNTIF(L95:Q95,"X")&gt;0,"Sí","No"))</f>
        <v/>
      </c>
      <c r="AE95" s="26" t="n"/>
      <c r="AF95" s="26" t="n"/>
    </row>
    <row r="96">
      <c r="A96" s="25" t="n"/>
      <c r="B96" s="26" t="n"/>
      <c r="C96" s="27">
        <f>IF(D96="","","CWP"&amp;MID(D96,4,12))</f>
        <v/>
      </c>
      <c r="D96" s="26" t="n"/>
      <c r="E96" s="28" t="n"/>
      <c r="F96" s="28" t="n"/>
      <c r="G96" s="29" t="n"/>
      <c r="H96" s="29" t="n"/>
      <c r="I96" s="29" t="n"/>
      <c r="J96" s="27">
        <f>IF(D96="","",IF(I96=0,"Sí","No"))</f>
        <v/>
      </c>
      <c r="K96" s="28" t="n"/>
      <c r="L96" s="30" t="n"/>
      <c r="M96" s="30" t="n"/>
      <c r="N96" s="30" t="n"/>
      <c r="O96" s="30" t="n"/>
      <c r="P96" s="30" t="n"/>
      <c r="Q96" s="30" t="n"/>
      <c r="R96" s="30" t="n"/>
      <c r="S96" s="30" t="n"/>
      <c r="T96" s="30" t="n"/>
      <c r="U96" s="30" t="n"/>
      <c r="V96" s="30" t="n"/>
      <c r="W96" s="30" t="n"/>
      <c r="X96" s="30" t="n"/>
      <c r="Y96" s="30" t="n"/>
      <c r="Z96" s="30" t="n"/>
      <c r="AA96" s="30" t="n"/>
      <c r="AB96" s="30" t="n"/>
      <c r="AC96" s="30" t="n"/>
      <c r="AD96" s="27">
        <f>IF(D96="","",IF(COUNTIF(L96:Q96,"X")&gt;0,"Sí","No"))</f>
        <v/>
      </c>
      <c r="AE96" s="26" t="n"/>
      <c r="AF96" s="26" t="n"/>
    </row>
    <row r="97">
      <c r="A97" s="25" t="n"/>
      <c r="B97" s="26" t="n"/>
      <c r="C97" s="27">
        <f>IF(D97="","","CWP"&amp;MID(D97,4,12))</f>
        <v/>
      </c>
      <c r="D97" s="26" t="n"/>
      <c r="E97" s="28" t="n"/>
      <c r="F97" s="28" t="n"/>
      <c r="G97" s="29" t="n"/>
      <c r="H97" s="29" t="n"/>
      <c r="I97" s="29" t="n"/>
      <c r="J97" s="27">
        <f>IF(D97="","",IF(I97=0,"Sí","No"))</f>
        <v/>
      </c>
      <c r="K97" s="28" t="n"/>
      <c r="L97" s="30" t="n"/>
      <c r="M97" s="30" t="n"/>
      <c r="N97" s="30" t="n"/>
      <c r="O97" s="30" t="n"/>
      <c r="P97" s="30" t="n"/>
      <c r="Q97" s="30" t="n"/>
      <c r="R97" s="30" t="n"/>
      <c r="S97" s="30" t="n"/>
      <c r="T97" s="30" t="n"/>
      <c r="U97" s="30" t="n"/>
      <c r="V97" s="30" t="n"/>
      <c r="W97" s="30" t="n"/>
      <c r="X97" s="30" t="n"/>
      <c r="Y97" s="30" t="n"/>
      <c r="Z97" s="30" t="n"/>
      <c r="AA97" s="30" t="n"/>
      <c r="AB97" s="30" t="n"/>
      <c r="AC97" s="30" t="n"/>
      <c r="AD97" s="27">
        <f>IF(D97="","",IF(COUNTIF(L97:Q97,"X")&gt;0,"Sí","No"))</f>
        <v/>
      </c>
      <c r="AE97" s="26" t="n"/>
      <c r="AF97" s="26" t="n"/>
    </row>
    <row r="98">
      <c r="A98" s="25" t="n"/>
      <c r="B98" s="26" t="n"/>
      <c r="C98" s="27">
        <f>IF(D98="","","CWP"&amp;MID(D98,4,12))</f>
        <v/>
      </c>
      <c r="D98" s="26" t="n"/>
      <c r="E98" s="28" t="n"/>
      <c r="F98" s="28" t="n"/>
      <c r="G98" s="29" t="n"/>
      <c r="H98" s="29" t="n"/>
      <c r="I98" s="29" t="n"/>
      <c r="J98" s="27">
        <f>IF(D98="","",IF(I98=0,"Sí","No"))</f>
        <v/>
      </c>
      <c r="K98" s="28" t="n"/>
      <c r="L98" s="30" t="n"/>
      <c r="M98" s="30" t="n"/>
      <c r="N98" s="30" t="n"/>
      <c r="O98" s="30" t="n"/>
      <c r="P98" s="30" t="n"/>
      <c r="Q98" s="30" t="n"/>
      <c r="R98" s="30" t="n"/>
      <c r="S98" s="30" t="n"/>
      <c r="T98" s="30" t="n"/>
      <c r="U98" s="30" t="n"/>
      <c r="V98" s="30" t="n"/>
      <c r="W98" s="30" t="n"/>
      <c r="X98" s="30" t="n"/>
      <c r="Y98" s="30" t="n"/>
      <c r="Z98" s="30" t="n"/>
      <c r="AA98" s="30" t="n"/>
      <c r="AB98" s="30" t="n"/>
      <c r="AC98" s="30" t="n"/>
      <c r="AD98" s="27">
        <f>IF(D98="","",IF(COUNTIF(L98:Q98,"X")&gt;0,"Sí","No"))</f>
        <v/>
      </c>
      <c r="AE98" s="26" t="n"/>
      <c r="AF98" s="26" t="n"/>
    </row>
    <row r="99">
      <c r="A99" s="25" t="n"/>
      <c r="B99" s="26" t="n"/>
      <c r="C99" s="27">
        <f>IF(D99="","","CWP"&amp;MID(D99,4,12))</f>
        <v/>
      </c>
      <c r="D99" s="26" t="n"/>
      <c r="E99" s="28" t="n"/>
      <c r="F99" s="28" t="n"/>
      <c r="G99" s="29" t="n"/>
      <c r="H99" s="29" t="n"/>
      <c r="I99" s="29" t="n"/>
      <c r="J99" s="27">
        <f>IF(D99="","",IF(I99=0,"Sí","No"))</f>
        <v/>
      </c>
      <c r="K99" s="28" t="n"/>
      <c r="L99" s="30" t="n"/>
      <c r="M99" s="30" t="n"/>
      <c r="N99" s="30" t="n"/>
      <c r="O99" s="30" t="n"/>
      <c r="P99" s="30" t="n"/>
      <c r="Q99" s="30" t="n"/>
      <c r="R99" s="30" t="n"/>
      <c r="S99" s="30" t="n"/>
      <c r="T99" s="30" t="n"/>
      <c r="U99" s="30" t="n"/>
      <c r="V99" s="30" t="n"/>
      <c r="W99" s="30" t="n"/>
      <c r="X99" s="30" t="n"/>
      <c r="Y99" s="30" t="n"/>
      <c r="Z99" s="30" t="n"/>
      <c r="AA99" s="30" t="n"/>
      <c r="AB99" s="30" t="n"/>
      <c r="AC99" s="30" t="n"/>
      <c r="AD99" s="27">
        <f>IF(D99="","",IF(COUNTIF(L99:Q99,"X")&gt;0,"Sí","No"))</f>
        <v/>
      </c>
      <c r="AE99" s="26" t="n"/>
      <c r="AF99" s="26" t="n"/>
    </row>
    <row r="100">
      <c r="A100" s="25" t="n"/>
      <c r="B100" s="26" t="n"/>
      <c r="C100" s="27">
        <f>IF(D100="","","CWP"&amp;MID(D100,4,12))</f>
        <v/>
      </c>
      <c r="D100" s="26" t="n"/>
      <c r="E100" s="28" t="n"/>
      <c r="F100" s="28" t="n"/>
      <c r="G100" s="29" t="n"/>
      <c r="H100" s="29" t="n"/>
      <c r="I100" s="29" t="n"/>
      <c r="J100" s="27">
        <f>IF(D100="","",IF(I100=0,"Sí","No"))</f>
        <v/>
      </c>
      <c r="K100" s="28" t="n"/>
      <c r="L100" s="30" t="n"/>
      <c r="M100" s="30" t="n"/>
      <c r="N100" s="30" t="n"/>
      <c r="O100" s="30" t="n"/>
      <c r="P100" s="30" t="n"/>
      <c r="Q100" s="30" t="n"/>
      <c r="R100" s="30" t="n"/>
      <c r="S100" s="30" t="n"/>
      <c r="T100" s="30" t="n"/>
      <c r="U100" s="30" t="n"/>
      <c r="V100" s="30" t="n"/>
      <c r="W100" s="30" t="n"/>
      <c r="X100" s="30" t="n"/>
      <c r="Y100" s="30" t="n"/>
      <c r="Z100" s="30" t="n"/>
      <c r="AA100" s="30" t="n"/>
      <c r="AB100" s="30" t="n"/>
      <c r="AC100" s="30" t="n"/>
      <c r="AD100" s="27">
        <f>IF(D100="","",IF(COUNTIF(L100:Q100,"X")&gt;0,"Sí","No"))</f>
        <v/>
      </c>
      <c r="AE100" s="26" t="n"/>
      <c r="AF100" s="26" t="n"/>
    </row>
    <row r="101">
      <c r="A101" s="25" t="n"/>
      <c r="B101" s="26" t="n"/>
      <c r="C101" s="27">
        <f>IF(D101="","","CWP"&amp;MID(D101,4,12))</f>
        <v/>
      </c>
      <c r="D101" s="26" t="n"/>
      <c r="E101" s="28" t="n"/>
      <c r="F101" s="28" t="n"/>
      <c r="G101" s="29" t="n"/>
      <c r="H101" s="29" t="n"/>
      <c r="I101" s="29" t="n"/>
      <c r="J101" s="27">
        <f>IF(D101="","",IF(I101=0,"Sí","No"))</f>
        <v/>
      </c>
      <c r="K101" s="28" t="n"/>
      <c r="L101" s="30" t="n"/>
      <c r="M101" s="30" t="n"/>
      <c r="N101" s="30" t="n"/>
      <c r="O101" s="30" t="n"/>
      <c r="P101" s="30" t="n"/>
      <c r="Q101" s="30" t="n"/>
      <c r="R101" s="30" t="n"/>
      <c r="S101" s="30" t="n"/>
      <c r="T101" s="30" t="n"/>
      <c r="U101" s="30" t="n"/>
      <c r="V101" s="30" t="n"/>
      <c r="W101" s="30" t="n"/>
      <c r="X101" s="30" t="n"/>
      <c r="Y101" s="30" t="n"/>
      <c r="Z101" s="30" t="n"/>
      <c r="AA101" s="30" t="n"/>
      <c r="AB101" s="30" t="n"/>
      <c r="AC101" s="30" t="n"/>
      <c r="AD101" s="27">
        <f>IF(D101="","",IF(COUNTIF(L101:Q101,"X")&gt;0,"Sí","No"))</f>
        <v/>
      </c>
      <c r="AE101" s="26" t="n"/>
      <c r="AF101" s="26" t="n"/>
    </row>
    <row r="102">
      <c r="A102" s="25" t="n"/>
      <c r="B102" s="26" t="n"/>
      <c r="C102" s="27">
        <f>IF(D102="","","CWP"&amp;MID(D102,4,12))</f>
        <v/>
      </c>
      <c r="D102" s="26" t="n"/>
      <c r="E102" s="28" t="n"/>
      <c r="F102" s="28" t="n"/>
      <c r="G102" s="29" t="n"/>
      <c r="H102" s="29" t="n"/>
      <c r="I102" s="29" t="n"/>
      <c r="J102" s="27">
        <f>IF(D102="","",IF(I102=0,"Sí","No"))</f>
        <v/>
      </c>
      <c r="K102" s="28" t="n"/>
      <c r="L102" s="30" t="n"/>
      <c r="M102" s="30" t="n"/>
      <c r="N102" s="30" t="n"/>
      <c r="O102" s="30" t="n"/>
      <c r="P102" s="30" t="n"/>
      <c r="Q102" s="30" t="n"/>
      <c r="R102" s="30" t="n"/>
      <c r="S102" s="30" t="n"/>
      <c r="T102" s="30" t="n"/>
      <c r="U102" s="30" t="n"/>
      <c r="V102" s="30" t="n"/>
      <c r="W102" s="30" t="n"/>
      <c r="X102" s="30" t="n"/>
      <c r="Y102" s="30" t="n"/>
      <c r="Z102" s="30" t="n"/>
      <c r="AA102" s="30" t="n"/>
      <c r="AB102" s="30" t="n"/>
      <c r="AC102" s="30" t="n"/>
      <c r="AD102" s="27">
        <f>IF(D102="","",IF(COUNTIF(L102:Q102,"X")&gt;0,"Sí","No"))</f>
        <v/>
      </c>
      <c r="AE102" s="26" t="n"/>
      <c r="AF102" s="26" t="n"/>
    </row>
    <row r="103">
      <c r="A103" s="25" t="n"/>
      <c r="B103" s="26" t="n"/>
      <c r="C103" s="27">
        <f>IF(D103="","","CWP"&amp;MID(D103,4,12))</f>
        <v/>
      </c>
      <c r="D103" s="26" t="n"/>
      <c r="E103" s="28" t="n"/>
      <c r="F103" s="28" t="n"/>
      <c r="G103" s="29" t="n"/>
      <c r="H103" s="29" t="n"/>
      <c r="I103" s="29" t="n"/>
      <c r="J103" s="27">
        <f>IF(D103="","",IF(I103=0,"Sí","No"))</f>
        <v/>
      </c>
      <c r="K103" s="28" t="n"/>
      <c r="L103" s="30" t="n"/>
      <c r="M103" s="30" t="n"/>
      <c r="N103" s="30" t="n"/>
      <c r="O103" s="30" t="n"/>
      <c r="P103" s="30" t="n"/>
      <c r="Q103" s="30" t="n"/>
      <c r="R103" s="30" t="n"/>
      <c r="S103" s="30" t="n"/>
      <c r="T103" s="30" t="n"/>
      <c r="U103" s="30" t="n"/>
      <c r="V103" s="30" t="n"/>
      <c r="W103" s="30" t="n"/>
      <c r="X103" s="30" t="n"/>
      <c r="Y103" s="30" t="n"/>
      <c r="Z103" s="30" t="n"/>
      <c r="AA103" s="30" t="n"/>
      <c r="AB103" s="30" t="n"/>
      <c r="AC103" s="30" t="n"/>
      <c r="AD103" s="27">
        <f>IF(D103="","",IF(COUNTIF(L103:Q103,"X")&gt;0,"Sí","No"))</f>
        <v/>
      </c>
      <c r="AE103" s="26" t="n"/>
      <c r="AF103" s="26" t="n"/>
    </row>
    <row r="104">
      <c r="A104" s="25" t="n"/>
      <c r="B104" s="26" t="n"/>
      <c r="C104" s="27">
        <f>IF(D104="","","CWP"&amp;MID(D104,4,12))</f>
        <v/>
      </c>
      <c r="D104" s="26" t="n"/>
      <c r="E104" s="28" t="n"/>
      <c r="F104" s="28" t="n"/>
      <c r="G104" s="29" t="n"/>
      <c r="H104" s="29" t="n"/>
      <c r="I104" s="29" t="n"/>
      <c r="J104" s="27">
        <f>IF(D104="","",IF(I104=0,"Sí","No"))</f>
        <v/>
      </c>
      <c r="K104" s="28" t="n"/>
      <c r="L104" s="30" t="n"/>
      <c r="M104" s="30" t="n"/>
      <c r="N104" s="30" t="n"/>
      <c r="O104" s="30" t="n"/>
      <c r="P104" s="30" t="n"/>
      <c r="Q104" s="30" t="n"/>
      <c r="R104" s="30" t="n"/>
      <c r="S104" s="30" t="n"/>
      <c r="T104" s="30" t="n"/>
      <c r="U104" s="30" t="n"/>
      <c r="V104" s="30" t="n"/>
      <c r="W104" s="30" t="n"/>
      <c r="X104" s="30" t="n"/>
      <c r="Y104" s="30" t="n"/>
      <c r="Z104" s="30" t="n"/>
      <c r="AA104" s="30" t="n"/>
      <c r="AB104" s="30" t="n"/>
      <c r="AC104" s="30" t="n"/>
      <c r="AD104" s="27">
        <f>IF(D104="","",IF(COUNTIF(L104:Q104,"X")&gt;0,"Sí","No"))</f>
        <v/>
      </c>
      <c r="AE104" s="26" t="n"/>
      <c r="AF104" s="26" t="n"/>
    </row>
    <row r="105">
      <c r="A105" s="25" t="n"/>
      <c r="B105" s="26" t="n"/>
      <c r="C105" s="27">
        <f>IF(D105="","","CWP"&amp;MID(D105,4,12))</f>
        <v/>
      </c>
      <c r="D105" s="26" t="n"/>
      <c r="E105" s="28" t="n"/>
      <c r="F105" s="28" t="n"/>
      <c r="G105" s="29" t="n"/>
      <c r="H105" s="29" t="n"/>
      <c r="I105" s="29" t="n"/>
      <c r="J105" s="27">
        <f>IF(D105="","",IF(I105=0,"Sí","No"))</f>
        <v/>
      </c>
      <c r="K105" s="28" t="n"/>
      <c r="L105" s="30" t="n"/>
      <c r="M105" s="30" t="n"/>
      <c r="N105" s="30" t="n"/>
      <c r="O105" s="30" t="n"/>
      <c r="P105" s="30" t="n"/>
      <c r="Q105" s="30" t="n"/>
      <c r="R105" s="30" t="n"/>
      <c r="S105" s="30" t="n"/>
      <c r="T105" s="30" t="n"/>
      <c r="U105" s="30" t="n"/>
      <c r="V105" s="30" t="n"/>
      <c r="W105" s="30" t="n"/>
      <c r="X105" s="30" t="n"/>
      <c r="Y105" s="30" t="n"/>
      <c r="Z105" s="30" t="n"/>
      <c r="AA105" s="30" t="n"/>
      <c r="AB105" s="30" t="n"/>
      <c r="AC105" s="30" t="n"/>
      <c r="AD105" s="27">
        <f>IF(D105="","",IF(COUNTIF(L105:Q105,"X")&gt;0,"Sí","No"))</f>
        <v/>
      </c>
      <c r="AE105" s="26" t="n"/>
      <c r="AF105" s="26" t="n"/>
    </row>
    <row r="106">
      <c r="A106" s="25" t="n"/>
      <c r="B106" s="26" t="n"/>
      <c r="C106" s="27">
        <f>IF(D106="","","CWP"&amp;MID(D106,4,12))</f>
        <v/>
      </c>
      <c r="D106" s="26" t="n"/>
      <c r="E106" s="28" t="n"/>
      <c r="F106" s="28" t="n"/>
      <c r="G106" s="29" t="n"/>
      <c r="H106" s="29" t="n"/>
      <c r="I106" s="29" t="n"/>
      <c r="J106" s="27">
        <f>IF(D106="","",IF(I106=0,"Sí","No"))</f>
        <v/>
      </c>
      <c r="K106" s="28" t="n"/>
      <c r="L106" s="30" t="n"/>
      <c r="M106" s="30" t="n"/>
      <c r="N106" s="30" t="n"/>
      <c r="O106" s="30" t="n"/>
      <c r="P106" s="30" t="n"/>
      <c r="Q106" s="30" t="n"/>
      <c r="R106" s="30" t="n"/>
      <c r="S106" s="30" t="n"/>
      <c r="T106" s="30" t="n"/>
      <c r="U106" s="30" t="n"/>
      <c r="V106" s="30" t="n"/>
      <c r="W106" s="30" t="n"/>
      <c r="X106" s="30" t="n"/>
      <c r="Y106" s="30" t="n"/>
      <c r="Z106" s="30" t="n"/>
      <c r="AA106" s="30" t="n"/>
      <c r="AB106" s="30" t="n"/>
      <c r="AC106" s="30" t="n"/>
      <c r="AD106" s="27">
        <f>IF(D106="","",IF(COUNTIF(L106:Q106,"X")&gt;0,"Sí","No"))</f>
        <v/>
      </c>
      <c r="AE106" s="26" t="n"/>
      <c r="AF106" s="26" t="n"/>
    </row>
    <row r="107">
      <c r="A107" s="25" t="n"/>
      <c r="B107" s="26" t="n"/>
      <c r="C107" s="27">
        <f>IF(D107="","","CWP"&amp;MID(D107,4,12))</f>
        <v/>
      </c>
      <c r="D107" s="26" t="n"/>
      <c r="E107" s="28" t="n"/>
      <c r="F107" s="28" t="n"/>
      <c r="G107" s="29" t="n"/>
      <c r="H107" s="29" t="n"/>
      <c r="I107" s="29" t="n"/>
      <c r="J107" s="27">
        <f>IF(D107="","",IF(I107=0,"Sí","No"))</f>
        <v/>
      </c>
      <c r="K107" s="28" t="n"/>
      <c r="L107" s="30" t="n"/>
      <c r="M107" s="30" t="n"/>
      <c r="N107" s="30" t="n"/>
      <c r="O107" s="30" t="n"/>
      <c r="P107" s="30" t="n"/>
      <c r="Q107" s="30" t="n"/>
      <c r="R107" s="30" t="n"/>
      <c r="S107" s="30" t="n"/>
      <c r="T107" s="30" t="n"/>
      <c r="U107" s="30" t="n"/>
      <c r="V107" s="30" t="n"/>
      <c r="W107" s="30" t="n"/>
      <c r="X107" s="30" t="n"/>
      <c r="Y107" s="30" t="n"/>
      <c r="Z107" s="30" t="n"/>
      <c r="AA107" s="30" t="n"/>
      <c r="AB107" s="30" t="n"/>
      <c r="AC107" s="30" t="n"/>
      <c r="AD107" s="27">
        <f>IF(D107="","",IF(COUNTIF(L107:Q107,"X")&gt;0,"Sí","No"))</f>
        <v/>
      </c>
      <c r="AE107" s="26" t="n"/>
      <c r="AF107" s="26" t="n"/>
    </row>
    <row r="108">
      <c r="A108" s="25" t="n"/>
      <c r="B108" s="26" t="n"/>
      <c r="C108" s="27">
        <f>IF(D108="","","CWP"&amp;MID(D108,4,12))</f>
        <v/>
      </c>
      <c r="D108" s="26" t="n"/>
      <c r="E108" s="28" t="n"/>
      <c r="F108" s="28" t="n"/>
      <c r="G108" s="29" t="n"/>
      <c r="H108" s="29" t="n"/>
      <c r="I108" s="29" t="n"/>
      <c r="J108" s="27">
        <f>IF(D108="","",IF(I108=0,"Sí","No"))</f>
        <v/>
      </c>
      <c r="K108" s="28" t="n"/>
      <c r="L108" s="30" t="n"/>
      <c r="M108" s="30" t="n"/>
      <c r="N108" s="30" t="n"/>
      <c r="O108" s="30" t="n"/>
      <c r="P108" s="30" t="n"/>
      <c r="Q108" s="30" t="n"/>
      <c r="R108" s="30" t="n"/>
      <c r="S108" s="30" t="n"/>
      <c r="T108" s="30" t="n"/>
      <c r="U108" s="30" t="n"/>
      <c r="V108" s="30" t="n"/>
      <c r="W108" s="30" t="n"/>
      <c r="X108" s="30" t="n"/>
      <c r="Y108" s="30" t="n"/>
      <c r="Z108" s="30" t="n"/>
      <c r="AA108" s="30" t="n"/>
      <c r="AB108" s="30" t="n"/>
      <c r="AC108" s="30" t="n"/>
      <c r="AD108" s="27">
        <f>IF(D108="","",IF(COUNTIF(L108:Q108,"X")&gt;0,"Sí","No"))</f>
        <v/>
      </c>
      <c r="AE108" s="26" t="n"/>
      <c r="AF108" s="26" t="n"/>
    </row>
    <row r="109">
      <c r="A109" s="25" t="n"/>
      <c r="B109" s="26" t="n"/>
      <c r="C109" s="27">
        <f>IF(D109="","","CWP"&amp;MID(D109,4,12))</f>
        <v/>
      </c>
      <c r="D109" s="26" t="n"/>
      <c r="E109" s="28" t="n"/>
      <c r="F109" s="28" t="n"/>
      <c r="G109" s="29" t="n"/>
      <c r="H109" s="29" t="n"/>
      <c r="I109" s="29" t="n"/>
      <c r="J109" s="27">
        <f>IF(D109="","",IF(I109=0,"Sí","No"))</f>
        <v/>
      </c>
      <c r="K109" s="28" t="n"/>
      <c r="L109" s="30" t="n"/>
      <c r="M109" s="30" t="n"/>
      <c r="N109" s="30" t="n"/>
      <c r="O109" s="30" t="n"/>
      <c r="P109" s="30" t="n"/>
      <c r="Q109" s="30" t="n"/>
      <c r="R109" s="30" t="n"/>
      <c r="S109" s="30" t="n"/>
      <c r="T109" s="30" t="n"/>
      <c r="U109" s="30" t="n"/>
      <c r="V109" s="30" t="n"/>
      <c r="W109" s="30" t="n"/>
      <c r="X109" s="30" t="n"/>
      <c r="Y109" s="30" t="n"/>
      <c r="Z109" s="30" t="n"/>
      <c r="AA109" s="30" t="n"/>
      <c r="AB109" s="30" t="n"/>
      <c r="AC109" s="30" t="n"/>
      <c r="AD109" s="27">
        <f>IF(D109="","",IF(COUNTIF(L109:Q109,"X")&gt;0,"Sí","No"))</f>
        <v/>
      </c>
      <c r="AE109" s="26" t="n"/>
      <c r="AF109" s="26" t="n"/>
    </row>
    <row r="110">
      <c r="A110" s="25" t="n"/>
      <c r="B110" s="26" t="n"/>
      <c r="C110" s="27">
        <f>IF(D110="","","CWP"&amp;MID(D110,4,12))</f>
        <v/>
      </c>
      <c r="D110" s="26" t="n"/>
      <c r="E110" s="28" t="n"/>
      <c r="F110" s="28" t="n"/>
      <c r="G110" s="29" t="n"/>
      <c r="H110" s="29" t="n"/>
      <c r="I110" s="29" t="n"/>
      <c r="J110" s="27">
        <f>IF(D110="","",IF(I110=0,"Sí","No"))</f>
        <v/>
      </c>
      <c r="K110" s="28" t="n"/>
      <c r="L110" s="30" t="n"/>
      <c r="M110" s="30" t="n"/>
      <c r="N110" s="30" t="n"/>
      <c r="O110" s="30" t="n"/>
      <c r="P110" s="30" t="n"/>
      <c r="Q110" s="30" t="n"/>
      <c r="R110" s="30" t="n"/>
      <c r="S110" s="30" t="n"/>
      <c r="T110" s="30" t="n"/>
      <c r="U110" s="30" t="n"/>
      <c r="V110" s="30" t="n"/>
      <c r="W110" s="30" t="n"/>
      <c r="X110" s="30" t="n"/>
      <c r="Y110" s="30" t="n"/>
      <c r="Z110" s="30" t="n"/>
      <c r="AA110" s="30" t="n"/>
      <c r="AB110" s="30" t="n"/>
      <c r="AC110" s="30" t="n"/>
      <c r="AD110" s="27">
        <f>IF(D110="","",IF(COUNTIF(L110:Q110,"X")&gt;0,"Sí","No"))</f>
        <v/>
      </c>
      <c r="AE110" s="26" t="n"/>
      <c r="AF110" s="26" t="n"/>
    </row>
    <row r="111">
      <c r="A111" s="25" t="n"/>
      <c r="B111" s="26" t="n"/>
      <c r="C111" s="27">
        <f>IF(D111="","","CWP"&amp;MID(D111,4,12))</f>
        <v/>
      </c>
      <c r="D111" s="26" t="n"/>
      <c r="E111" s="28" t="n"/>
      <c r="F111" s="28" t="n"/>
      <c r="G111" s="29" t="n"/>
      <c r="H111" s="29" t="n"/>
      <c r="I111" s="29" t="n"/>
      <c r="J111" s="27">
        <f>IF(D111="","",IF(I111=0,"Sí","No"))</f>
        <v/>
      </c>
      <c r="K111" s="28" t="n"/>
      <c r="L111" s="30" t="n"/>
      <c r="M111" s="30" t="n"/>
      <c r="N111" s="30" t="n"/>
      <c r="O111" s="30" t="n"/>
      <c r="P111" s="30" t="n"/>
      <c r="Q111" s="30" t="n"/>
      <c r="R111" s="30" t="n"/>
      <c r="S111" s="30" t="n"/>
      <c r="T111" s="30" t="n"/>
      <c r="U111" s="30" t="n"/>
      <c r="V111" s="30" t="n"/>
      <c r="W111" s="30" t="n"/>
      <c r="X111" s="30" t="n"/>
      <c r="Y111" s="30" t="n"/>
      <c r="Z111" s="30" t="n"/>
      <c r="AA111" s="30" t="n"/>
      <c r="AB111" s="30" t="n"/>
      <c r="AC111" s="30" t="n"/>
      <c r="AD111" s="27">
        <f>IF(D111="","",IF(COUNTIF(L111:Q111,"X")&gt;0,"Sí","No"))</f>
        <v/>
      </c>
      <c r="AE111" s="26" t="n"/>
      <c r="AF111" s="26" t="n"/>
    </row>
    <row r="112">
      <c r="A112" s="25" t="n"/>
      <c r="B112" s="26" t="n"/>
      <c r="C112" s="27">
        <f>IF(D112="","","CWP"&amp;MID(D112,4,12))</f>
        <v/>
      </c>
      <c r="D112" s="26" t="n"/>
      <c r="E112" s="28" t="n"/>
      <c r="F112" s="28" t="n"/>
      <c r="G112" s="29" t="n"/>
      <c r="H112" s="29" t="n"/>
      <c r="I112" s="29" t="n"/>
      <c r="J112" s="27">
        <f>IF(D112="","",IF(I112=0,"Sí","No"))</f>
        <v/>
      </c>
      <c r="K112" s="28" t="n"/>
      <c r="L112" s="30" t="n"/>
      <c r="M112" s="30" t="n"/>
      <c r="N112" s="30" t="n"/>
      <c r="O112" s="30" t="n"/>
      <c r="P112" s="30" t="n"/>
      <c r="Q112" s="30" t="n"/>
      <c r="R112" s="30" t="n"/>
      <c r="S112" s="30" t="n"/>
      <c r="T112" s="30" t="n"/>
      <c r="U112" s="30" t="n"/>
      <c r="V112" s="30" t="n"/>
      <c r="W112" s="30" t="n"/>
      <c r="X112" s="30" t="n"/>
      <c r="Y112" s="30" t="n"/>
      <c r="Z112" s="30" t="n"/>
      <c r="AA112" s="30" t="n"/>
      <c r="AB112" s="30" t="n"/>
      <c r="AC112" s="30" t="n"/>
      <c r="AD112" s="27">
        <f>IF(D112="","",IF(COUNTIF(L112:Q112,"X")&gt;0,"Sí","No"))</f>
        <v/>
      </c>
      <c r="AE112" s="26" t="n"/>
      <c r="AF112" s="26" t="n"/>
    </row>
    <row r="113">
      <c r="A113" s="25" t="n"/>
      <c r="B113" s="26" t="n"/>
      <c r="C113" s="27">
        <f>IF(D113="","","CWP"&amp;MID(D113,4,12))</f>
        <v/>
      </c>
      <c r="D113" s="26" t="n"/>
      <c r="E113" s="28" t="n"/>
      <c r="F113" s="28" t="n"/>
      <c r="G113" s="29" t="n"/>
      <c r="H113" s="29" t="n"/>
      <c r="I113" s="29" t="n"/>
      <c r="J113" s="27">
        <f>IF(D113="","",IF(I113=0,"Sí","No"))</f>
        <v/>
      </c>
      <c r="K113" s="28" t="n"/>
      <c r="L113" s="30" t="n"/>
      <c r="M113" s="30" t="n"/>
      <c r="N113" s="30" t="n"/>
      <c r="O113" s="30" t="n"/>
      <c r="P113" s="30" t="n"/>
      <c r="Q113" s="30" t="n"/>
      <c r="R113" s="30" t="n"/>
      <c r="S113" s="30" t="n"/>
      <c r="T113" s="30" t="n"/>
      <c r="U113" s="30" t="n"/>
      <c r="V113" s="30" t="n"/>
      <c r="W113" s="30" t="n"/>
      <c r="X113" s="30" t="n"/>
      <c r="Y113" s="30" t="n"/>
      <c r="Z113" s="30" t="n"/>
      <c r="AA113" s="30" t="n"/>
      <c r="AB113" s="30" t="n"/>
      <c r="AC113" s="30" t="n"/>
      <c r="AD113" s="27">
        <f>IF(D113="","",IF(COUNTIF(L113:Q113,"X")&gt;0,"Sí","No"))</f>
        <v/>
      </c>
      <c r="AE113" s="26" t="n"/>
      <c r="AF113" s="26" t="n"/>
    </row>
    <row r="114">
      <c r="A114" s="25" t="n"/>
      <c r="B114" s="26" t="n"/>
      <c r="C114" s="27">
        <f>IF(D114="","","CWP"&amp;MID(D114,4,12))</f>
        <v/>
      </c>
      <c r="D114" s="26" t="n"/>
      <c r="E114" s="28" t="n"/>
      <c r="F114" s="28" t="n"/>
      <c r="G114" s="29" t="n"/>
      <c r="H114" s="29" t="n"/>
      <c r="I114" s="29" t="n"/>
      <c r="J114" s="27">
        <f>IF(D114="","",IF(I114=0,"Sí","No"))</f>
        <v/>
      </c>
      <c r="K114" s="28" t="n"/>
      <c r="L114" s="30" t="n"/>
      <c r="M114" s="30" t="n"/>
      <c r="N114" s="30" t="n"/>
      <c r="O114" s="30" t="n"/>
      <c r="P114" s="30" t="n"/>
      <c r="Q114" s="30" t="n"/>
      <c r="R114" s="30" t="n"/>
      <c r="S114" s="30" t="n"/>
      <c r="T114" s="30" t="n"/>
      <c r="U114" s="30" t="n"/>
      <c r="V114" s="30" t="n"/>
      <c r="W114" s="30" t="n"/>
      <c r="X114" s="30" t="n"/>
      <c r="Y114" s="30" t="n"/>
      <c r="Z114" s="30" t="n"/>
      <c r="AA114" s="30" t="n"/>
      <c r="AB114" s="30" t="n"/>
      <c r="AC114" s="30" t="n"/>
      <c r="AD114" s="27">
        <f>IF(D114="","",IF(COUNTIF(L114:Q114,"X")&gt;0,"Sí","No"))</f>
        <v/>
      </c>
      <c r="AE114" s="26" t="n"/>
      <c r="AF114" s="26" t="n"/>
    </row>
    <row r="115">
      <c r="A115" s="25" t="n"/>
      <c r="B115" s="26" t="n"/>
      <c r="C115" s="27">
        <f>IF(D115="","","CWP"&amp;MID(D115,4,12))</f>
        <v/>
      </c>
      <c r="D115" s="26" t="n"/>
      <c r="E115" s="28" t="n"/>
      <c r="F115" s="28" t="n"/>
      <c r="G115" s="29" t="n"/>
      <c r="H115" s="29" t="n"/>
      <c r="I115" s="29" t="n"/>
      <c r="J115" s="27">
        <f>IF(D115="","",IF(I115=0,"Sí","No"))</f>
        <v/>
      </c>
      <c r="K115" s="28" t="n"/>
      <c r="L115" s="30" t="n"/>
      <c r="M115" s="30" t="n"/>
      <c r="N115" s="30" t="n"/>
      <c r="O115" s="30" t="n"/>
      <c r="P115" s="30" t="n"/>
      <c r="Q115" s="30" t="n"/>
      <c r="R115" s="30" t="n"/>
      <c r="S115" s="30" t="n"/>
      <c r="T115" s="30" t="n"/>
      <c r="U115" s="30" t="n"/>
      <c r="V115" s="30" t="n"/>
      <c r="W115" s="30" t="n"/>
      <c r="X115" s="30" t="n"/>
      <c r="Y115" s="30" t="n"/>
      <c r="Z115" s="30" t="n"/>
      <c r="AA115" s="30" t="n"/>
      <c r="AB115" s="30" t="n"/>
      <c r="AC115" s="30" t="n"/>
      <c r="AD115" s="27">
        <f>IF(D115="","",IF(COUNTIF(L115:Q115,"X")&gt;0,"Sí","No"))</f>
        <v/>
      </c>
      <c r="AE115" s="26" t="n"/>
      <c r="AF115" s="26" t="n"/>
    </row>
    <row r="116">
      <c r="A116" s="25" t="n"/>
      <c r="B116" s="26" t="n"/>
      <c r="C116" s="27">
        <f>IF(D116="","","CWP"&amp;MID(D116,4,12))</f>
        <v/>
      </c>
      <c r="D116" s="26" t="n"/>
      <c r="E116" s="28" t="n"/>
      <c r="F116" s="28" t="n"/>
      <c r="G116" s="29" t="n"/>
      <c r="H116" s="29" t="n"/>
      <c r="I116" s="29" t="n"/>
      <c r="J116" s="27">
        <f>IF(D116="","",IF(I116=0,"Sí","No"))</f>
        <v/>
      </c>
      <c r="K116" s="28" t="n"/>
      <c r="L116" s="30" t="n"/>
      <c r="M116" s="30" t="n"/>
      <c r="N116" s="30" t="n"/>
      <c r="O116" s="30" t="n"/>
      <c r="P116" s="30" t="n"/>
      <c r="Q116" s="30" t="n"/>
      <c r="R116" s="30" t="n"/>
      <c r="S116" s="30" t="n"/>
      <c r="T116" s="30" t="n"/>
      <c r="U116" s="30" t="n"/>
      <c r="V116" s="30" t="n"/>
      <c r="W116" s="30" t="n"/>
      <c r="X116" s="30" t="n"/>
      <c r="Y116" s="30" t="n"/>
      <c r="Z116" s="30" t="n"/>
      <c r="AA116" s="30" t="n"/>
      <c r="AB116" s="30" t="n"/>
      <c r="AC116" s="30" t="n"/>
      <c r="AD116" s="27">
        <f>IF(D116="","",IF(COUNTIF(L116:Q116,"X")&gt;0,"Sí","No"))</f>
        <v/>
      </c>
      <c r="AE116" s="26" t="n"/>
      <c r="AF116" s="26" t="n"/>
    </row>
    <row r="117">
      <c r="A117" s="25" t="n"/>
      <c r="B117" s="26" t="n"/>
      <c r="C117" s="27">
        <f>IF(D117="","","CWP"&amp;MID(D117,4,12))</f>
        <v/>
      </c>
      <c r="D117" s="26" t="n"/>
      <c r="E117" s="28" t="n"/>
      <c r="F117" s="28" t="n"/>
      <c r="G117" s="29" t="n"/>
      <c r="H117" s="29" t="n"/>
      <c r="I117" s="29" t="n"/>
      <c r="J117" s="27">
        <f>IF(D117="","",IF(I117=0,"Sí","No"))</f>
        <v/>
      </c>
      <c r="K117" s="28" t="n"/>
      <c r="L117" s="30" t="n"/>
      <c r="M117" s="30" t="n"/>
      <c r="N117" s="30" t="n"/>
      <c r="O117" s="30" t="n"/>
      <c r="P117" s="30" t="n"/>
      <c r="Q117" s="30" t="n"/>
      <c r="R117" s="30" t="n"/>
      <c r="S117" s="30" t="n"/>
      <c r="T117" s="30" t="n"/>
      <c r="U117" s="30" t="n"/>
      <c r="V117" s="30" t="n"/>
      <c r="W117" s="30" t="n"/>
      <c r="X117" s="30" t="n"/>
      <c r="Y117" s="30" t="n"/>
      <c r="Z117" s="30" t="n"/>
      <c r="AA117" s="30" t="n"/>
      <c r="AB117" s="30" t="n"/>
      <c r="AC117" s="30" t="n"/>
      <c r="AD117" s="27">
        <f>IF(D117="","",IF(COUNTIF(L117:Q117,"X")&gt;0,"Sí","No"))</f>
        <v/>
      </c>
      <c r="AE117" s="26" t="n"/>
      <c r="AF117" s="26" t="n"/>
    </row>
    <row r="118">
      <c r="A118" s="25" t="n"/>
      <c r="B118" s="26" t="n"/>
      <c r="C118" s="27">
        <f>IF(D118="","","CWP"&amp;MID(D118,4,12))</f>
        <v/>
      </c>
      <c r="D118" s="26" t="n"/>
      <c r="E118" s="28" t="n"/>
      <c r="F118" s="28" t="n"/>
      <c r="G118" s="29" t="n"/>
      <c r="H118" s="29" t="n"/>
      <c r="I118" s="29" t="n"/>
      <c r="J118" s="27">
        <f>IF(D118="","",IF(I118=0,"Sí","No"))</f>
        <v/>
      </c>
      <c r="K118" s="28" t="n"/>
      <c r="L118" s="30" t="n"/>
      <c r="M118" s="30" t="n"/>
      <c r="N118" s="30" t="n"/>
      <c r="O118" s="30" t="n"/>
      <c r="P118" s="30" t="n"/>
      <c r="Q118" s="30" t="n"/>
      <c r="R118" s="30" t="n"/>
      <c r="S118" s="30" t="n"/>
      <c r="T118" s="30" t="n"/>
      <c r="U118" s="30" t="n"/>
      <c r="V118" s="30" t="n"/>
      <c r="W118" s="30" t="n"/>
      <c r="X118" s="30" t="n"/>
      <c r="Y118" s="30" t="n"/>
      <c r="Z118" s="30" t="n"/>
      <c r="AA118" s="30" t="n"/>
      <c r="AB118" s="30" t="n"/>
      <c r="AC118" s="30" t="n"/>
      <c r="AD118" s="27">
        <f>IF(D118="","",IF(COUNTIF(L118:Q118,"X")&gt;0,"Sí","No"))</f>
        <v/>
      </c>
      <c r="AE118" s="26" t="n"/>
      <c r="AF118" s="26" t="n"/>
    </row>
    <row r="119">
      <c r="A119" s="25" t="n"/>
      <c r="B119" s="26" t="n"/>
      <c r="C119" s="27">
        <f>IF(D119="","","CWP"&amp;MID(D119,4,12))</f>
        <v/>
      </c>
      <c r="D119" s="26" t="n"/>
      <c r="E119" s="28" t="n"/>
      <c r="F119" s="28" t="n"/>
      <c r="G119" s="29" t="n"/>
      <c r="H119" s="29" t="n"/>
      <c r="I119" s="29" t="n"/>
      <c r="J119" s="27">
        <f>IF(D119="","",IF(I119=0,"Sí","No"))</f>
        <v/>
      </c>
      <c r="K119" s="28" t="n"/>
      <c r="L119" s="30" t="n"/>
      <c r="M119" s="30" t="n"/>
      <c r="N119" s="30" t="n"/>
      <c r="O119" s="30" t="n"/>
      <c r="P119" s="30" t="n"/>
      <c r="Q119" s="30" t="n"/>
      <c r="R119" s="30" t="n"/>
      <c r="S119" s="30" t="n"/>
      <c r="T119" s="30" t="n"/>
      <c r="U119" s="30" t="n"/>
      <c r="V119" s="30" t="n"/>
      <c r="W119" s="30" t="n"/>
      <c r="X119" s="30" t="n"/>
      <c r="Y119" s="30" t="n"/>
      <c r="Z119" s="30" t="n"/>
      <c r="AA119" s="30" t="n"/>
      <c r="AB119" s="30" t="n"/>
      <c r="AC119" s="30" t="n"/>
      <c r="AD119" s="27">
        <f>IF(D119="","",IF(COUNTIF(L119:Q119,"X")&gt;0,"Sí","No"))</f>
        <v/>
      </c>
      <c r="AE119" s="26" t="n"/>
      <c r="AF119" s="26" t="n"/>
    </row>
    <row r="120">
      <c r="A120" s="25" t="n"/>
      <c r="B120" s="26" t="n"/>
      <c r="C120" s="27">
        <f>IF(D120="","","CWP"&amp;MID(D120,4,12))</f>
        <v/>
      </c>
      <c r="D120" s="26" t="n"/>
      <c r="E120" s="28" t="n"/>
      <c r="F120" s="28" t="n"/>
      <c r="G120" s="29" t="n"/>
      <c r="H120" s="29" t="n"/>
      <c r="I120" s="29" t="n"/>
      <c r="J120" s="27">
        <f>IF(D120="","",IF(I120=0,"Sí","No"))</f>
        <v/>
      </c>
      <c r="K120" s="28" t="n"/>
      <c r="L120" s="30" t="n"/>
      <c r="M120" s="30" t="n"/>
      <c r="N120" s="30" t="n"/>
      <c r="O120" s="30" t="n"/>
      <c r="P120" s="30" t="n"/>
      <c r="Q120" s="30" t="n"/>
      <c r="R120" s="30" t="n"/>
      <c r="S120" s="30" t="n"/>
      <c r="T120" s="30" t="n"/>
      <c r="U120" s="30" t="n"/>
      <c r="V120" s="30" t="n"/>
      <c r="W120" s="30" t="n"/>
      <c r="X120" s="30" t="n"/>
      <c r="Y120" s="30" t="n"/>
      <c r="Z120" s="30" t="n"/>
      <c r="AA120" s="30" t="n"/>
      <c r="AB120" s="30" t="n"/>
      <c r="AC120" s="30" t="n"/>
      <c r="AD120" s="27">
        <f>IF(D120="","",IF(COUNTIF(L120:Q120,"X")&gt;0,"Sí","No"))</f>
        <v/>
      </c>
      <c r="AE120" s="26" t="n"/>
      <c r="AF120" s="26" t="n"/>
    </row>
    <row r="121">
      <c r="A121" s="25" t="n"/>
      <c r="B121" s="26" t="n"/>
      <c r="C121" s="27">
        <f>IF(D121="","","CWP"&amp;MID(D121,4,12))</f>
        <v/>
      </c>
      <c r="D121" s="26" t="n"/>
      <c r="E121" s="28" t="n"/>
      <c r="F121" s="28" t="n"/>
      <c r="G121" s="29" t="n"/>
      <c r="H121" s="29" t="n"/>
      <c r="I121" s="29" t="n"/>
      <c r="J121" s="27">
        <f>IF(D121="","",IF(I121=0,"Sí","No"))</f>
        <v/>
      </c>
      <c r="K121" s="28" t="n"/>
      <c r="L121" s="30" t="n"/>
      <c r="M121" s="30" t="n"/>
      <c r="N121" s="30" t="n"/>
      <c r="O121" s="30" t="n"/>
      <c r="P121" s="30" t="n"/>
      <c r="Q121" s="30" t="n"/>
      <c r="R121" s="30" t="n"/>
      <c r="S121" s="30" t="n"/>
      <c r="T121" s="30" t="n"/>
      <c r="U121" s="30" t="n"/>
      <c r="V121" s="30" t="n"/>
      <c r="W121" s="30" t="n"/>
      <c r="X121" s="30" t="n"/>
      <c r="Y121" s="30" t="n"/>
      <c r="Z121" s="30" t="n"/>
      <c r="AA121" s="30" t="n"/>
      <c r="AB121" s="30" t="n"/>
      <c r="AC121" s="30" t="n"/>
      <c r="AD121" s="27">
        <f>IF(D121="","",IF(COUNTIF(L121:Q121,"X")&gt;0,"Sí","No"))</f>
        <v/>
      </c>
      <c r="AE121" s="26" t="n"/>
      <c r="AF121" s="26" t="n"/>
    </row>
    <row r="122">
      <c r="A122" s="25" t="n"/>
      <c r="B122" s="26" t="n"/>
      <c r="C122" s="27">
        <f>IF(D122="","","CWP"&amp;MID(D122,4,12))</f>
        <v/>
      </c>
      <c r="D122" s="26" t="n"/>
      <c r="E122" s="28" t="n"/>
      <c r="F122" s="28" t="n"/>
      <c r="G122" s="29" t="n"/>
      <c r="H122" s="29" t="n"/>
      <c r="I122" s="29" t="n"/>
      <c r="J122" s="27">
        <f>IF(D122="","",IF(I122=0,"Sí","No"))</f>
        <v/>
      </c>
      <c r="K122" s="28" t="n"/>
      <c r="L122" s="30" t="n"/>
      <c r="M122" s="30" t="n"/>
      <c r="N122" s="30" t="n"/>
      <c r="O122" s="30" t="n"/>
      <c r="P122" s="30" t="n"/>
      <c r="Q122" s="30" t="n"/>
      <c r="R122" s="30" t="n"/>
      <c r="S122" s="30" t="n"/>
      <c r="T122" s="30" t="n"/>
      <c r="U122" s="30" t="n"/>
      <c r="V122" s="30" t="n"/>
      <c r="W122" s="30" t="n"/>
      <c r="X122" s="30" t="n"/>
      <c r="Y122" s="30" t="n"/>
      <c r="Z122" s="30" t="n"/>
      <c r="AA122" s="30" t="n"/>
      <c r="AB122" s="30" t="n"/>
      <c r="AC122" s="30" t="n"/>
      <c r="AD122" s="27">
        <f>IF(D122="","",IF(COUNTIF(L122:Q122,"X")&gt;0,"Sí","No"))</f>
        <v/>
      </c>
      <c r="AE122" s="26" t="n"/>
      <c r="AF122" s="26" t="n"/>
    </row>
    <row r="123">
      <c r="A123" s="25" t="n"/>
      <c r="B123" s="26" t="n"/>
      <c r="C123" s="27">
        <f>IF(D123="","","CWP"&amp;MID(D123,4,12))</f>
        <v/>
      </c>
      <c r="D123" s="26" t="n"/>
      <c r="E123" s="28" t="n"/>
      <c r="F123" s="28" t="n"/>
      <c r="G123" s="29" t="n"/>
      <c r="H123" s="29" t="n"/>
      <c r="I123" s="29" t="n"/>
      <c r="J123" s="27">
        <f>IF(D123="","",IF(I123=0,"Sí","No"))</f>
        <v/>
      </c>
      <c r="K123" s="28" t="n"/>
      <c r="L123" s="30" t="n"/>
      <c r="M123" s="30" t="n"/>
      <c r="N123" s="30" t="n"/>
      <c r="O123" s="30" t="n"/>
      <c r="P123" s="30" t="n"/>
      <c r="Q123" s="30" t="n"/>
      <c r="R123" s="30" t="n"/>
      <c r="S123" s="30" t="n"/>
      <c r="T123" s="30" t="n"/>
      <c r="U123" s="30" t="n"/>
      <c r="V123" s="30" t="n"/>
      <c r="W123" s="30" t="n"/>
      <c r="X123" s="30" t="n"/>
      <c r="Y123" s="30" t="n"/>
      <c r="Z123" s="30" t="n"/>
      <c r="AA123" s="30" t="n"/>
      <c r="AB123" s="30" t="n"/>
      <c r="AC123" s="30" t="n"/>
      <c r="AD123" s="27">
        <f>IF(D123="","",IF(COUNTIF(L123:Q123,"X")&gt;0,"Sí","No"))</f>
        <v/>
      </c>
      <c r="AE123" s="26" t="n"/>
      <c r="AF123" s="26" t="n"/>
    </row>
    <row r="124">
      <c r="A124" s="25" t="n"/>
      <c r="B124" s="26" t="n"/>
      <c r="C124" s="27">
        <f>IF(D124="","","CWP"&amp;MID(D124,4,12))</f>
        <v/>
      </c>
      <c r="D124" s="26" t="n"/>
      <c r="E124" s="28" t="n"/>
      <c r="F124" s="28" t="n"/>
      <c r="G124" s="29" t="n"/>
      <c r="H124" s="29" t="n"/>
      <c r="I124" s="29" t="n"/>
      <c r="J124" s="27">
        <f>IF(D124="","",IF(I124=0,"Sí","No"))</f>
        <v/>
      </c>
      <c r="K124" s="28" t="n"/>
      <c r="L124" s="30" t="n"/>
      <c r="M124" s="30" t="n"/>
      <c r="N124" s="30" t="n"/>
      <c r="O124" s="30" t="n"/>
      <c r="P124" s="30" t="n"/>
      <c r="Q124" s="30" t="n"/>
      <c r="R124" s="30" t="n"/>
      <c r="S124" s="30" t="n"/>
      <c r="T124" s="30" t="n"/>
      <c r="U124" s="30" t="n"/>
      <c r="V124" s="30" t="n"/>
      <c r="W124" s="30" t="n"/>
      <c r="X124" s="30" t="n"/>
      <c r="Y124" s="30" t="n"/>
      <c r="Z124" s="30" t="n"/>
      <c r="AA124" s="30" t="n"/>
      <c r="AB124" s="30" t="n"/>
      <c r="AC124" s="30" t="n"/>
      <c r="AD124" s="27">
        <f>IF(D124="","",IF(COUNTIF(L124:Q124,"X")&gt;0,"Sí","No"))</f>
        <v/>
      </c>
      <c r="AE124" s="26" t="n"/>
      <c r="AF124" s="26" t="n"/>
    </row>
    <row r="125">
      <c r="A125" s="25" t="n"/>
      <c r="B125" s="26" t="n"/>
      <c r="C125" s="27">
        <f>IF(D125="","","CWP"&amp;MID(D125,4,12))</f>
        <v/>
      </c>
      <c r="D125" s="26" t="n"/>
      <c r="E125" s="28" t="n"/>
      <c r="F125" s="28" t="n"/>
      <c r="G125" s="29" t="n"/>
      <c r="H125" s="29" t="n"/>
      <c r="I125" s="29" t="n"/>
      <c r="J125" s="27">
        <f>IF(D125="","",IF(I125=0,"Sí","No"))</f>
        <v/>
      </c>
      <c r="K125" s="28" t="n"/>
      <c r="L125" s="30" t="n"/>
      <c r="M125" s="30" t="n"/>
      <c r="N125" s="30" t="n"/>
      <c r="O125" s="30" t="n"/>
      <c r="P125" s="30" t="n"/>
      <c r="Q125" s="30" t="n"/>
      <c r="R125" s="30" t="n"/>
      <c r="S125" s="30" t="n"/>
      <c r="T125" s="30" t="n"/>
      <c r="U125" s="30" t="n"/>
      <c r="V125" s="30" t="n"/>
      <c r="W125" s="30" t="n"/>
      <c r="X125" s="30" t="n"/>
      <c r="Y125" s="30" t="n"/>
      <c r="Z125" s="30" t="n"/>
      <c r="AA125" s="30" t="n"/>
      <c r="AB125" s="30" t="n"/>
      <c r="AC125" s="30" t="n"/>
      <c r="AD125" s="27">
        <f>IF(D125="","",IF(COUNTIF(L125:Q125,"X")&gt;0,"Sí","No"))</f>
        <v/>
      </c>
      <c r="AE125" s="26" t="n"/>
      <c r="AF125" s="26" t="n"/>
    </row>
  </sheetData>
  <autoFilter ref="A5:AF125"/>
  <conditionalFormatting sqref="L6:AC125">
    <cfRule type="expression" priority="1" dxfId="0" stopIfTrue="1">
      <formula>AND(L6="X",$J6="No")</formula>
    </cfRule>
    <cfRule type="expression" priority="2" dxfId="1" stopIfTrue="1">
      <formula>L6="X"</formula>
    </cfRule>
  </conditionalFormatting>
  <conditionalFormatting sqref="J6:J125">
    <cfRule type="expression" priority="3" dxfId="2" stopIfTrue="1">
      <formula>$J6="No"</formula>
    </cfRule>
    <cfRule type="expression" priority="4" dxfId="3" stopIfTrue="1">
      <formula>$J6="Sí"</formula>
    </cfRule>
  </conditionalFormatting>
  <conditionalFormatting sqref="AE6:AF125">
    <cfRule type="expression" priority="5" dxfId="4" stopIfTrue="1">
      <formula>AND($AD6="Sí",$AE6="No")</formula>
    </cfRule>
  </conditionalFormatting>
  <dataValidations count="21">
    <dataValidation sqref="B6:B125" showDropDown="0" showInputMessage="0" showErrorMessage="1" allowBlank="1" errorTitle="Valor no válido" error="Seleccione un valor de la lista." prompt="Seleccione fase del proyecto" type="list">
      <formula1>=Fases</formula1>
    </dataValidation>
    <dataValidation sqref="L6:L125" showDropDown="0" showInputMessage="0" showErrorMessage="1" allowBlank="1" errorTitle="Valor no válido" error="Seleccione un valor de la lista." prompt="Seleccione s1 l" type="list">
      <formula1>"X"</formula1>
    </dataValidation>
    <dataValidation sqref="M6:M125" showDropDown="0" showInputMessage="0" showErrorMessage="1" allowBlank="1" errorTitle="Valor no válido" error="Seleccione un valor de la lista." prompt="Seleccione s1 m" type="list">
      <formula1>"X"</formula1>
    </dataValidation>
    <dataValidation sqref="N6:N125" showDropDown="0" showInputMessage="0" showErrorMessage="1" allowBlank="1" errorTitle="Valor no válido" error="Seleccione un valor de la lista." prompt="Seleccione s1 x" type="list">
      <formula1>"X"</formula1>
    </dataValidation>
    <dataValidation sqref="O6:O125" showDropDown="0" showInputMessage="0" showErrorMessage="1" allowBlank="1" errorTitle="Valor no válido" error="Seleccione un valor de la lista." prompt="Seleccione s1 j" type="list">
      <formula1>"X"</formula1>
    </dataValidation>
    <dataValidation sqref="P6:P125" showDropDown="0" showInputMessage="0" showErrorMessage="1" allowBlank="1" errorTitle="Valor no válido" error="Seleccione un valor de la lista." prompt="Seleccione s1 v" type="list">
      <formula1>"X"</formula1>
    </dataValidation>
    <dataValidation sqref="Q6:Q125" showDropDown="0" showInputMessage="0" showErrorMessage="1" allowBlank="1" errorTitle="Valor no válido" error="Seleccione un valor de la lista." prompt="Seleccione s1 s" type="list">
      <formula1>"X"</formula1>
    </dataValidation>
    <dataValidation sqref="R6:R125" showDropDown="0" showInputMessage="0" showErrorMessage="1" allowBlank="1" errorTitle="Valor no válido" error="Seleccione un valor de la lista." prompt="Seleccione s2 l" type="list">
      <formula1>"X"</formula1>
    </dataValidation>
    <dataValidation sqref="S6:S125" showDropDown="0" showInputMessage="0" showErrorMessage="1" allowBlank="1" errorTitle="Valor no válido" error="Seleccione un valor de la lista." prompt="Seleccione s2 m" type="list">
      <formula1>"X"</formula1>
    </dataValidation>
    <dataValidation sqref="T6:T125" showDropDown="0" showInputMessage="0" showErrorMessage="1" allowBlank="1" errorTitle="Valor no válido" error="Seleccione un valor de la lista." prompt="Seleccione s2 x" type="list">
      <formula1>"X"</formula1>
    </dataValidation>
    <dataValidation sqref="U6:U125" showDropDown="0" showInputMessage="0" showErrorMessage="1" allowBlank="1" errorTitle="Valor no válido" error="Seleccione un valor de la lista." prompt="Seleccione s2 j" type="list">
      <formula1>"X"</formula1>
    </dataValidation>
    <dataValidation sqref="V6:V125" showDropDown="0" showInputMessage="0" showErrorMessage="1" allowBlank="1" errorTitle="Valor no válido" error="Seleccione un valor de la lista." prompt="Seleccione s2 v" type="list">
      <formula1>"X"</formula1>
    </dataValidation>
    <dataValidation sqref="W6:W125" showDropDown="0" showInputMessage="0" showErrorMessage="1" allowBlank="1" errorTitle="Valor no válido" error="Seleccione un valor de la lista." prompt="Seleccione s2 s" type="list">
      <formula1>"X"</formula1>
    </dataValidation>
    <dataValidation sqref="X6:X125" showDropDown="0" showInputMessage="0" showErrorMessage="1" allowBlank="1" errorTitle="Valor no válido" error="Seleccione un valor de la lista." prompt="Seleccione s3 l" type="list">
      <formula1>"X"</formula1>
    </dataValidation>
    <dataValidation sqref="Y6:Y125" showDropDown="0" showInputMessage="0" showErrorMessage="1" allowBlank="1" errorTitle="Valor no válido" error="Seleccione un valor de la lista." prompt="Seleccione s3 m" type="list">
      <formula1>"X"</formula1>
    </dataValidation>
    <dataValidation sqref="Z6:Z125" showDropDown="0" showInputMessage="0" showErrorMessage="1" allowBlank="1" errorTitle="Valor no válido" error="Seleccione un valor de la lista." prompt="Seleccione s3 x" type="list">
      <formula1>"X"</formula1>
    </dataValidation>
    <dataValidation sqref="AA6:AA125" showDropDown="0" showInputMessage="0" showErrorMessage="1" allowBlank="1" errorTitle="Valor no válido" error="Seleccione un valor de la lista." prompt="Seleccione s3 j" type="list">
      <formula1>"X"</formula1>
    </dataValidation>
    <dataValidation sqref="AB6:AB125" showDropDown="0" showInputMessage="0" showErrorMessage="1" allowBlank="1" errorTitle="Valor no válido" error="Seleccione un valor de la lista." prompt="Seleccione s3 v" type="list">
      <formula1>"X"</formula1>
    </dataValidation>
    <dataValidation sqref="AC6:AC125" showDropDown="0" showInputMessage="0" showErrorMessage="1" allowBlank="1" errorTitle="Valor no válido" error="Seleccione un valor de la lista." prompt="Seleccione s3 s" type="list">
      <formula1>"X"</formula1>
    </dataValidation>
    <dataValidation sqref="AE6:AE125" showDropDown="0" showInputMessage="0" showErrorMessage="1" allowBlank="1" errorTitle="Valor no válido" error="Seleccione un valor de la lista." prompt="Seleccione completado semana 1" type="list">
      <formula1>=SiNo</formula1>
    </dataValidation>
    <dataValidation sqref="AF6:AF125" showDropDown="0" showInputMessage="0" showErrorMessage="1" allowBlank="1" errorTitle="Valor no válido" error="Seleccione un valor de la lista." prompt="Seleccione causa de no cumplimiento" type="list">
      <formula1>=Causas</formula1>
    </dataValidation>
  </dataValidations>
  <printOptions horizontalCentered="1"/>
  <pageMargins left="0.4" right="0.4" top="0.6" bottom="0.6" header="0.5" footer="0.5"/>
  <pageSetup orientation="landscape" paperSize="9" fitToHeight="0" fitToWidth="1"/>
  <headerFooter>
    <oddHeader>&amp;L&amp;8 Kit de implementación AWP&amp;R&amp;8 Lookahead de 3 semanas</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1"/>
  <sheetViews>
    <sheetView tabSelected="0" workbookViewId="0">
      <selection activeCell="A1" sqref="A1"/>
    </sheetView>
  </sheetViews>
  <sheetFormatPr baseColWidth="8" defaultRowHeight="15"/>
  <cols>
    <col width="34" customWidth="1" min="1" max="1"/>
  </cols>
  <sheetData>
    <row r="1" ht="24" customHeight="1">
      <c r="A1" s="11" t="inlineStr">
        <is>
          <t>Causas de no cumplimiento (semana 1)</t>
        </is>
      </c>
    </row>
    <row r="2">
      <c r="A2" s="2" t="inlineStr">
        <is>
          <t>Calculado a partir de la hoja «Lookahead». Úselo en la reunión semanal y en el análisis de lecciones.</t>
        </is>
      </c>
    </row>
    <row r="4">
      <c r="A4" s="5" t="inlineStr">
        <is>
          <t>IWP no completados por causa y fase</t>
        </is>
      </c>
    </row>
    <row r="5" ht="32" customHeight="1">
      <c r="A5" s="16" t="inlineStr"/>
      <c r="B5" s="16" t="inlineStr">
        <is>
          <t>Fase 1</t>
        </is>
      </c>
      <c r="C5" s="16" t="inlineStr">
        <is>
          <t>Fase 2</t>
        </is>
      </c>
      <c r="D5" s="16" t="inlineStr">
        <is>
          <t>Fase 3</t>
        </is>
      </c>
      <c r="E5" s="16" t="inlineStr">
        <is>
          <t>Total</t>
        </is>
      </c>
    </row>
    <row r="6">
      <c r="A6" s="31" t="inlineStr">
        <is>
          <t>Ingeniería</t>
        </is>
      </c>
      <c r="B6" s="32">
        <f>COUNTIFS(Lookahead!$AF$6:$AF$125,$A6,Lookahead!$B$6:$B$125,"Fase 1")</f>
        <v/>
      </c>
      <c r="C6" s="32">
        <f>COUNTIFS(Lookahead!$AF$6:$AF$125,$A6,Lookahead!$B$6:$B$125,"Fase 2")</f>
        <v/>
      </c>
      <c r="D6" s="32">
        <f>COUNTIFS(Lookahead!$AF$6:$AF$125,$A6,Lookahead!$B$6:$B$125,"Fase 3")</f>
        <v/>
      </c>
      <c r="E6" s="32">
        <f>COUNTIF(Lookahead!$AF$6:$AF$125,$A6)</f>
        <v/>
      </c>
    </row>
    <row r="7">
      <c r="A7" s="31" t="inlineStr">
        <is>
          <t>Materiales</t>
        </is>
      </c>
      <c r="B7" s="32">
        <f>COUNTIFS(Lookahead!$AF$6:$AF$125,$A7,Lookahead!$B$6:$B$125,"Fase 1")</f>
        <v/>
      </c>
      <c r="C7" s="32">
        <f>COUNTIFS(Lookahead!$AF$6:$AF$125,$A7,Lookahead!$B$6:$B$125,"Fase 2")</f>
        <v/>
      </c>
      <c r="D7" s="32">
        <f>COUNTIFS(Lookahead!$AF$6:$AF$125,$A7,Lookahead!$B$6:$B$125,"Fase 3")</f>
        <v/>
      </c>
      <c r="E7" s="32">
        <f>COUNTIF(Lookahead!$AF$6:$AF$125,$A7)</f>
        <v/>
      </c>
    </row>
    <row r="8">
      <c r="A8" s="31" t="inlineStr">
        <is>
          <t>Equipos de construcción</t>
        </is>
      </c>
      <c r="B8" s="32">
        <f>COUNTIFS(Lookahead!$AF$6:$AF$125,$A8,Lookahead!$B$6:$B$125,"Fase 1")</f>
        <v/>
      </c>
      <c r="C8" s="32">
        <f>COUNTIFS(Lookahead!$AF$6:$AF$125,$A8,Lookahead!$B$6:$B$125,"Fase 2")</f>
        <v/>
      </c>
      <c r="D8" s="32">
        <f>COUNTIFS(Lookahead!$AF$6:$AF$125,$A8,Lookahead!$B$6:$B$125,"Fase 3")</f>
        <v/>
      </c>
      <c r="E8" s="32">
        <f>COUNTIF(Lookahead!$AF$6:$AF$125,$A8)</f>
        <v/>
      </c>
    </row>
    <row r="9">
      <c r="A9" s="31" t="inlineStr">
        <is>
          <t>Permisos</t>
        </is>
      </c>
      <c r="B9" s="32">
        <f>COUNTIFS(Lookahead!$AF$6:$AF$125,$A9,Lookahead!$B$6:$B$125,"Fase 1")</f>
        <v/>
      </c>
      <c r="C9" s="32">
        <f>COUNTIFS(Lookahead!$AF$6:$AF$125,$A9,Lookahead!$B$6:$B$125,"Fase 2")</f>
        <v/>
      </c>
      <c r="D9" s="32">
        <f>COUNTIFS(Lookahead!$AF$6:$AF$125,$A9,Lookahead!$B$6:$B$125,"Fase 3")</f>
        <v/>
      </c>
      <c r="E9" s="32">
        <f>COUNTIF(Lookahead!$AF$6:$AF$125,$A9)</f>
        <v/>
      </c>
    </row>
    <row r="10">
      <c r="A10" s="31" t="inlineStr">
        <is>
          <t>Mano de obra</t>
        </is>
      </c>
      <c r="B10" s="32">
        <f>COUNTIFS(Lookahead!$AF$6:$AF$125,$A10,Lookahead!$B$6:$B$125,"Fase 1")</f>
        <v/>
      </c>
      <c r="C10" s="32">
        <f>COUNTIFS(Lookahead!$AF$6:$AF$125,$A10,Lookahead!$B$6:$B$125,"Fase 2")</f>
        <v/>
      </c>
      <c r="D10" s="32">
        <f>COUNTIFS(Lookahead!$AF$6:$AF$125,$A10,Lookahead!$B$6:$B$125,"Fase 3")</f>
        <v/>
      </c>
      <c r="E10" s="32">
        <f>COUNTIF(Lookahead!$AF$6:$AF$125,$A10)</f>
        <v/>
      </c>
    </row>
    <row r="11">
      <c r="A11" s="31" t="inlineStr">
        <is>
          <t>Andamios</t>
        </is>
      </c>
      <c r="B11" s="32">
        <f>COUNTIFS(Lookahead!$AF$6:$AF$125,$A11,Lookahead!$B$6:$B$125,"Fase 1")</f>
        <v/>
      </c>
      <c r="C11" s="32">
        <f>COUNTIFS(Lookahead!$AF$6:$AF$125,$A11,Lookahead!$B$6:$B$125,"Fase 2")</f>
        <v/>
      </c>
      <c r="D11" s="32">
        <f>COUNTIFS(Lookahead!$AF$6:$AF$125,$A11,Lookahead!$B$6:$B$125,"Fase 3")</f>
        <v/>
      </c>
      <c r="E11" s="32">
        <f>COUNTIF(Lookahead!$AF$6:$AF$125,$A11)</f>
        <v/>
      </c>
    </row>
    <row r="12">
      <c r="A12" s="31" t="inlineStr">
        <is>
          <t>Acceso / interferencias</t>
        </is>
      </c>
      <c r="B12" s="32">
        <f>COUNTIFS(Lookahead!$AF$6:$AF$125,$A12,Lookahead!$B$6:$B$125,"Fase 1")</f>
        <v/>
      </c>
      <c r="C12" s="32">
        <f>COUNTIFS(Lookahead!$AF$6:$AF$125,$A12,Lookahead!$B$6:$B$125,"Fase 2")</f>
        <v/>
      </c>
      <c r="D12" s="32">
        <f>COUNTIFS(Lookahead!$AF$6:$AF$125,$A12,Lookahead!$B$6:$B$125,"Fase 3")</f>
        <v/>
      </c>
      <c r="E12" s="32">
        <f>COUNTIF(Lookahead!$AF$6:$AF$125,$A12)</f>
        <v/>
      </c>
    </row>
    <row r="13">
      <c r="A13" s="31" t="inlineStr">
        <is>
          <t>Trabajos predecesores</t>
        </is>
      </c>
      <c r="B13" s="32">
        <f>COUNTIFS(Lookahead!$AF$6:$AF$125,$A13,Lookahead!$B$6:$B$125,"Fase 1")</f>
        <v/>
      </c>
      <c r="C13" s="32">
        <f>COUNTIFS(Lookahead!$AF$6:$AF$125,$A13,Lookahead!$B$6:$B$125,"Fase 2")</f>
        <v/>
      </c>
      <c r="D13" s="32">
        <f>COUNTIFS(Lookahead!$AF$6:$AF$125,$A13,Lookahead!$B$6:$B$125,"Fase 3")</f>
        <v/>
      </c>
      <c r="E13" s="32">
        <f>COUNTIF(Lookahead!$AF$6:$AF$125,$A13)</f>
        <v/>
      </c>
    </row>
    <row r="14">
      <c r="A14" s="31" t="inlineStr">
        <is>
          <t>Calidad</t>
        </is>
      </c>
      <c r="B14" s="32">
        <f>COUNTIFS(Lookahead!$AF$6:$AF$125,$A14,Lookahead!$B$6:$B$125,"Fase 1")</f>
        <v/>
      </c>
      <c r="C14" s="32">
        <f>COUNTIFS(Lookahead!$AF$6:$AF$125,$A14,Lookahead!$B$6:$B$125,"Fase 2")</f>
        <v/>
      </c>
      <c r="D14" s="32">
        <f>COUNTIFS(Lookahead!$AF$6:$AF$125,$A14,Lookahead!$B$6:$B$125,"Fase 3")</f>
        <v/>
      </c>
      <c r="E14" s="32">
        <f>COUNTIF(Lookahead!$AF$6:$AF$125,$A14)</f>
        <v/>
      </c>
    </row>
    <row r="15">
      <c r="A15" s="31" t="inlineStr">
        <is>
          <t>HSE</t>
        </is>
      </c>
      <c r="B15" s="32">
        <f>COUNTIFS(Lookahead!$AF$6:$AF$125,$A15,Lookahead!$B$6:$B$125,"Fase 1")</f>
        <v/>
      </c>
      <c r="C15" s="32">
        <f>COUNTIFS(Lookahead!$AF$6:$AF$125,$A15,Lookahead!$B$6:$B$125,"Fase 2")</f>
        <v/>
      </c>
      <c r="D15" s="32">
        <f>COUNTIFS(Lookahead!$AF$6:$AF$125,$A15,Lookahead!$B$6:$B$125,"Fase 3")</f>
        <v/>
      </c>
      <c r="E15" s="32">
        <f>COUNTIF(Lookahead!$AF$6:$AF$125,$A15)</f>
        <v/>
      </c>
    </row>
    <row r="16">
      <c r="A16" s="31" t="inlineStr">
        <is>
          <t>Documentación del proveedor</t>
        </is>
      </c>
      <c r="B16" s="32">
        <f>COUNTIFS(Lookahead!$AF$6:$AF$125,$A16,Lookahead!$B$6:$B$125,"Fase 1")</f>
        <v/>
      </c>
      <c r="C16" s="32">
        <f>COUNTIFS(Lookahead!$AF$6:$AF$125,$A16,Lookahead!$B$6:$B$125,"Fase 2")</f>
        <v/>
      </c>
      <c r="D16" s="32">
        <f>COUNTIFS(Lookahead!$AF$6:$AF$125,$A16,Lookahead!$B$6:$B$125,"Fase 3")</f>
        <v/>
      </c>
      <c r="E16" s="32">
        <f>COUNTIF(Lookahead!$AF$6:$AF$125,$A16)</f>
        <v/>
      </c>
    </row>
    <row r="17">
      <c r="A17" s="31" t="inlineStr">
        <is>
          <t>Interfaz entre fases</t>
        </is>
      </c>
      <c r="B17" s="32">
        <f>COUNTIFS(Lookahead!$AF$6:$AF$125,$A17,Lookahead!$B$6:$B$125,"Fase 1")</f>
        <v/>
      </c>
      <c r="C17" s="32">
        <f>COUNTIFS(Lookahead!$AF$6:$AF$125,$A17,Lookahead!$B$6:$B$125,"Fase 2")</f>
        <v/>
      </c>
      <c r="D17" s="32">
        <f>COUNTIFS(Lookahead!$AF$6:$AF$125,$A17,Lookahead!$B$6:$B$125,"Fase 3")</f>
        <v/>
      </c>
      <c r="E17" s="32">
        <f>COUNTIF(Lookahead!$AF$6:$AF$125,$A17)</f>
        <v/>
      </c>
    </row>
    <row r="18">
      <c r="A18" s="31" t="inlineStr">
        <is>
          <t>Clima</t>
        </is>
      </c>
      <c r="B18" s="32">
        <f>COUNTIFS(Lookahead!$AF$6:$AF$125,$A18,Lookahead!$B$6:$B$125,"Fase 1")</f>
        <v/>
      </c>
      <c r="C18" s="32">
        <f>COUNTIFS(Lookahead!$AF$6:$AF$125,$A18,Lookahead!$B$6:$B$125,"Fase 2")</f>
        <v/>
      </c>
      <c r="D18" s="32">
        <f>COUNTIFS(Lookahead!$AF$6:$AF$125,$A18,Lookahead!$B$6:$B$125,"Fase 3")</f>
        <v/>
      </c>
      <c r="E18" s="32">
        <f>COUNTIF(Lookahead!$AF$6:$AF$125,$A18)</f>
        <v/>
      </c>
    </row>
    <row r="19">
      <c r="A19" s="31" t="inlineStr">
        <is>
          <t>Cambio de prioridad</t>
        </is>
      </c>
      <c r="B19" s="32">
        <f>COUNTIFS(Lookahead!$AF$6:$AF$125,$A19,Lookahead!$B$6:$B$125,"Fase 1")</f>
        <v/>
      </c>
      <c r="C19" s="32">
        <f>COUNTIFS(Lookahead!$AF$6:$AF$125,$A19,Lookahead!$B$6:$B$125,"Fase 2")</f>
        <v/>
      </c>
      <c r="D19" s="32">
        <f>COUNTIFS(Lookahead!$AF$6:$AF$125,$A19,Lookahead!$B$6:$B$125,"Fase 3")</f>
        <v/>
      </c>
      <c r="E19" s="32">
        <f>COUNTIF(Lookahead!$AF$6:$AF$125,$A19)</f>
        <v/>
      </c>
    </row>
    <row r="20">
      <c r="A20" s="31" t="inlineStr">
        <is>
          <t>Productividad menor a la prevista</t>
        </is>
      </c>
      <c r="B20" s="32">
        <f>COUNTIFS(Lookahead!$AF$6:$AF$125,$A20,Lookahead!$B$6:$B$125,"Fase 1")</f>
        <v/>
      </c>
      <c r="C20" s="32">
        <f>COUNTIFS(Lookahead!$AF$6:$AF$125,$A20,Lookahead!$B$6:$B$125,"Fase 2")</f>
        <v/>
      </c>
      <c r="D20" s="32">
        <f>COUNTIFS(Lookahead!$AF$6:$AF$125,$A20,Lookahead!$B$6:$B$125,"Fase 3")</f>
        <v/>
      </c>
      <c r="E20" s="32">
        <f>COUNTIF(Lookahead!$AF$6:$AF$125,$A20)</f>
        <v/>
      </c>
    </row>
    <row r="21">
      <c r="A21" s="31" t="inlineStr">
        <is>
          <t>Otro</t>
        </is>
      </c>
      <c r="B21" s="32">
        <f>COUNTIFS(Lookahead!$AF$6:$AF$125,$A21,Lookahead!$B$6:$B$125,"Fase 1")</f>
        <v/>
      </c>
      <c r="C21" s="32">
        <f>COUNTIFS(Lookahead!$AF$6:$AF$125,$A21,Lookahead!$B$6:$B$125,"Fase 2")</f>
        <v/>
      </c>
      <c r="D21" s="32">
        <f>COUNTIFS(Lookahead!$AF$6:$AF$125,$A21,Lookahead!$B$6:$B$125,"Fase 3")</f>
        <v/>
      </c>
      <c r="E21" s="32">
        <f>COUNTIF(Lookahead!$AF$6:$AF$125,$A21)</f>
        <v/>
      </c>
    </row>
  </sheetData>
  <printOptions horizontalCentered="1"/>
  <pageMargins left="0.4" right="0.4" top="0.6" bottom="0.6" header="0.5" footer="0.5"/>
  <pageSetup orientation="portrait" paperSize="9" fitToHeight="0" fitToWidth="1"/>
  <headerFooter>
    <oddHeader>&amp;L&amp;8 Kit de implementación AWP&amp;R&amp;8 Causas de no cumplimiento</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tabColor rgb="007F7F7F"/>
    <outlinePr summaryBelow="1" summaryRight="1"/>
    <pageSetUpPr/>
  </sheetPr>
  <dimension ref="A1:C18"/>
  <sheetViews>
    <sheetView tabSelected="0" workbookViewId="0">
      <pane ySplit="2" topLeftCell="A3" activePane="bottomLeft" state="frozen"/>
      <selection pane="bottomLeft" activeCell="A1" sqref="A1"/>
    </sheetView>
  </sheetViews>
  <sheetFormatPr baseColWidth="8" defaultRowHeight="15"/>
  <cols>
    <col width="14" customWidth="1" min="1" max="1"/>
    <col width="14" customWidth="1" min="2" max="2"/>
    <col width="35" customWidth="1" min="3" max="3"/>
  </cols>
  <sheetData>
    <row r="1">
      <c r="A1" s="33" t="inlineStr">
        <is>
          <t>Valores de las listas desplegables. Puede ampliarlas agregando valores al final de cada columna y ajustando el rango con nombre (Fórmulas &gt; Administrador de nombres).</t>
        </is>
      </c>
    </row>
    <row r="2">
      <c r="A2" s="34" t="inlineStr">
        <is>
          <t>Fases</t>
        </is>
      </c>
      <c r="B2" s="34" t="inlineStr">
        <is>
          <t>SiNo</t>
        </is>
      </c>
      <c r="C2" s="34" t="inlineStr">
        <is>
          <t>Causas</t>
        </is>
      </c>
    </row>
    <row r="3">
      <c r="A3" s="35" t="inlineStr">
        <is>
          <t>Fase 1</t>
        </is>
      </c>
      <c r="B3" s="35" t="inlineStr">
        <is>
          <t>Sí</t>
        </is>
      </c>
      <c r="C3" s="35" t="inlineStr">
        <is>
          <t>Ingeniería</t>
        </is>
      </c>
    </row>
    <row r="4">
      <c r="A4" s="35" t="inlineStr">
        <is>
          <t>Fase 2</t>
        </is>
      </c>
      <c r="B4" s="35" t="inlineStr">
        <is>
          <t>No</t>
        </is>
      </c>
      <c r="C4" s="35" t="inlineStr">
        <is>
          <t>Materiales</t>
        </is>
      </c>
    </row>
    <row r="5">
      <c r="A5" s="35" t="inlineStr">
        <is>
          <t>Fase 3</t>
        </is>
      </c>
      <c r="C5" s="35" t="inlineStr">
        <is>
          <t>Equipos de construcción</t>
        </is>
      </c>
    </row>
    <row r="6">
      <c r="C6" s="35" t="inlineStr">
        <is>
          <t>Permisos</t>
        </is>
      </c>
    </row>
    <row r="7">
      <c r="C7" s="35" t="inlineStr">
        <is>
          <t>Mano de obra</t>
        </is>
      </c>
    </row>
    <row r="8">
      <c r="C8" s="35" t="inlineStr">
        <is>
          <t>Andamios</t>
        </is>
      </c>
    </row>
    <row r="9">
      <c r="C9" s="35" t="inlineStr">
        <is>
          <t>Acceso / interferencias</t>
        </is>
      </c>
    </row>
    <row r="10">
      <c r="C10" s="35" t="inlineStr">
        <is>
          <t>Trabajos predecesores</t>
        </is>
      </c>
    </row>
    <row r="11">
      <c r="C11" s="35" t="inlineStr">
        <is>
          <t>Calidad</t>
        </is>
      </c>
    </row>
    <row r="12">
      <c r="C12" s="35" t="inlineStr">
        <is>
          <t>HSE</t>
        </is>
      </c>
    </row>
    <row r="13">
      <c r="C13" s="35" t="inlineStr">
        <is>
          <t>Documentación del proveedor</t>
        </is>
      </c>
    </row>
    <row r="14">
      <c r="C14" s="35" t="inlineStr">
        <is>
          <t>Interfaz entre fases</t>
        </is>
      </c>
    </row>
    <row r="15">
      <c r="C15" s="35" t="inlineStr">
        <is>
          <t>Clima</t>
        </is>
      </c>
    </row>
    <row r="16">
      <c r="C16" s="35" t="inlineStr">
        <is>
          <t>Cambio de prioridad</t>
        </is>
      </c>
    </row>
    <row r="17">
      <c r="C17" s="35" t="inlineStr">
        <is>
          <t>Productividad menor a la prevista</t>
        </is>
      </c>
    </row>
    <row r="18">
      <c r="C18" s="35" t="inlineStr">
        <is>
          <t>Otro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Lookahead de 3 semanas</dc:title>
  <dc:subject xmlns:dc="http://purl.org/dc/elements/1.1/">Proyecto Tipo (PT) – Complejo de instalaciones en tres fases</dc:subject>
  <dcterms:created xmlns:dcterms="http://purl.org/dc/terms/" xmlns:xsi="http://www.w3.org/2001/XMLSchema-instance" xsi:type="dcterms:W3CDTF">2026-09-25T03:31:53Z</dcterms:created>
  <dcterms:modified xmlns:dcterms="http://purl.org/dc/terms/" xmlns:xsi="http://www.w3.org/2001/XMLSchema-instance" xsi:type="dcterms:W3CDTF">2026-09-25T03:31:54Z</dcterms:modified>
</cp:coreProperties>
</file>