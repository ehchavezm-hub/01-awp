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ablero" sheetId="2" state="visible" r:id="rId2"/>
    <sheet xmlns:r="http://schemas.openxmlformats.org/officeDocument/2006/relationships" name="Metas" sheetId="3" state="visible" r:id="rId3"/>
    <sheet xmlns:r="http://schemas.openxmlformats.org/officeDocument/2006/relationships" name="Datos semanales" sheetId="4" state="visible" r:id="rId4"/>
    <sheet xmlns:r="http://schemas.openxmlformats.org/officeDocument/2006/relationships" name="Listas" sheetId="5" state="visible" r:id="rId5"/>
  </sheets>
  <definedNames>
    <definedName name="Fases">Listas!$A$3:$A$5</definedName>
    <definedName name="_xlnm.Print_Area" localSheetId="0">'Instrucciones'!$A$1:$C$52</definedName>
    <definedName name="_xlnm.Print_Titles" localSheetId="1">'Tablero'!$5:$6</definedName>
    <definedName name="_xlnm.Print_Area" localSheetId="1">'Tablero'!$A$1:$O$50</definedName>
    <definedName name="_xlnm.Print_Titles" localSheetId="2">'Metas'!$5:$5</definedName>
    <definedName name="_xlnm.Print_Area" localSheetId="2">'Metas'!$A$1:$I$18</definedName>
    <definedName name="_xlnm._FilterDatabase" localSheetId="3" hidden="1">'Datos semanales'!$A$5:$AD$305</definedName>
    <definedName name="_xlnm.Print_Titles" localSheetId="3">'Datos semanales'!$5:$5</definedName>
    <definedName name="_xlnm.Print_Area" localSheetId="3">'Datos semanales'!$A$1:$AD$55</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14">
    <font>
      <name val="Calibri"/>
      <family val="2"/>
      <color theme="1"/>
      <sz val="11"/>
      <scheme val="minor"/>
    </font>
    <font>
      <name val="Calibri"/>
      <b val="1"/>
      <color rgb="001F3864"/>
      <sz val="15"/>
    </font>
    <font>
      <name val="Calibri"/>
      <i val="1"/>
      <color rgb="00595959"/>
      <sz val="10"/>
    </font>
    <font>
      <name val="Calibri"/>
      <b val="1"/>
      <color rgb="00FFFFFF"/>
      <sz val="10"/>
    </font>
    <font>
      <name val="Calibri"/>
      <color rgb="00000000"/>
      <sz val="10"/>
    </font>
    <font>
      <name val="Calibri"/>
      <color rgb="00404040"/>
      <sz val="10"/>
    </font>
    <font>
      <name val="Calibri"/>
      <b val="1"/>
      <color rgb="00FFFFFF"/>
    </font>
    <font>
      <name val="Calibri"/>
      <b val="1"/>
      <sz val="10"/>
    </font>
    <font>
      <name val="Calibri"/>
      <sz val="10"/>
    </font>
    <font>
      <name val="Calibri"/>
      <b val="1"/>
      <color rgb="001F3864"/>
    </font>
    <font>
      <name val="Calibri"/>
      <b val="1"/>
      <color rgb="001F3864"/>
      <sz val="16"/>
    </font>
    <font>
      <name val="Calibri"/>
      <b val="1"/>
      <color rgb="001F3864"/>
      <sz val="11"/>
    </font>
    <font>
      <name val="Calibri"/>
      <b val="1"/>
      <color rgb="001F3864"/>
      <sz val="12"/>
    </font>
    <font>
      <name val="Calibri"/>
      <i val="1"/>
      <sz val="9"/>
    </font>
  </fonts>
  <fills count="7">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
      <patternFill patternType="solid">
        <fgColor rgb="00DCE6F2"/>
        <bgColor rgb="00DCE6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0" fillId="0" borderId="0" pivotButton="0" quotePrefix="0" xfId="0"/>
    <xf numFmtId="0" fontId="2" fillId="0" borderId="0" pivotButton="0" quotePrefix="0" xfId="0"/>
    <xf numFmtId="0" fontId="11" fillId="0" borderId="0" applyAlignment="1" pivotButton="0" quotePrefix="0" xfId="0">
      <alignment vertical="top"/>
    </xf>
    <xf numFmtId="0" fontId="8" fillId="0" borderId="0" applyAlignment="1" pivotButton="0" quotePrefix="0" xfId="0">
      <alignment vertical="top" wrapText="1"/>
    </xf>
    <xf numFmtId="0" fontId="12" fillId="0" borderId="0" pivotButton="0" quotePrefix="0" xfId="0"/>
    <xf numFmtId="0" fontId="6" fillId="2"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5" borderId="1" applyAlignment="1" pivotButton="0" quotePrefix="0" xfId="0">
      <alignment vertical="top" wrapText="1"/>
    </xf>
    <xf numFmtId="0" fontId="8" fillId="5" borderId="1"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wrapText="1"/>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8" fillId="0" borderId="1" applyAlignment="1" pivotButton="0" quotePrefix="0" xfId="0">
      <alignment horizontal="center" vertical="center"/>
    </xf>
    <xf numFmtId="166" fontId="8" fillId="0" borderId="1" applyAlignment="1" pivotButton="0" quotePrefix="0" xfId="0">
      <alignment horizontal="center" vertical="center"/>
    </xf>
    <xf numFmtId="167" fontId="8" fillId="0" borderId="1" applyAlignment="1" pivotButton="0" quotePrefix="0" xfId="0">
      <alignment horizontal="center" vertical="center"/>
    </xf>
    <xf numFmtId="1" fontId="8" fillId="0" borderId="1" applyAlignment="1" pivotButton="0" quotePrefix="0" xfId="0">
      <alignment horizontal="center" vertical="center"/>
    </xf>
    <xf numFmtId="2" fontId="8" fillId="0" borderId="1" applyAlignment="1" pivotButton="0" quotePrefix="0" xfId="0">
      <alignment horizontal="center" vertical="center"/>
    </xf>
    <xf numFmtId="0" fontId="9" fillId="0" borderId="0" pivotButton="0" quotePrefix="0" xfId="0"/>
    <xf numFmtId="9" fontId="0"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166" fontId="0" fillId="6" borderId="1" applyAlignment="1" pivotButton="0" quotePrefix="0" xfId="0">
      <alignment vertical="top" wrapText="1"/>
    </xf>
    <xf numFmtId="167" fontId="0" fillId="6" borderId="1" applyAlignment="1" pivotButton="0" quotePrefix="0" xfId="0">
      <alignment vertical="top" wrapText="1"/>
    </xf>
    <xf numFmtId="1" fontId="0" fillId="6" borderId="1" applyAlignment="1" pivotButton="0" quotePrefix="0" xfId="0">
      <alignment vertical="top" wrapText="1"/>
    </xf>
    <xf numFmtId="2" fontId="0" fillId="6" borderId="1" applyAlignment="1" pivotButton="0" quotePrefix="0" xfId="0">
      <alignment vertical="top" wrapText="1"/>
    </xf>
    <xf numFmtId="0" fontId="3" fillId="3" borderId="1" applyAlignment="1" pivotButton="0" quotePrefix="0" xfId="0">
      <alignment horizontal="center" vertical="center" wrapText="1"/>
    </xf>
    <xf numFmtId="0" fontId="4" fillId="4" borderId="1" applyAlignment="1" pivotButton="0" quotePrefix="0" xfId="0">
      <alignment horizontal="center" vertical="top"/>
    </xf>
    <xf numFmtId="165" fontId="4" fillId="4" borderId="1" applyAlignment="1" pivotButton="0" quotePrefix="0" xfId="0">
      <alignment horizontal="center" vertical="top"/>
    </xf>
    <xf numFmtId="0" fontId="4" fillId="4" borderId="1" applyAlignment="1" pivotButton="0" quotePrefix="0" xfId="0">
      <alignment vertical="top"/>
    </xf>
    <xf numFmtId="3" fontId="4" fillId="4" borderId="1" applyAlignment="1" pivotButton="0" quotePrefix="0" xfId="0">
      <alignment vertical="top"/>
    </xf>
    <xf numFmtId="9" fontId="4" fillId="4" borderId="1" applyAlignment="1" pivotButton="0" quotePrefix="0" xfId="0">
      <alignment horizontal="center" vertical="top"/>
    </xf>
    <xf numFmtId="9" fontId="5" fillId="4" borderId="1" applyAlignment="1" pivotButton="0" quotePrefix="0" xfId="0">
      <alignment horizontal="center" vertical="top"/>
    </xf>
    <xf numFmtId="4" fontId="5" fillId="4" borderId="1" applyAlignment="1" pivotButton="0" quotePrefix="0" xfId="0">
      <alignment vertical="top"/>
    </xf>
    <xf numFmtId="0" fontId="4" fillId="0" borderId="1" applyAlignment="1" pivotButton="0" quotePrefix="0" xfId="0">
      <alignment horizontal="center" vertical="top"/>
    </xf>
    <xf numFmtId="165" fontId="4" fillId="0" borderId="1" applyAlignment="1" pivotButton="0" quotePrefix="0" xfId="0">
      <alignment horizontal="center" vertical="top"/>
    </xf>
    <xf numFmtId="0" fontId="4" fillId="0" borderId="1" applyAlignment="1" pivotButton="0" quotePrefix="0" xfId="0">
      <alignment vertical="top"/>
    </xf>
    <xf numFmtId="3" fontId="4" fillId="0" borderId="1" applyAlignment="1" pivotButton="0" quotePrefix="0" xfId="0">
      <alignment vertical="top"/>
    </xf>
    <xf numFmtId="9" fontId="4" fillId="0" borderId="1" applyAlignment="1" pivotButton="0" quotePrefix="0" xfId="0">
      <alignment horizontal="center" vertical="top"/>
    </xf>
    <xf numFmtId="9" fontId="5" fillId="5" borderId="1" applyAlignment="1" pivotButton="0" quotePrefix="0" xfId="0">
      <alignment horizontal="center" vertical="top"/>
    </xf>
    <xf numFmtId="4" fontId="5" fillId="5" borderId="1" applyAlignment="1" pivotButton="0" quotePrefix="0" xfId="0">
      <alignment vertical="top"/>
    </xf>
    <xf numFmtId="0" fontId="13" fillId="0" borderId="0" pivotButton="0" quotePrefix="0" xfId="0"/>
    <xf numFmtId="0" fontId="6" fillId="2" borderId="0" pivotButton="0" quotePrefix="0" xfId="0"/>
    <xf numFmtId="0" fontId="8" fillId="0" borderId="0" pivotButton="0" quotePrefix="0" xfId="0"/>
  </cellXfs>
  <cellStyles count="1">
    <cellStyle name="Normal" xfId="0" builtinId="0" hidden="0"/>
  </cellStyles>
  <dxfs count="5">
    <dxf>
      <font>
        <b val="1"/>
        <color rgb="009C0006"/>
      </font>
      <fill>
        <patternFill patternType="solid">
          <fgColor rgb="00F8CBAD"/>
          <bgColor rgb="00F8CBAD"/>
        </patternFill>
      </fill>
    </dxf>
    <dxf>
      <font>
        <b val="1"/>
        <color rgb="007F6000"/>
      </font>
      <fill>
        <patternFill patternType="solid">
          <fgColor rgb="00FFE699"/>
          <bgColor rgb="00FFE699"/>
        </patternFill>
      </fill>
    </dxf>
    <dxf>
      <font>
        <b val="1"/>
        <color rgb="00006100"/>
      </font>
      <fill>
        <patternFill patternType="solid">
          <fgColor rgb="00C6EFCE"/>
          <bgColor rgb="00C6EFCE"/>
        </patternFill>
      </fill>
    </dxf>
    <dxf>
      <font>
        <color rgb="00006100"/>
      </font>
      <fill>
        <patternFill patternType="solid">
          <fgColor rgb="00C6EFCE"/>
          <bgColor rgb="00C6EFCE"/>
        </patternFill>
      </fill>
    </dxf>
    <dxf>
      <font>
        <color rgb="009C0006"/>
      </font>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KPI porcentuales por fase del proyecto</a:t>
            </a:r>
          </a:p>
        </rich>
      </tx>
    </title>
    <plotArea>
      <barChart>
        <barDir val="col"/>
        <grouping val="clustered"/>
        <ser>
          <idx val="0"/>
          <order val="0"/>
          <tx>
            <strRef>
              <f>'Tablero'!C23</f>
            </strRef>
          </tx>
          <spPr>
            <a:ln xmlns:a="http://schemas.openxmlformats.org/drawingml/2006/main">
              <a:prstDash val="solid"/>
            </a:ln>
          </spPr>
          <cat>
            <numRef>
              <f>'Tablero'!$B$24:$B$29</f>
            </numRef>
          </cat>
          <val>
            <numRef>
              <f>'Tablero'!$C$24:$C$29</f>
            </numRef>
          </val>
        </ser>
        <ser>
          <idx val="1"/>
          <order val="1"/>
          <tx>
            <strRef>
              <f>'Tablero'!D23</f>
            </strRef>
          </tx>
          <spPr>
            <a:ln xmlns:a="http://schemas.openxmlformats.org/drawingml/2006/main">
              <a:prstDash val="solid"/>
            </a:ln>
          </spPr>
          <cat>
            <numRef>
              <f>'Tablero'!$B$24:$B$29</f>
            </numRef>
          </cat>
          <val>
            <numRef>
              <f>'Tablero'!$D$24:$D$29</f>
            </numRef>
          </val>
        </ser>
        <ser>
          <idx val="2"/>
          <order val="2"/>
          <tx>
            <strRef>
              <f>'Tablero'!E23</f>
            </strRef>
          </tx>
          <spPr>
            <a:ln xmlns:a="http://schemas.openxmlformats.org/drawingml/2006/main">
              <a:prstDash val="solid"/>
            </a:ln>
          </spPr>
          <cat>
            <numRef>
              <f>'Tablero'!$B$24:$B$29</f>
            </numRef>
          </cat>
          <val>
            <numRef>
              <f>'Tablero'!$E$24:$E$29</f>
            </numRef>
          </val>
        </ser>
        <gapWidth val="15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Valor</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30</row>
      <rowOff>0</rowOff>
    </from>
    <ext cx="79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48235"/>
    <outlinePr summaryBelow="1" summaryRight="1"/>
    <pageSetUpPr fitToPage="1"/>
  </sheetPr>
  <dimension ref="A1:C50"/>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Tablero de KPI por fase</t>
        </is>
      </c>
    </row>
    <row r="2">
      <c r="A2" s="2" t="inlineStr">
        <is>
          <t>Kit de implementación AWP · Proyecto Tipo (PT) – Complejo de instalaciones en tres fases</t>
        </is>
      </c>
    </row>
    <row r="4" ht="42" customHeight="1">
      <c r="A4" s="3" t="inlineStr">
        <is>
          <t>Propósito</t>
        </is>
      </c>
      <c r="B4" s="4" t="inlineStr">
        <is>
          <t>Medir con las mismas fórmulas, en las tres fases del proyecto, si AWP se está implementando (KPI de proceso) y si mejora la productividad (KPI de resultado), y compararlas contra metas progresivas por fase.</t>
        </is>
      </c>
    </row>
    <row r="5" ht="42" customHeight="1">
      <c r="A5" s="3" t="inlineStr">
        <is>
          <t>Por qué se incluye</t>
        </is>
      </c>
      <c r="B5" s="4" t="inlineStr">
        <is>
          <t>El curso 2023, Omega 365 y el marco educativo del CII piden medir AWP con KPI, pero sus listas se perdieron en la conversión. Este tablero reúne los KPI del plan con fórmulas únicas, requisito para comparar fases.</t>
        </is>
      </c>
    </row>
    <row r="6" ht="28" customHeight="1">
      <c r="A6" s="3" t="inlineStr">
        <is>
          <t>Cuándo se usa</t>
        </is>
      </c>
      <c r="B6" s="4" t="inlineStr">
        <is>
          <t>Los datos se cargan cada semana; el tablero se revisa en el reporte semanal y en el Comité AWP mensual. Al cierre de cada fase se usa para el informe de cierre.</t>
        </is>
      </c>
    </row>
    <row r="7" ht="28" customHeight="1">
      <c r="A7" s="3" t="inlineStr">
        <is>
          <t>Quién la llena</t>
        </is>
      </c>
      <c r="B7" s="4" t="inlineStr">
        <is>
          <t>Controles del proyecto carga los datos con la información del Líder de WFP, ingeniería y procura; el AWP Champion analiza y presenta el tablero.</t>
        </is>
      </c>
    </row>
    <row r="8" ht="112" customHeight="1">
      <c r="A8" s="3" t="inlineStr">
        <is>
          <t>Cómo llenarla</t>
        </is>
      </c>
      <c r="B8" s="4" t="inlineStr">
        <is>
          <t>1. Borre las filas amarillas de ejemplo en «Datos semanales».
2. Cargue una fila por semana y por fase del proyecto (si dos fases están en construcción, dos filas por semana).
3. Ingrese solo datos base; los KPI se calculan en el «Tablero».
4. El tool time se registra solo en las semanas en que se hizo un estudio de muestreo.
5. Revise o ajuste las metas en la hoja «Metas».
6. Use la columna «Tendencia F1 → F3» para mostrar el efecto de las lecciones aprendidas entre fases.</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«Datos semanales»</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15" customHeight="1">
      <c r="A15" s="7" t="inlineStr">
        <is>
          <t>Semana (lunes)</t>
        </is>
      </c>
      <c r="B15" s="8" t="inlineStr">
        <is>
          <t>Lunes de la semana reportada.</t>
        </is>
      </c>
      <c r="C15" s="8" t="inlineStr">
        <is>
          <t>Manual</t>
        </is>
      </c>
    </row>
    <row r="16" ht="15" customHeight="1">
      <c r="A16" s="7" t="inlineStr">
        <is>
          <t>Fase del proyecto</t>
        </is>
      </c>
      <c r="B16" s="8" t="inlineStr">
        <is>
          <t>Fase del proyecto.</t>
        </is>
      </c>
      <c r="C16" s="8" t="inlineStr">
        <is>
          <t>Lista</t>
        </is>
      </c>
    </row>
    <row r="17" ht="15" customHeight="1">
      <c r="A17" s="7" t="inlineStr">
        <is>
          <t>IWP planificados en la semana</t>
        </is>
      </c>
      <c r="B17" s="8" t="inlineStr">
        <is>
          <t>Dato semanal: iwp planificados en la semana.</t>
        </is>
      </c>
      <c r="C17" s="8" t="inlineStr">
        <is>
          <t>Manual</t>
        </is>
      </c>
    </row>
    <row r="18" ht="15" customHeight="1">
      <c r="A18" s="7" t="inlineStr">
        <is>
          <t>IWP completados según plan</t>
        </is>
      </c>
      <c r="B18" s="8" t="inlineStr">
        <is>
          <t>Dato semanal: iwp completados según plan.</t>
        </is>
      </c>
      <c r="C18" s="8" t="inlineStr">
        <is>
          <t>Manual</t>
        </is>
      </c>
    </row>
    <row r="19" ht="15" customHeight="1">
      <c r="A19" s="7" t="inlineStr">
        <is>
          <t>IWP liberados en la semana</t>
        </is>
      </c>
      <c r="B19" s="8" t="inlineStr">
        <is>
          <t>Dato semanal: iwp liberados en la semana.</t>
        </is>
      </c>
      <c r="C19" s="8" t="inlineStr">
        <is>
          <t>Manual</t>
        </is>
      </c>
    </row>
    <row r="20" ht="15" customHeight="1">
      <c r="A20" s="7" t="inlineStr">
        <is>
          <t>IWP liberados sin restricciones</t>
        </is>
      </c>
      <c r="B20" s="8" t="inlineStr">
        <is>
          <t>Dato semanal: iwp liberados sin restricciones.</t>
        </is>
      </c>
      <c r="C20" s="8" t="inlineStr">
        <is>
          <t>Manual</t>
        </is>
      </c>
    </row>
    <row r="21" ht="15" customHeight="1">
      <c r="A21" s="7" t="inlineStr">
        <is>
          <t>IWP liberados con 100 % de materiales</t>
        </is>
      </c>
      <c r="B21" s="8" t="inlineStr">
        <is>
          <t>Dato semanal: iwp liberados con 100 % de materiales.</t>
        </is>
      </c>
      <c r="C21" s="8" t="inlineStr">
        <is>
          <t>Manual</t>
        </is>
      </c>
    </row>
    <row r="22" ht="15" customHeight="1">
      <c r="A22" s="7" t="inlineStr">
        <is>
          <t>IWP entregados a campo</t>
        </is>
      </c>
      <c r="B22" s="8" t="inlineStr">
        <is>
          <t>Dato semanal: iwp entregados a campo.</t>
        </is>
      </c>
      <c r="C22" s="8" t="inlineStr">
        <is>
          <t>Manual</t>
        </is>
      </c>
    </row>
    <row r="23" ht="15" customHeight="1">
      <c r="A23" s="7" t="inlineStr">
        <is>
          <t>IWP devueltos de campo</t>
        </is>
      </c>
      <c r="B23" s="8" t="inlineStr">
        <is>
          <t>Dato semanal: iwp devueltos de campo.</t>
        </is>
      </c>
      <c r="C23" s="8" t="inlineStr">
        <is>
          <t>Manual</t>
        </is>
      </c>
    </row>
    <row r="24" ht="15" customHeight="1">
      <c r="A24" s="7" t="inlineStr">
        <is>
          <t>HH de IWP en backlog (fin de semana)</t>
        </is>
      </c>
      <c r="B24" s="8" t="inlineStr">
        <is>
          <t>Dato semanal: hh de iwp en backlog (fin de semana).</t>
        </is>
      </c>
      <c r="C24" s="8" t="inlineStr">
        <is>
          <t>Manual</t>
        </is>
      </c>
    </row>
    <row r="25" ht="15" customHeight="1">
      <c r="A25" s="7" t="inlineStr">
        <is>
          <t>HH ejecutadas en la semana</t>
        </is>
      </c>
      <c r="B25" s="8" t="inlineStr">
        <is>
          <t>Dato semanal: hh ejecutadas en la semana.</t>
        </is>
      </c>
      <c r="C25" s="8" t="inlineStr">
        <is>
          <t>Manual</t>
        </is>
      </c>
    </row>
    <row r="26" ht="15" customHeight="1">
      <c r="A26" s="7" t="inlineStr">
        <is>
          <t>Restricciones liberadas</t>
        </is>
      </c>
      <c r="B26" s="8" t="inlineStr">
        <is>
          <t>Dato semanal: restricciones liberadas.</t>
        </is>
      </c>
      <c r="C26" s="8" t="inlineStr">
        <is>
          <t>Manual</t>
        </is>
      </c>
    </row>
    <row r="27" ht="15" customHeight="1">
      <c r="A27" s="7" t="inlineStr">
        <is>
          <t>Restricciones liberadas a tiempo</t>
        </is>
      </c>
      <c r="B27" s="8" t="inlineStr">
        <is>
          <t>Dato semanal: restricciones liberadas a tiempo.</t>
        </is>
      </c>
      <c r="C27" s="8" t="inlineStr">
        <is>
          <t>Manual</t>
        </is>
      </c>
    </row>
    <row r="28" ht="15" customHeight="1">
      <c r="A28" s="7" t="inlineStr">
        <is>
          <t>Restricciones vencidas (al corte)</t>
        </is>
      </c>
      <c r="B28" s="8" t="inlineStr">
        <is>
          <t>Dato semanal: restricciones vencidas (al corte).</t>
        </is>
      </c>
      <c r="C28" s="8" t="inlineStr">
        <is>
          <t>Manual</t>
        </is>
      </c>
    </row>
    <row r="29" ht="15" customHeight="1">
      <c r="A29" s="7" t="inlineStr">
        <is>
          <t>Suma de días de atraso de vencidas</t>
        </is>
      </c>
      <c r="B29" s="8" t="inlineStr">
        <is>
          <t>Dato semanal: suma de días de atraso de vencidas.</t>
        </is>
      </c>
      <c r="C29" s="8" t="inlineStr">
        <is>
          <t>Manual</t>
        </is>
      </c>
    </row>
    <row r="30" ht="15" customHeight="1">
      <c r="A30" s="7" t="inlineStr">
        <is>
          <t>EWP con fecha requerida vencida</t>
        </is>
      </c>
      <c r="B30" s="8" t="inlineStr">
        <is>
          <t>Dato semanal: ewp con fecha requerida vencida.</t>
        </is>
      </c>
      <c r="C30" s="8" t="inlineStr">
        <is>
          <t>Manual</t>
        </is>
      </c>
    </row>
    <row r="31" ht="15" customHeight="1">
      <c r="A31" s="7" t="inlineStr">
        <is>
          <t>EWP emitidos a tiempo</t>
        </is>
      </c>
      <c r="B31" s="8" t="inlineStr">
        <is>
          <t>Dato semanal: ewp emitidos a tiempo.</t>
        </is>
      </c>
      <c r="C31" s="8" t="inlineStr">
        <is>
          <t>Manual</t>
        </is>
      </c>
    </row>
    <row r="32" ht="15" customHeight="1">
      <c r="A32" s="7" t="inlineStr">
        <is>
          <t>HH ganadas</t>
        </is>
      </c>
      <c r="B32" s="8" t="inlineStr">
        <is>
          <t>Dato semanal: hh ganadas.</t>
        </is>
      </c>
      <c r="C32" s="8" t="inlineStr">
        <is>
          <t>Manual</t>
        </is>
      </c>
    </row>
    <row r="33" ht="15" customHeight="1">
      <c r="A33" s="7" t="inlineStr">
        <is>
          <t>HH gastadas</t>
        </is>
      </c>
      <c r="B33" s="8" t="inlineStr">
        <is>
          <t>Dato semanal: hh gastadas.</t>
        </is>
      </c>
      <c r="C33" s="8" t="inlineStr">
        <is>
          <t>Manual</t>
        </is>
      </c>
    </row>
    <row r="34" ht="15" customHeight="1">
      <c r="A34" s="7" t="inlineStr">
        <is>
          <t>HH de retrabajo</t>
        </is>
      </c>
      <c r="B34" s="8" t="inlineStr">
        <is>
          <t>Dato semanal: hh de retrabajo.</t>
        </is>
      </c>
      <c r="C34" s="8" t="inlineStr">
        <is>
          <t>Manual</t>
        </is>
      </c>
    </row>
    <row r="35" ht="15" customHeight="1">
      <c r="A35" s="7" t="inlineStr">
        <is>
          <t>Trabajadores directos</t>
        </is>
      </c>
      <c r="B35" s="8" t="inlineStr">
        <is>
          <t>Dato semanal: trabajadores directos.</t>
        </is>
      </c>
      <c r="C35" s="8" t="inlineStr">
        <is>
          <t>Manual</t>
        </is>
      </c>
    </row>
    <row r="36" ht="15" customHeight="1">
      <c r="A36" s="7" t="inlineStr">
        <is>
          <t>Planificadores de frente de trabajo</t>
        </is>
      </c>
      <c r="B36" s="8" t="inlineStr">
        <is>
          <t>Dato semanal: planificadores de frente de trabajo.</t>
        </is>
      </c>
      <c r="C36" s="8" t="inlineStr">
        <is>
          <t>Manual</t>
        </is>
      </c>
    </row>
    <row r="37" ht="15" customHeight="1">
      <c r="A37" s="7" t="inlineStr">
        <is>
          <t>Tool time medido (si hubo estudio)</t>
        </is>
      </c>
      <c r="B37" s="8" t="inlineStr">
        <is>
          <t>Dato semanal: tool time medido (si hubo estudio).</t>
        </is>
      </c>
      <c r="C37" s="8" t="inlineStr">
        <is>
          <t>Manual</t>
        </is>
      </c>
    </row>
    <row r="38" ht="15" customHeight="1">
      <c r="A38" s="7" t="inlineStr">
        <is>
          <t>Valor ganado</t>
        </is>
      </c>
      <c r="B38" s="8" t="inlineStr">
        <is>
          <t>Dato semanal: valor ganado.</t>
        </is>
      </c>
      <c r="C38" s="8" t="inlineStr">
        <is>
          <t>Manual</t>
        </is>
      </c>
    </row>
    <row r="39" ht="15" customHeight="1">
      <c r="A39" s="7" t="inlineStr">
        <is>
          <t>Valor planificado</t>
        </is>
      </c>
      <c r="B39" s="8" t="inlineStr">
        <is>
          <t>Dato semanal: valor planificado.</t>
        </is>
      </c>
      <c r="C39" s="8" t="inlineStr">
        <is>
          <t>Manual</t>
        </is>
      </c>
    </row>
    <row r="40" ht="15" customHeight="1">
      <c r="A40" s="9" t="inlineStr">
        <is>
          <t>PPC semanal</t>
        </is>
      </c>
      <c r="B40" s="10" t="inlineStr">
        <is>
          <t>Calculado: IWP completados ÷ IWP planificados.</t>
        </is>
      </c>
      <c r="C40" s="10" t="inlineStr">
        <is>
          <t>Calculado</t>
        </is>
      </c>
    </row>
    <row r="41" ht="15" customHeight="1">
      <c r="A41" s="9" t="inlineStr">
        <is>
          <t>% IWP sin restricciones</t>
        </is>
      </c>
      <c r="B41" s="10" t="inlineStr">
        <is>
          <t>Calculado: IWP liberados sin restricciones ÷ IWP liberados.</t>
        </is>
      </c>
      <c r="C41" s="10" t="inlineStr">
        <is>
          <t>Calculado</t>
        </is>
      </c>
    </row>
    <row r="42" ht="15" customHeight="1">
      <c r="A42" s="9" t="inlineStr">
        <is>
          <t>Backlog (semanas)</t>
        </is>
      </c>
      <c r="B42" s="10" t="inlineStr">
        <is>
          <t>Calculado: HH en backlog ÷ HH ejecutadas en la semana.</t>
        </is>
      </c>
      <c r="C42" s="10" t="inlineStr">
        <is>
          <t>Calculado</t>
        </is>
      </c>
    </row>
    <row r="43" ht="15" customHeight="1">
      <c r="A43" s="9" t="inlineStr">
        <is>
          <t>Factor de productividad</t>
        </is>
      </c>
      <c r="B43" s="10" t="inlineStr">
        <is>
          <t>Calculado: HH ganadas ÷ HH gastadas.</t>
        </is>
      </c>
      <c r="C43" s="10" t="inlineStr">
        <is>
          <t>Calculado</t>
        </is>
      </c>
    </row>
    <row r="45">
      <c r="A45" s="5" t="inlineStr">
        <is>
          <t>Columnas de la hoja «Tablero»</t>
        </is>
      </c>
    </row>
    <row r="46">
      <c r="A46" s="6" t="inlineStr">
        <is>
          <t>Columna</t>
        </is>
      </c>
      <c r="B46" s="6" t="inlineStr">
        <is>
          <t>Significado</t>
        </is>
      </c>
      <c r="C46" s="6" t="inlineStr">
        <is>
          <t>Tipo de dato</t>
        </is>
      </c>
    </row>
    <row r="47" ht="15" customHeight="1">
      <c r="A47" s="9" t="inlineStr">
        <is>
          <t>Valor</t>
        </is>
      </c>
      <c r="B47" s="10" t="inlineStr">
        <is>
          <t>KPI acumulado de la fase (fórmula de la hoja «Metas»).</t>
        </is>
      </c>
      <c r="C47" s="10" t="inlineStr">
        <is>
          <t>Calculado</t>
        </is>
      </c>
    </row>
    <row r="48" ht="15" customHeight="1">
      <c r="A48" s="9" t="inlineStr">
        <is>
          <t>Meta</t>
        </is>
      </c>
      <c r="B48" s="10" t="inlineStr">
        <is>
          <t>Meta de la fase (de la hoja «Metas»).</t>
        </is>
      </c>
      <c r="C48" s="10" t="inlineStr">
        <is>
          <t>Calculado</t>
        </is>
      </c>
    </row>
    <row r="49" ht="15" customHeight="1">
      <c r="A49" s="9" t="inlineStr">
        <is>
          <t>Semáforo</t>
        </is>
      </c>
      <c r="B49" s="10" t="inlineStr">
        <is>
          <t>Verde / Ámbar / Rojo según la meta y el sentido.</t>
        </is>
      </c>
      <c r="C49" s="10" t="inlineStr">
        <is>
          <t>Calculado</t>
        </is>
      </c>
    </row>
    <row r="50" ht="15" customHeight="1">
      <c r="A50" s="9" t="inlineStr">
        <is>
          <t>Tendencia F1 → F3</t>
        </is>
      </c>
      <c r="B50" s="10" t="inlineStr">
        <is>
          <t>Mejora o empeora el valor de la Fase 3 respecto de la Fase 1.</t>
        </is>
      </c>
      <c r="C50" s="10" t="inlineStr">
        <is>
          <t>Calculado</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Tablero de KPI por fase</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O29"/>
  <sheetViews>
    <sheetView tabSelected="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10" customWidth="1" min="3" max="3"/>
    <col width="10" customWidth="1" min="4" max="4"/>
    <col width="7"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24" customHeight="1">
      <c r="A1" s="11" t="inlineStr">
        <is>
          <t>Tablero de KPI por fase del proyecto</t>
        </is>
      </c>
    </row>
    <row r="2">
      <c r="A2" s="2" t="inlineStr">
        <is>
          <t>Proyecto Tipo (PT) – Complejo de instalaciones en tres fases. Valores acumulados de la hoja «Datos semanales». Verde: cumple la meta; ámbar: a menos de 10 % de la meta; rojo: más de 10 % fuera de la meta.</t>
        </is>
      </c>
    </row>
    <row r="5">
      <c r="A5" s="12" t="inlineStr">
        <is>
          <t>Código</t>
        </is>
      </c>
      <c r="B5" s="12" t="inlineStr">
        <is>
          <t>KPI</t>
        </is>
      </c>
      <c r="C5" s="12" t="inlineStr">
        <is>
          <t>Tipo</t>
        </is>
      </c>
      <c r="D5" s="12" t="inlineStr">
        <is>
          <t>Unidad</t>
        </is>
      </c>
      <c r="E5" s="12" t="inlineStr">
        <is>
          <t>Sentido</t>
        </is>
      </c>
      <c r="F5" s="12" t="inlineStr">
        <is>
          <t>Fase 1 – Infraestructura y obras tempranas</t>
        </is>
      </c>
      <c r="G5" s="12" t="n"/>
      <c r="H5" s="12" t="n"/>
      <c r="I5" s="12" t="inlineStr">
        <is>
          <t>Fase 2 – Instalación principal</t>
        </is>
      </c>
      <c r="J5" s="12" t="n"/>
      <c r="K5" s="12" t="n"/>
      <c r="L5" s="12" t="inlineStr">
        <is>
          <t>Fase 3 – Edificaciones complementarias y ampliación</t>
        </is>
      </c>
      <c r="M5" s="12" t="n"/>
      <c r="N5" s="12" t="n"/>
      <c r="O5" s="12" t="inlineStr">
        <is>
          <t>Tendencia F1 → F3</t>
        </is>
      </c>
    </row>
    <row r="6">
      <c r="A6" s="12" t="n"/>
      <c r="B6" s="12" t="n"/>
      <c r="C6" s="12" t="n"/>
      <c r="D6" s="12" t="n"/>
      <c r="E6" s="12" t="n"/>
      <c r="F6" s="12" t="inlineStr">
        <is>
          <t>Valor</t>
        </is>
      </c>
      <c r="G6" s="12" t="inlineStr">
        <is>
          <t>Meta</t>
        </is>
      </c>
      <c r="H6" s="12" t="inlineStr">
        <is>
          <t>Semáforo</t>
        </is>
      </c>
      <c r="I6" s="12" t="inlineStr">
        <is>
          <t>Valor</t>
        </is>
      </c>
      <c r="J6" s="12" t="inlineStr">
        <is>
          <t>Meta</t>
        </is>
      </c>
      <c r="K6" s="12" t="inlineStr">
        <is>
          <t>Semáforo</t>
        </is>
      </c>
      <c r="L6" s="12" t="inlineStr">
        <is>
          <t>Valor</t>
        </is>
      </c>
      <c r="M6" s="12" t="inlineStr">
        <is>
          <t>Meta</t>
        </is>
      </c>
      <c r="N6" s="12" t="inlineStr">
        <is>
          <t>Semáforo</t>
        </is>
      </c>
      <c r="O6" s="12" t="n"/>
    </row>
    <row r="7" ht="22" customHeight="1">
      <c r="A7" s="13" t="inlineStr">
        <is>
          <t>K01</t>
        </is>
      </c>
      <c r="B7" s="14" t="inlineStr">
        <is>
          <t>EWP emitidos a tiempo</t>
        </is>
      </c>
      <c r="C7" s="15" t="inlineStr">
        <is>
          <t>Proceso</t>
        </is>
      </c>
      <c r="D7" s="15" t="inlineStr">
        <is>
          <t>%</t>
        </is>
      </c>
      <c r="E7" s="15">
        <f>Metas!E6</f>
        <v/>
      </c>
      <c r="F7" s="16">
        <f>IFERROR(SUMIFS('Datos semanales'!$R$6:$R$305,'Datos semanales'!$C$6:$C$305,"Fase 1")/SUMIFS('Datos semanales'!$Q$6:$Q$305,'Datos semanales'!$C$6:$C$305,"Fase 1"),"")</f>
        <v/>
      </c>
      <c r="G7" s="16">
        <f>Metas!F6</f>
        <v/>
      </c>
      <c r="H7" s="15">
        <f>IF(F7="","",IF($E7="≥",IF(F7&gt;=G7,"Verde",IF(F7&gt;=G7*0.9,"Ámbar","Rojo")),IF(F7&lt;=G7,"Verde",IF(F7&lt;=G7*1.1,"Ámbar","Rojo"))))</f>
        <v/>
      </c>
      <c r="I7" s="16">
        <f>IFERROR(SUMIFS('Datos semanales'!$R$6:$R$305,'Datos semanales'!$C$6:$C$305,"Fase 2")/SUMIFS('Datos semanales'!$Q$6:$Q$305,'Datos semanales'!$C$6:$C$305,"Fase 2"),"")</f>
        <v/>
      </c>
      <c r="J7" s="16">
        <f>Metas!G6</f>
        <v/>
      </c>
      <c r="K7" s="15">
        <f>IF(I7="","",IF($E7="≥",IF(I7&gt;=J7,"Verde",IF(I7&gt;=J7*0.9,"Ámbar","Rojo")),IF(I7&lt;=J7,"Verde",IF(I7&lt;=J7*1.1,"Ámbar","Rojo"))))</f>
        <v/>
      </c>
      <c r="L7" s="16">
        <f>IFERROR(SUMIFS('Datos semanales'!$R$6:$R$305,'Datos semanales'!$C$6:$C$305,"Fase 3")/SUMIFS('Datos semanales'!$Q$6:$Q$305,'Datos semanales'!$C$6:$C$305,"Fase 3"),"")</f>
        <v/>
      </c>
      <c r="M7" s="16">
        <f>Metas!H6</f>
        <v/>
      </c>
      <c r="N7" s="15">
        <f>IF(L7="","",IF($E7="≥",IF(L7&gt;=M7,"Verde",IF(L7&gt;=M7*0.9,"Ámbar","Rojo")),IF(L7&lt;=M7,"Verde",IF(L7&lt;=M7*1.1,"Ámbar","Rojo"))))</f>
        <v/>
      </c>
      <c r="O7" s="15">
        <f>IF(OR(F7="",L7=""),"",IF(L7=F7,"Sin cambio",IF((L7&gt;F7)=($E7="≥"),"Mejora","Empeora")))</f>
        <v/>
      </c>
    </row>
    <row r="8" ht="22" customHeight="1">
      <c r="A8" s="13" t="inlineStr">
        <is>
          <t>K02</t>
        </is>
      </c>
      <c r="B8" s="14" t="inlineStr">
        <is>
          <t>Materiales disponibles al liberar</t>
        </is>
      </c>
      <c r="C8" s="15" t="inlineStr">
        <is>
          <t>Proceso</t>
        </is>
      </c>
      <c r="D8" s="15" t="inlineStr">
        <is>
          <t>%</t>
        </is>
      </c>
      <c r="E8" s="15">
        <f>Metas!E7</f>
        <v/>
      </c>
      <c r="F8" s="16">
        <f>IFERROR(SUMIFS('Datos semanales'!$H$6:$H$305,'Datos semanales'!$C$6:$C$305,"Fase 1")/SUMIFS('Datos semanales'!$F$6:$F$305,'Datos semanales'!$C$6:$C$305,"Fase 1"),"")</f>
        <v/>
      </c>
      <c r="G8" s="16">
        <f>Metas!F7</f>
        <v/>
      </c>
      <c r="H8" s="15">
        <f>IF(F8="","",IF($E8="≥",IF(F8&gt;=G8,"Verde",IF(F8&gt;=G8*0.9,"Ámbar","Rojo")),IF(F8&lt;=G8,"Verde",IF(F8&lt;=G8*1.1,"Ámbar","Rojo"))))</f>
        <v/>
      </c>
      <c r="I8" s="16">
        <f>IFERROR(SUMIFS('Datos semanales'!$H$6:$H$305,'Datos semanales'!$C$6:$C$305,"Fase 2")/SUMIFS('Datos semanales'!$F$6:$F$305,'Datos semanales'!$C$6:$C$305,"Fase 2"),"")</f>
        <v/>
      </c>
      <c r="J8" s="16">
        <f>Metas!G7</f>
        <v/>
      </c>
      <c r="K8" s="15">
        <f>IF(I8="","",IF($E8="≥",IF(I8&gt;=J8,"Verde",IF(I8&gt;=J8*0.9,"Ámbar","Rojo")),IF(I8&lt;=J8,"Verde",IF(I8&lt;=J8*1.1,"Ámbar","Rojo"))))</f>
        <v/>
      </c>
      <c r="L8" s="16">
        <f>IFERROR(SUMIFS('Datos semanales'!$H$6:$H$305,'Datos semanales'!$C$6:$C$305,"Fase 3")/SUMIFS('Datos semanales'!$F$6:$F$305,'Datos semanales'!$C$6:$C$305,"Fase 3"),"")</f>
        <v/>
      </c>
      <c r="M8" s="16">
        <f>Metas!H7</f>
        <v/>
      </c>
      <c r="N8" s="15">
        <f>IF(L8="","",IF($E8="≥",IF(L8&gt;=M8,"Verde",IF(L8&gt;=M8*0.9,"Ámbar","Rojo")),IF(L8&lt;=M8,"Verde",IF(L8&lt;=M8*1.1,"Ámbar","Rojo"))))</f>
        <v/>
      </c>
      <c r="O8" s="15">
        <f>IF(OR(F8="",L8=""),"",IF(L8=F8,"Sin cambio",IF((L8&gt;F8)=($E8="≥"),"Mejora","Empeora")))</f>
        <v/>
      </c>
    </row>
    <row r="9" ht="22" customHeight="1">
      <c r="A9" s="13" t="inlineStr">
        <is>
          <t>K03</t>
        </is>
      </c>
      <c r="B9" s="14" t="inlineStr">
        <is>
          <t>IWP liberados sin restricciones</t>
        </is>
      </c>
      <c r="C9" s="15" t="inlineStr">
        <is>
          <t>Proceso</t>
        </is>
      </c>
      <c r="D9" s="15" t="inlineStr">
        <is>
          <t>%</t>
        </is>
      </c>
      <c r="E9" s="15">
        <f>Metas!E8</f>
        <v/>
      </c>
      <c r="F9" s="16">
        <f>IFERROR(SUMIFS('Datos semanales'!$G$6:$G$305,'Datos semanales'!$C$6:$C$305,"Fase 1")/SUMIFS('Datos semanales'!$F$6:$F$305,'Datos semanales'!$C$6:$C$305,"Fase 1"),"")</f>
        <v/>
      </c>
      <c r="G9" s="16">
        <f>Metas!F8</f>
        <v/>
      </c>
      <c r="H9" s="15">
        <f>IF(F9="","",IF($E9="≥",IF(F9&gt;=G9,"Verde",IF(F9&gt;=G9*0.9,"Ámbar","Rojo")),IF(F9&lt;=G9,"Verde",IF(F9&lt;=G9*1.1,"Ámbar","Rojo"))))</f>
        <v/>
      </c>
      <c r="I9" s="16">
        <f>IFERROR(SUMIFS('Datos semanales'!$G$6:$G$305,'Datos semanales'!$C$6:$C$305,"Fase 2")/SUMIFS('Datos semanales'!$F$6:$F$305,'Datos semanales'!$C$6:$C$305,"Fase 2"),"")</f>
        <v/>
      </c>
      <c r="J9" s="16">
        <f>Metas!G8</f>
        <v/>
      </c>
      <c r="K9" s="15">
        <f>IF(I9="","",IF($E9="≥",IF(I9&gt;=J9,"Verde",IF(I9&gt;=J9*0.9,"Ámbar","Rojo")),IF(I9&lt;=J9,"Verde",IF(I9&lt;=J9*1.1,"Ámbar","Rojo"))))</f>
        <v/>
      </c>
      <c r="L9" s="16">
        <f>IFERROR(SUMIFS('Datos semanales'!$G$6:$G$305,'Datos semanales'!$C$6:$C$305,"Fase 3")/SUMIFS('Datos semanales'!$F$6:$F$305,'Datos semanales'!$C$6:$C$305,"Fase 3"),"")</f>
        <v/>
      </c>
      <c r="M9" s="16">
        <f>Metas!H8</f>
        <v/>
      </c>
      <c r="N9" s="15">
        <f>IF(L9="","",IF($E9="≥",IF(L9&gt;=M9,"Verde",IF(L9&gt;=M9*0.9,"Ámbar","Rojo")),IF(L9&lt;=M9,"Verde",IF(L9&lt;=M9*1.1,"Ámbar","Rojo"))))</f>
        <v/>
      </c>
      <c r="O9" s="15">
        <f>IF(OR(F9="",L9=""),"",IF(L9=F9,"Sin cambio",IF((L9&gt;F9)=($E9="≥"),"Mejora","Empeora")))</f>
        <v/>
      </c>
    </row>
    <row r="10" ht="22" customHeight="1">
      <c r="A10" s="13" t="inlineStr">
        <is>
          <t>K04</t>
        </is>
      </c>
      <c r="B10" s="14" t="inlineStr">
        <is>
          <t>Backlog de IWP liberados</t>
        </is>
      </c>
      <c r="C10" s="15" t="inlineStr">
        <is>
          <t>Proceso</t>
        </is>
      </c>
      <c r="D10" s="15" t="inlineStr">
        <is>
          <t>semanas</t>
        </is>
      </c>
      <c r="E10" s="15">
        <f>Metas!E9</f>
        <v/>
      </c>
      <c r="F10" s="17">
        <f>IFERROR(AVERAGEIFS('Datos semanales'!$AC$6:$AC$305,'Datos semanales'!$C$6:$C$305,"Fase 1"),"")</f>
        <v/>
      </c>
      <c r="G10" s="17">
        <f>Metas!F9</f>
        <v/>
      </c>
      <c r="H10" s="15">
        <f>IF(F10="","",IF($E10="≥",IF(F10&gt;=G10,"Verde",IF(F10&gt;=G10*0.9,"Ámbar","Rojo")),IF(F10&lt;=G10,"Verde",IF(F10&lt;=G10*1.1,"Ámbar","Rojo"))))</f>
        <v/>
      </c>
      <c r="I10" s="17">
        <f>IFERROR(AVERAGEIFS('Datos semanales'!$AC$6:$AC$305,'Datos semanales'!$C$6:$C$305,"Fase 2"),"")</f>
        <v/>
      </c>
      <c r="J10" s="17">
        <f>Metas!G9</f>
        <v/>
      </c>
      <c r="K10" s="15">
        <f>IF(I10="","",IF($E10="≥",IF(I10&gt;=J10,"Verde",IF(I10&gt;=J10*0.9,"Ámbar","Rojo")),IF(I10&lt;=J10,"Verde",IF(I10&lt;=J10*1.1,"Ámbar","Rojo"))))</f>
        <v/>
      </c>
      <c r="L10" s="17">
        <f>IFERROR(AVERAGEIFS('Datos semanales'!$AC$6:$AC$305,'Datos semanales'!$C$6:$C$305,"Fase 3"),"")</f>
        <v/>
      </c>
      <c r="M10" s="17">
        <f>Metas!H9</f>
        <v/>
      </c>
      <c r="N10" s="15">
        <f>IF(L10="","",IF($E10="≥",IF(L10&gt;=M10,"Verde",IF(L10&gt;=M10*0.9,"Ámbar","Rojo")),IF(L10&lt;=M10,"Verde",IF(L10&lt;=M10*1.1,"Ámbar","Rojo"))))</f>
        <v/>
      </c>
      <c r="O10" s="15">
        <f>IF(OR(F10="",L10=""),"",IF(L10=F10,"Sin cambio",IF((L10&gt;F10)=($E10="≥"),"Mejora","Empeora")))</f>
        <v/>
      </c>
    </row>
    <row r="11" ht="22" customHeight="1">
      <c r="A11" s="13" t="inlineStr">
        <is>
          <t>K05</t>
        </is>
      </c>
      <c r="B11" s="14" t="inlineStr">
        <is>
          <t>Restricciones liberadas a tiempo</t>
        </is>
      </c>
      <c r="C11" s="15" t="inlineStr">
        <is>
          <t>Proceso</t>
        </is>
      </c>
      <c r="D11" s="15" t="inlineStr">
        <is>
          <t>%</t>
        </is>
      </c>
      <c r="E11" s="15">
        <f>Metas!E10</f>
        <v/>
      </c>
      <c r="F11" s="16">
        <f>IFERROR(SUMIFS('Datos semanales'!$N$6:$N$305,'Datos semanales'!$C$6:$C$305,"Fase 1")/SUMIFS('Datos semanales'!$M$6:$M$305,'Datos semanales'!$C$6:$C$305,"Fase 1"),"")</f>
        <v/>
      </c>
      <c r="G11" s="16">
        <f>Metas!F10</f>
        <v/>
      </c>
      <c r="H11" s="15">
        <f>IF(F11="","",IF($E11="≥",IF(F11&gt;=G11,"Verde",IF(F11&gt;=G11*0.9,"Ámbar","Rojo")),IF(F11&lt;=G11,"Verde",IF(F11&lt;=G11*1.1,"Ámbar","Rojo"))))</f>
        <v/>
      </c>
      <c r="I11" s="16">
        <f>IFERROR(SUMIFS('Datos semanales'!$N$6:$N$305,'Datos semanales'!$C$6:$C$305,"Fase 2")/SUMIFS('Datos semanales'!$M$6:$M$305,'Datos semanales'!$C$6:$C$305,"Fase 2"),"")</f>
        <v/>
      </c>
      <c r="J11" s="16">
        <f>Metas!G10</f>
        <v/>
      </c>
      <c r="K11" s="15">
        <f>IF(I11="","",IF($E11="≥",IF(I11&gt;=J11,"Verde",IF(I11&gt;=J11*0.9,"Ámbar","Rojo")),IF(I11&lt;=J11,"Verde",IF(I11&lt;=J11*1.1,"Ámbar","Rojo"))))</f>
        <v/>
      </c>
      <c r="L11" s="16">
        <f>IFERROR(SUMIFS('Datos semanales'!$N$6:$N$305,'Datos semanales'!$C$6:$C$305,"Fase 3")/SUMIFS('Datos semanales'!$M$6:$M$305,'Datos semanales'!$C$6:$C$305,"Fase 3"),"")</f>
        <v/>
      </c>
      <c r="M11" s="16">
        <f>Metas!H10</f>
        <v/>
      </c>
      <c r="N11" s="15">
        <f>IF(L11="","",IF($E11="≥",IF(L11&gt;=M11,"Verde",IF(L11&gt;=M11*0.9,"Ámbar","Rojo")),IF(L11&lt;=M11,"Verde",IF(L11&lt;=M11*1.1,"Ámbar","Rojo"))))</f>
        <v/>
      </c>
      <c r="O11" s="15">
        <f>IF(OR(F11="",L11=""),"",IF(L11=F11,"Sin cambio",IF((L11&gt;F11)=($E11="≥"),"Mejora","Empeora")))</f>
        <v/>
      </c>
    </row>
    <row r="12" ht="22" customHeight="1">
      <c r="A12" s="13" t="inlineStr">
        <is>
          <t>K06</t>
        </is>
      </c>
      <c r="B12" s="14" t="inlineStr">
        <is>
          <t>Atraso promedio de restricciones</t>
        </is>
      </c>
      <c r="C12" s="15" t="inlineStr">
        <is>
          <t>Proceso</t>
        </is>
      </c>
      <c r="D12" s="15" t="inlineStr">
        <is>
          <t>días</t>
        </is>
      </c>
      <c r="E12" s="15">
        <f>Metas!E11</f>
        <v/>
      </c>
      <c r="F12" s="17">
        <f>IFERROR(SUMIFS('Datos semanales'!$P$6:$P$305,'Datos semanales'!$C$6:$C$305,"Fase 1")/SUMIFS('Datos semanales'!$O$6:$O$305,'Datos semanales'!$C$6:$C$305,"Fase 1"),"")</f>
        <v/>
      </c>
      <c r="G12" s="17">
        <f>Metas!F11</f>
        <v/>
      </c>
      <c r="H12" s="15">
        <f>IF(F12="","",IF($E12="≥",IF(F12&gt;=G12,"Verde",IF(F12&gt;=G12*0.9,"Ámbar","Rojo")),IF(F12&lt;=G12,"Verde",IF(F12&lt;=G12*1.1,"Ámbar","Rojo"))))</f>
        <v/>
      </c>
      <c r="I12" s="17">
        <f>IFERROR(SUMIFS('Datos semanales'!$P$6:$P$305,'Datos semanales'!$C$6:$C$305,"Fase 2")/SUMIFS('Datos semanales'!$O$6:$O$305,'Datos semanales'!$C$6:$C$305,"Fase 2"),"")</f>
        <v/>
      </c>
      <c r="J12" s="17">
        <f>Metas!G11</f>
        <v/>
      </c>
      <c r="K12" s="15">
        <f>IF(I12="","",IF($E12="≥",IF(I12&gt;=J12,"Verde",IF(I12&gt;=J12*0.9,"Ámbar","Rojo")),IF(I12&lt;=J12,"Verde",IF(I12&lt;=J12*1.1,"Ámbar","Rojo"))))</f>
        <v/>
      </c>
      <c r="L12" s="17">
        <f>IFERROR(SUMIFS('Datos semanales'!$P$6:$P$305,'Datos semanales'!$C$6:$C$305,"Fase 3")/SUMIFS('Datos semanales'!$O$6:$O$305,'Datos semanales'!$C$6:$C$305,"Fase 3"),"")</f>
        <v/>
      </c>
      <c r="M12" s="17">
        <f>Metas!H11</f>
        <v/>
      </c>
      <c r="N12" s="15">
        <f>IF(L12="","",IF($E12="≥",IF(L12&gt;=M12,"Verde",IF(L12&gt;=M12*0.9,"Ámbar","Rojo")),IF(L12&lt;=M12,"Verde",IF(L12&lt;=M12*1.1,"Ámbar","Rojo"))))</f>
        <v/>
      </c>
      <c r="O12" s="15">
        <f>IF(OR(F12="",L12=""),"",IF(L12=F12,"Sin cambio",IF((L12&gt;F12)=($E12="≥"),"Mejora","Empeora")))</f>
        <v/>
      </c>
    </row>
    <row r="13" ht="22" customHeight="1">
      <c r="A13" s="13" t="inlineStr">
        <is>
          <t>K07</t>
        </is>
      </c>
      <c r="B13" s="14" t="inlineStr">
        <is>
          <t>Cobertura de planificadores</t>
        </is>
      </c>
      <c r="C13" s="15" t="inlineStr">
        <is>
          <t>Proceso</t>
        </is>
      </c>
      <c r="D13" s="15" t="inlineStr">
        <is>
          <t>trab./planif.</t>
        </is>
      </c>
      <c r="E13" s="15">
        <f>Metas!E12</f>
        <v/>
      </c>
      <c r="F13" s="18">
        <f>IFERROR(SUMIFS('Datos semanales'!$V$6:$V$305,'Datos semanales'!$C$6:$C$305,"Fase 1")/SUMIFS('Datos semanales'!$W$6:$W$305,'Datos semanales'!$C$6:$C$305,"Fase 1"),"")</f>
        <v/>
      </c>
      <c r="G13" s="18">
        <f>Metas!F12</f>
        <v/>
      </c>
      <c r="H13" s="15">
        <f>IF(F13="","",IF($E13="≥",IF(F13&gt;=G13,"Verde",IF(F13&gt;=G13*0.9,"Ámbar","Rojo")),IF(F13&lt;=G13,"Verde",IF(F13&lt;=G13*1.1,"Ámbar","Rojo"))))</f>
        <v/>
      </c>
      <c r="I13" s="18">
        <f>IFERROR(SUMIFS('Datos semanales'!$V$6:$V$305,'Datos semanales'!$C$6:$C$305,"Fase 2")/SUMIFS('Datos semanales'!$W$6:$W$305,'Datos semanales'!$C$6:$C$305,"Fase 2"),"")</f>
        <v/>
      </c>
      <c r="J13" s="18">
        <f>Metas!G12</f>
        <v/>
      </c>
      <c r="K13" s="15">
        <f>IF(I13="","",IF($E13="≥",IF(I13&gt;=J13,"Verde",IF(I13&gt;=J13*0.9,"Ámbar","Rojo")),IF(I13&lt;=J13,"Verde",IF(I13&lt;=J13*1.1,"Ámbar","Rojo"))))</f>
        <v/>
      </c>
      <c r="L13" s="18">
        <f>IFERROR(SUMIFS('Datos semanales'!$V$6:$V$305,'Datos semanales'!$C$6:$C$305,"Fase 3")/SUMIFS('Datos semanales'!$W$6:$W$305,'Datos semanales'!$C$6:$C$305,"Fase 3"),"")</f>
        <v/>
      </c>
      <c r="M13" s="18">
        <f>Metas!H12</f>
        <v/>
      </c>
      <c r="N13" s="15">
        <f>IF(L13="","",IF($E13="≥",IF(L13&gt;=M13,"Verde",IF(L13&gt;=M13*0.9,"Ámbar","Rojo")),IF(L13&lt;=M13,"Verde",IF(L13&lt;=M13*1.1,"Ámbar","Rojo"))))</f>
        <v/>
      </c>
      <c r="O13" s="15">
        <f>IF(OR(F13="",L13=""),"",IF(L13=F13,"Sin cambio",IF((L13&gt;F13)=($E13="≥"),"Mejora","Empeora")))</f>
        <v/>
      </c>
    </row>
    <row r="14" ht="22" customHeight="1">
      <c r="A14" s="13" t="inlineStr">
        <is>
          <t>K08</t>
        </is>
      </c>
      <c r="B14" s="14" t="inlineStr">
        <is>
          <t>Porcentaje de plan cumplido (PPC)</t>
        </is>
      </c>
      <c r="C14" s="15" t="inlineStr">
        <is>
          <t>Resultado</t>
        </is>
      </c>
      <c r="D14" s="15" t="inlineStr">
        <is>
          <t>%</t>
        </is>
      </c>
      <c r="E14" s="15">
        <f>Metas!E13</f>
        <v/>
      </c>
      <c r="F14" s="16">
        <f>IFERROR(SUMIFS('Datos semanales'!$E$6:$E$305,'Datos semanales'!$C$6:$C$305,"Fase 1")/SUMIFS('Datos semanales'!$D$6:$D$305,'Datos semanales'!$C$6:$C$305,"Fase 1"),"")</f>
        <v/>
      </c>
      <c r="G14" s="16">
        <f>Metas!F13</f>
        <v/>
      </c>
      <c r="H14" s="15">
        <f>IF(F14="","",IF($E14="≥",IF(F14&gt;=G14,"Verde",IF(F14&gt;=G14*0.9,"Ámbar","Rojo")),IF(F14&lt;=G14,"Verde",IF(F14&lt;=G14*1.1,"Ámbar","Rojo"))))</f>
        <v/>
      </c>
      <c r="I14" s="16">
        <f>IFERROR(SUMIFS('Datos semanales'!$E$6:$E$305,'Datos semanales'!$C$6:$C$305,"Fase 2")/SUMIFS('Datos semanales'!$D$6:$D$305,'Datos semanales'!$C$6:$C$305,"Fase 2"),"")</f>
        <v/>
      </c>
      <c r="J14" s="16">
        <f>Metas!G13</f>
        <v/>
      </c>
      <c r="K14" s="15">
        <f>IF(I14="","",IF($E14="≥",IF(I14&gt;=J14,"Verde",IF(I14&gt;=J14*0.9,"Ámbar","Rojo")),IF(I14&lt;=J14,"Verde",IF(I14&lt;=J14*1.1,"Ámbar","Rojo"))))</f>
        <v/>
      </c>
      <c r="L14" s="16">
        <f>IFERROR(SUMIFS('Datos semanales'!$E$6:$E$305,'Datos semanales'!$C$6:$C$305,"Fase 3")/SUMIFS('Datos semanales'!$D$6:$D$305,'Datos semanales'!$C$6:$C$305,"Fase 3"),"")</f>
        <v/>
      </c>
      <c r="M14" s="16">
        <f>Metas!H13</f>
        <v/>
      </c>
      <c r="N14" s="15">
        <f>IF(L14="","",IF($E14="≥",IF(L14&gt;=M14,"Verde",IF(L14&gt;=M14*0.9,"Ámbar","Rojo")),IF(L14&lt;=M14,"Verde",IF(L14&lt;=M14*1.1,"Ámbar","Rojo"))))</f>
        <v/>
      </c>
      <c r="O14" s="15">
        <f>IF(OR(F14="",L14=""),"",IF(L14=F14,"Sin cambio",IF((L14&gt;F14)=($E14="≥"),"Mejora","Empeora")))</f>
        <v/>
      </c>
    </row>
    <row r="15" ht="22" customHeight="1">
      <c r="A15" s="13" t="inlineStr">
        <is>
          <t>K09</t>
        </is>
      </c>
      <c r="B15" s="14" t="inlineStr">
        <is>
          <t>IWP devueltos</t>
        </is>
      </c>
      <c r="C15" s="15" t="inlineStr">
        <is>
          <t>Resultado</t>
        </is>
      </c>
      <c r="D15" s="15" t="inlineStr">
        <is>
          <t>%</t>
        </is>
      </c>
      <c r="E15" s="15">
        <f>Metas!E14</f>
        <v/>
      </c>
      <c r="F15" s="16">
        <f>IFERROR(SUMIFS('Datos semanales'!$J$6:$J$305,'Datos semanales'!$C$6:$C$305,"Fase 1")/SUMIFS('Datos semanales'!$I$6:$I$305,'Datos semanales'!$C$6:$C$305,"Fase 1"),"")</f>
        <v/>
      </c>
      <c r="G15" s="16">
        <f>Metas!F14</f>
        <v/>
      </c>
      <c r="H15" s="15">
        <f>IF(F15="","",IF($E15="≥",IF(F15&gt;=G15,"Verde",IF(F15&gt;=G15*0.9,"Ámbar","Rojo")),IF(F15&lt;=G15,"Verde",IF(F15&lt;=G15*1.1,"Ámbar","Rojo"))))</f>
        <v/>
      </c>
      <c r="I15" s="16">
        <f>IFERROR(SUMIFS('Datos semanales'!$J$6:$J$305,'Datos semanales'!$C$6:$C$305,"Fase 2")/SUMIFS('Datos semanales'!$I$6:$I$305,'Datos semanales'!$C$6:$C$305,"Fase 2"),"")</f>
        <v/>
      </c>
      <c r="J15" s="16">
        <f>Metas!G14</f>
        <v/>
      </c>
      <c r="K15" s="15">
        <f>IF(I15="","",IF($E15="≥",IF(I15&gt;=J15,"Verde",IF(I15&gt;=J15*0.9,"Ámbar","Rojo")),IF(I15&lt;=J15,"Verde",IF(I15&lt;=J15*1.1,"Ámbar","Rojo"))))</f>
        <v/>
      </c>
      <c r="L15" s="16">
        <f>IFERROR(SUMIFS('Datos semanales'!$J$6:$J$305,'Datos semanales'!$C$6:$C$305,"Fase 3")/SUMIFS('Datos semanales'!$I$6:$I$305,'Datos semanales'!$C$6:$C$305,"Fase 3"),"")</f>
        <v/>
      </c>
      <c r="M15" s="16">
        <f>Metas!H14</f>
        <v/>
      </c>
      <c r="N15" s="15">
        <f>IF(L15="","",IF($E15="≥",IF(L15&gt;=M15,"Verde",IF(L15&gt;=M15*0.9,"Ámbar","Rojo")),IF(L15&lt;=M15,"Verde",IF(L15&lt;=M15*1.1,"Ámbar","Rojo"))))</f>
        <v/>
      </c>
      <c r="O15" s="15">
        <f>IF(OR(F15="",L15=""),"",IF(L15=F15,"Sin cambio",IF((L15&gt;F15)=($E15="≥"),"Mejora","Empeora")))</f>
        <v/>
      </c>
    </row>
    <row r="16" ht="22" customHeight="1">
      <c r="A16" s="13" t="inlineStr">
        <is>
          <t>K10</t>
        </is>
      </c>
      <c r="B16" s="14" t="inlineStr">
        <is>
          <t>Factor de productividad</t>
        </is>
      </c>
      <c r="C16" s="15" t="inlineStr">
        <is>
          <t>Resultado</t>
        </is>
      </c>
      <c r="D16" s="15" t="inlineStr">
        <is>
          <t>índice</t>
        </is>
      </c>
      <c r="E16" s="15">
        <f>Metas!E15</f>
        <v/>
      </c>
      <c r="F16" s="19">
        <f>IFERROR(SUMIFS('Datos semanales'!$S$6:$S$305,'Datos semanales'!$C$6:$C$305,"Fase 1")/SUMIFS('Datos semanales'!$T$6:$T$305,'Datos semanales'!$C$6:$C$305,"Fase 1"),"")</f>
        <v/>
      </c>
      <c r="G16" s="19">
        <f>Metas!F15</f>
        <v/>
      </c>
      <c r="H16" s="15">
        <f>IF(F16="","",IF($E16="≥",IF(F16&gt;=G16,"Verde",IF(F16&gt;=G16*0.9,"Ámbar","Rojo")),IF(F16&lt;=G16,"Verde",IF(F16&lt;=G16*1.1,"Ámbar","Rojo"))))</f>
        <v/>
      </c>
      <c r="I16" s="19">
        <f>IFERROR(SUMIFS('Datos semanales'!$S$6:$S$305,'Datos semanales'!$C$6:$C$305,"Fase 2")/SUMIFS('Datos semanales'!$T$6:$T$305,'Datos semanales'!$C$6:$C$305,"Fase 2"),"")</f>
        <v/>
      </c>
      <c r="J16" s="19">
        <f>Metas!G15</f>
        <v/>
      </c>
      <c r="K16" s="15">
        <f>IF(I16="","",IF($E16="≥",IF(I16&gt;=J16,"Verde",IF(I16&gt;=J16*0.9,"Ámbar","Rojo")),IF(I16&lt;=J16,"Verde",IF(I16&lt;=J16*1.1,"Ámbar","Rojo"))))</f>
        <v/>
      </c>
      <c r="L16" s="19">
        <f>IFERROR(SUMIFS('Datos semanales'!$S$6:$S$305,'Datos semanales'!$C$6:$C$305,"Fase 3")/SUMIFS('Datos semanales'!$T$6:$T$305,'Datos semanales'!$C$6:$C$305,"Fase 3"),"")</f>
        <v/>
      </c>
      <c r="M16" s="19">
        <f>Metas!H15</f>
        <v/>
      </c>
      <c r="N16" s="15">
        <f>IF(L16="","",IF($E16="≥",IF(L16&gt;=M16,"Verde",IF(L16&gt;=M16*0.9,"Ámbar","Rojo")),IF(L16&lt;=M16,"Verde",IF(L16&lt;=M16*1.1,"Ámbar","Rojo"))))</f>
        <v/>
      </c>
      <c r="O16" s="15">
        <f>IF(OR(F16="",L16=""),"",IF(L16=F16,"Sin cambio",IF((L16&gt;F16)=($E16="≥"),"Mejora","Empeora")))</f>
        <v/>
      </c>
    </row>
    <row r="17" ht="22" customHeight="1">
      <c r="A17" s="13" t="inlineStr">
        <is>
          <t>K11</t>
        </is>
      </c>
      <c r="B17" s="14" t="inlineStr">
        <is>
          <t>Tiempo productivo (tool time)</t>
        </is>
      </c>
      <c r="C17" s="15" t="inlineStr">
        <is>
          <t>Resultado</t>
        </is>
      </c>
      <c r="D17" s="15" t="inlineStr">
        <is>
          <t>%</t>
        </is>
      </c>
      <c r="E17" s="15">
        <f>Metas!E16</f>
        <v/>
      </c>
      <c r="F17" s="16">
        <f>IFERROR(AVERAGEIFS('Datos semanales'!$X$6:$X$305,'Datos semanales'!$C$6:$C$305,"Fase 1",'Datos semanales'!$X$6:$X$305,"&lt;&gt;"),"")</f>
        <v/>
      </c>
      <c r="G17" s="16">
        <f>Metas!F16</f>
        <v/>
      </c>
      <c r="H17" s="15">
        <f>IF(F17="","",IF($E17="≥",IF(F17&gt;=G17,"Verde",IF(F17&gt;=G17*0.9,"Ámbar","Rojo")),IF(F17&lt;=G17,"Verde",IF(F17&lt;=G17*1.1,"Ámbar","Rojo"))))</f>
        <v/>
      </c>
      <c r="I17" s="16">
        <f>IFERROR(AVERAGEIFS('Datos semanales'!$X$6:$X$305,'Datos semanales'!$C$6:$C$305,"Fase 2",'Datos semanales'!$X$6:$X$305,"&lt;&gt;"),"")</f>
        <v/>
      </c>
      <c r="J17" s="16">
        <f>Metas!G16</f>
        <v/>
      </c>
      <c r="K17" s="15">
        <f>IF(I17="","",IF($E17="≥",IF(I17&gt;=J17,"Verde",IF(I17&gt;=J17*0.9,"Ámbar","Rojo")),IF(I17&lt;=J17,"Verde",IF(I17&lt;=J17*1.1,"Ámbar","Rojo"))))</f>
        <v/>
      </c>
      <c r="L17" s="16">
        <f>IFERROR(AVERAGEIFS('Datos semanales'!$X$6:$X$305,'Datos semanales'!$C$6:$C$305,"Fase 3",'Datos semanales'!$X$6:$X$305,"&lt;&gt;"),"")</f>
        <v/>
      </c>
      <c r="M17" s="16">
        <f>Metas!H16</f>
        <v/>
      </c>
      <c r="N17" s="15">
        <f>IF(L17="","",IF($E17="≥",IF(L17&gt;=M17,"Verde",IF(L17&gt;=M17*0.9,"Ámbar","Rojo")),IF(L17&lt;=M17,"Verde",IF(L17&lt;=M17*1.1,"Ámbar","Rojo"))))</f>
        <v/>
      </c>
      <c r="O17" s="15">
        <f>IF(OR(F17="",L17=""),"",IF(L17=F17,"Sin cambio",IF((L17&gt;F17)=($E17="≥"),"Mejora","Empeora")))</f>
        <v/>
      </c>
    </row>
    <row r="18" ht="22" customHeight="1">
      <c r="A18" s="13" t="inlineStr">
        <is>
          <t>K12</t>
        </is>
      </c>
      <c r="B18" s="14" t="inlineStr">
        <is>
          <t>Retrabajo</t>
        </is>
      </c>
      <c r="C18" s="15" t="inlineStr">
        <is>
          <t>Resultado</t>
        </is>
      </c>
      <c r="D18" s="15" t="inlineStr">
        <is>
          <t>%</t>
        </is>
      </c>
      <c r="E18" s="15">
        <f>Metas!E17</f>
        <v/>
      </c>
      <c r="F18" s="16">
        <f>IFERROR(SUMIFS('Datos semanales'!$U$6:$U$305,'Datos semanales'!$C$6:$C$305,"Fase 1")/SUMIFS('Datos semanales'!$T$6:$T$305,'Datos semanales'!$C$6:$C$305,"Fase 1"),"")</f>
        <v/>
      </c>
      <c r="G18" s="16">
        <f>Metas!F17</f>
        <v/>
      </c>
      <c r="H18" s="15">
        <f>IF(F18="","",IF($E18="≥",IF(F18&gt;=G18,"Verde",IF(F18&gt;=G18*0.9,"Ámbar","Rojo")),IF(F18&lt;=G18,"Verde",IF(F18&lt;=G18*1.1,"Ámbar","Rojo"))))</f>
        <v/>
      </c>
      <c r="I18" s="16">
        <f>IFERROR(SUMIFS('Datos semanales'!$U$6:$U$305,'Datos semanales'!$C$6:$C$305,"Fase 2")/SUMIFS('Datos semanales'!$T$6:$T$305,'Datos semanales'!$C$6:$C$305,"Fase 2"),"")</f>
        <v/>
      </c>
      <c r="J18" s="16">
        <f>Metas!G17</f>
        <v/>
      </c>
      <c r="K18" s="15">
        <f>IF(I18="","",IF($E18="≥",IF(I18&gt;=J18,"Verde",IF(I18&gt;=J18*0.9,"Ámbar","Rojo")),IF(I18&lt;=J18,"Verde",IF(I18&lt;=J18*1.1,"Ámbar","Rojo"))))</f>
        <v/>
      </c>
      <c r="L18" s="16">
        <f>IFERROR(SUMIFS('Datos semanales'!$U$6:$U$305,'Datos semanales'!$C$6:$C$305,"Fase 3")/SUMIFS('Datos semanales'!$T$6:$T$305,'Datos semanales'!$C$6:$C$305,"Fase 3"),"")</f>
        <v/>
      </c>
      <c r="M18" s="16">
        <f>Metas!H17</f>
        <v/>
      </c>
      <c r="N18" s="15">
        <f>IF(L18="","",IF($E18="≥",IF(L18&gt;=M18,"Verde",IF(L18&gt;=M18*0.9,"Ámbar","Rojo")),IF(L18&lt;=M18,"Verde",IF(L18&lt;=M18*1.1,"Ámbar","Rojo"))))</f>
        <v/>
      </c>
      <c r="O18" s="15">
        <f>IF(OR(F18="",L18=""),"",IF(L18=F18,"Sin cambio",IF((L18&gt;F18)=($E18="≥"),"Mejora","Empeora")))</f>
        <v/>
      </c>
    </row>
    <row r="19" ht="22" customHeight="1">
      <c r="A19" s="13" t="inlineStr">
        <is>
          <t>K13</t>
        </is>
      </c>
      <c r="B19" s="14" t="inlineStr">
        <is>
          <t>SPI de construcción</t>
        </is>
      </c>
      <c r="C19" s="15" t="inlineStr">
        <is>
          <t>Resultado</t>
        </is>
      </c>
      <c r="D19" s="15" t="inlineStr">
        <is>
          <t>índice</t>
        </is>
      </c>
      <c r="E19" s="15">
        <f>Metas!E18</f>
        <v/>
      </c>
      <c r="F19" s="19">
        <f>IFERROR(SUMIFS('Datos semanales'!$Y$6:$Y$305,'Datos semanales'!$C$6:$C$305,"Fase 1")/SUMIFS('Datos semanales'!$Z$6:$Z$305,'Datos semanales'!$C$6:$C$305,"Fase 1"),"")</f>
        <v/>
      </c>
      <c r="G19" s="19">
        <f>Metas!F18</f>
        <v/>
      </c>
      <c r="H19" s="15">
        <f>IF(F19="","",IF($E19="≥",IF(F19&gt;=G19,"Verde",IF(F19&gt;=G19*0.9,"Ámbar","Rojo")),IF(F19&lt;=G19,"Verde",IF(F19&lt;=G19*1.1,"Ámbar","Rojo"))))</f>
        <v/>
      </c>
      <c r="I19" s="19">
        <f>IFERROR(SUMIFS('Datos semanales'!$Y$6:$Y$305,'Datos semanales'!$C$6:$C$305,"Fase 2")/SUMIFS('Datos semanales'!$Z$6:$Z$305,'Datos semanales'!$C$6:$C$305,"Fase 2"),"")</f>
        <v/>
      </c>
      <c r="J19" s="19">
        <f>Metas!G18</f>
        <v/>
      </c>
      <c r="K19" s="15">
        <f>IF(I19="","",IF($E19="≥",IF(I19&gt;=J19,"Verde",IF(I19&gt;=J19*0.9,"Ámbar","Rojo")),IF(I19&lt;=J19,"Verde",IF(I19&lt;=J19*1.1,"Ámbar","Rojo"))))</f>
        <v/>
      </c>
      <c r="L19" s="19">
        <f>IFERROR(SUMIFS('Datos semanales'!$Y$6:$Y$305,'Datos semanales'!$C$6:$C$305,"Fase 3")/SUMIFS('Datos semanales'!$Z$6:$Z$305,'Datos semanales'!$C$6:$C$305,"Fase 3"),"")</f>
        <v/>
      </c>
      <c r="M19" s="19">
        <f>Metas!H18</f>
        <v/>
      </c>
      <c r="N19" s="15">
        <f>IF(L19="","",IF($E19="≥",IF(L19&gt;=M19,"Verde",IF(L19&gt;=M19*0.9,"Ámbar","Rojo")),IF(L19&lt;=M19,"Verde",IF(L19&lt;=M19*1.1,"Ámbar","Rojo"))))</f>
        <v/>
      </c>
      <c r="O19" s="15">
        <f>IF(OR(F19="",L19=""),"",IF(L19=F19,"Sin cambio",IF((L19&gt;F19)=($E19="≥"),"Mejora","Empeora")))</f>
        <v/>
      </c>
    </row>
    <row r="22">
      <c r="A22" s="20" t="inlineStr">
        <is>
          <t>Datos del gráfico</t>
        </is>
      </c>
    </row>
    <row r="23">
      <c r="B23" t="inlineStr">
        <is>
          <t>KPI</t>
        </is>
      </c>
      <c r="C23" t="inlineStr">
        <is>
          <t>Fase 1</t>
        </is>
      </c>
      <c r="D23" t="inlineStr">
        <is>
          <t>Fase 2</t>
        </is>
      </c>
      <c r="E23" t="inlineStr">
        <is>
          <t>Fase 3</t>
        </is>
      </c>
    </row>
    <row r="24">
      <c r="B24">
        <f>A7&amp;" "&amp;B7</f>
        <v/>
      </c>
      <c r="C24" s="21">
        <f>IF(F7="",0,F7)</f>
        <v/>
      </c>
      <c r="D24" s="21">
        <f>IF(I7="",0,I7)</f>
        <v/>
      </c>
      <c r="E24" s="21">
        <f>IF(L7="",0,L7)</f>
        <v/>
      </c>
    </row>
    <row r="25">
      <c r="B25">
        <f>A8&amp;" "&amp;B8</f>
        <v/>
      </c>
      <c r="C25" s="21">
        <f>IF(F8="",0,F8)</f>
        <v/>
      </c>
      <c r="D25" s="21">
        <f>IF(I8="",0,I8)</f>
        <v/>
      </c>
      <c r="E25" s="21">
        <f>IF(L8="",0,L8)</f>
        <v/>
      </c>
    </row>
    <row r="26">
      <c r="B26">
        <f>A9&amp;" "&amp;B9</f>
        <v/>
      </c>
      <c r="C26" s="21">
        <f>IF(F9="",0,F9)</f>
        <v/>
      </c>
      <c r="D26" s="21">
        <f>IF(I9="",0,I9)</f>
        <v/>
      </c>
      <c r="E26" s="21">
        <f>IF(L9="",0,L9)</f>
        <v/>
      </c>
    </row>
    <row r="27">
      <c r="B27">
        <f>A11&amp;" "&amp;B11</f>
        <v/>
      </c>
      <c r="C27" s="21">
        <f>IF(F11="",0,F11)</f>
        <v/>
      </c>
      <c r="D27" s="21">
        <f>IF(I11="",0,I11)</f>
        <v/>
      </c>
      <c r="E27" s="21">
        <f>IF(L11="",0,L11)</f>
        <v/>
      </c>
    </row>
    <row r="28">
      <c r="B28">
        <f>A14&amp;" "&amp;B14</f>
        <v/>
      </c>
      <c r="C28" s="21">
        <f>IF(F14="",0,F14)</f>
        <v/>
      </c>
      <c r="D28" s="21">
        <f>IF(I14="",0,I14)</f>
        <v/>
      </c>
      <c r="E28" s="21">
        <f>IF(L14="",0,L14)</f>
        <v/>
      </c>
    </row>
    <row r="29">
      <c r="B29">
        <f>A17&amp;" "&amp;B17</f>
        <v/>
      </c>
      <c r="C29" s="21">
        <f>IF(F17="",0,F17)</f>
        <v/>
      </c>
      <c r="D29" s="21">
        <f>IF(I17="",0,I17)</f>
        <v/>
      </c>
      <c r="E29" s="21">
        <f>IF(L17="",0,L17)</f>
        <v/>
      </c>
    </row>
  </sheetData>
  <mergeCells count="9">
    <mergeCell ref="A5:A6"/>
    <mergeCell ref="O5:O6"/>
    <mergeCell ref="E5:E6"/>
    <mergeCell ref="F5:H5"/>
    <mergeCell ref="I5:K5"/>
    <mergeCell ref="L5:N5"/>
    <mergeCell ref="C5:C6"/>
    <mergeCell ref="B5:B6"/>
    <mergeCell ref="D5:D6"/>
  </mergeCells>
  <conditionalFormatting sqref="H7:H19">
    <cfRule type="expression" priority="1" dxfId="0" stopIfTrue="1">
      <formula>H7="Rojo"</formula>
    </cfRule>
    <cfRule type="expression" priority="2" dxfId="1" stopIfTrue="1">
      <formula>H7="Ámbar"</formula>
    </cfRule>
    <cfRule type="expression" priority="3" dxfId="2" stopIfTrue="1">
      <formula>H7="Verde"</formula>
    </cfRule>
  </conditionalFormatting>
  <conditionalFormatting sqref="K7:K19">
    <cfRule type="expression" priority="4" dxfId="0" stopIfTrue="1">
      <formula>K7="Rojo"</formula>
    </cfRule>
    <cfRule type="expression" priority="5" dxfId="1" stopIfTrue="1">
      <formula>K7="Ámbar"</formula>
    </cfRule>
    <cfRule type="expression" priority="6" dxfId="2" stopIfTrue="1">
      <formula>K7="Verde"</formula>
    </cfRule>
  </conditionalFormatting>
  <conditionalFormatting sqref="N7:N19">
    <cfRule type="expression" priority="7" dxfId="0" stopIfTrue="1">
      <formula>N7="Rojo"</formula>
    </cfRule>
    <cfRule type="expression" priority="8" dxfId="1" stopIfTrue="1">
      <formula>N7="Ámbar"</formula>
    </cfRule>
    <cfRule type="expression" priority="9" dxfId="2" stopIfTrue="1">
      <formula>N7="Verde"</formula>
    </cfRule>
  </conditionalFormatting>
  <conditionalFormatting sqref="O7:O19">
    <cfRule type="expression" priority="10" dxfId="3" stopIfTrue="1">
      <formula>O7="Mejora"</formula>
    </cfRule>
    <cfRule type="expression" priority="11" dxfId="4" stopIfTrue="1">
      <formula>O7="Empeora"</formula>
    </cfRule>
  </conditionalFormatting>
  <printOptions horizontalCentered="1"/>
  <pageMargins left="0.4" right="0.4" top="0.6" bottom="0.6" header="0.5" footer="0.5"/>
  <pageSetup orientation="landscape" paperSize="9" fitToHeight="1" fitToWidth="1"/>
  <headerFooter>
    <oddHeader>&amp;L&amp;8 Kit de implementación AWP&amp;R&amp;8 Tablero de KPI</oddHeader>
    <oddFooter>&amp;L&amp;8 Proyecto Tipo (PT) – Complejo de instalaciones en tres fases&amp;R&amp;8 Página &amp;P de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I18"/>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50" customWidth="1" min="3" max="3"/>
    <col width="12" customWidth="1" min="4" max="4"/>
    <col width="8" customWidth="1" min="5" max="5"/>
    <col width="11" customWidth="1" min="6" max="6"/>
    <col width="11" customWidth="1" min="7" max="7"/>
    <col width="11" customWidth="1" min="8" max="8"/>
    <col width="11" customWidth="1" min="9" max="9"/>
  </cols>
  <sheetData>
    <row r="1" ht="24" customHeight="1">
      <c r="A1" s="11" t="inlineStr">
        <is>
          <t>Metas de KPI por fase del proyecto</t>
        </is>
      </c>
    </row>
    <row r="2">
      <c r="A2" s="2" t="inlineStr">
        <is>
          <t>Puede ajustar las metas; el tablero se recalcula. Sentido «≥»: mayor es mejor; «≤»: menor es mejor.</t>
        </is>
      </c>
    </row>
    <row r="5">
      <c r="A5" s="22" t="inlineStr">
        <is>
          <t>Código</t>
        </is>
      </c>
      <c r="B5" s="22" t="inlineStr">
        <is>
          <t>KPI</t>
        </is>
      </c>
      <c r="C5" s="22" t="inlineStr">
        <is>
          <t>Fórmula</t>
        </is>
      </c>
      <c r="D5" s="22" t="inlineStr">
        <is>
          <t>Unidad</t>
        </is>
      </c>
      <c r="E5" s="22" t="inlineStr">
        <is>
          <t>Sentido</t>
        </is>
      </c>
      <c r="F5" s="22" t="inlineStr">
        <is>
          <t>Meta Fase 1</t>
        </is>
      </c>
      <c r="G5" s="22" t="inlineStr">
        <is>
          <t>Meta Fase 2</t>
        </is>
      </c>
      <c r="H5" s="22" t="inlineStr">
        <is>
          <t>Meta Fase 3</t>
        </is>
      </c>
      <c r="I5" s="22" t="inlineStr">
        <is>
          <t>Tipo</t>
        </is>
      </c>
    </row>
    <row r="6">
      <c r="A6" s="23" t="inlineStr">
        <is>
          <t>K01</t>
        </is>
      </c>
      <c r="B6" s="24" t="inlineStr">
        <is>
          <t>EWP emitidos a tiempo</t>
        </is>
      </c>
      <c r="C6" s="24" t="inlineStr">
        <is>
          <t>EWP emitidos IFC a tiempo ÷ EWP con fecha requerida vencida</t>
        </is>
      </c>
      <c r="D6" s="23" t="inlineStr">
        <is>
          <t>%</t>
        </is>
      </c>
      <c r="E6" s="23" t="inlineStr">
        <is>
          <t>≥</t>
        </is>
      </c>
      <c r="F6" s="25" t="n">
        <v>0.8</v>
      </c>
      <c r="G6" s="25" t="n">
        <v>0.9</v>
      </c>
      <c r="H6" s="25" t="n">
        <v>0.95</v>
      </c>
      <c r="I6" s="23" t="inlineStr">
        <is>
          <t>Proceso</t>
        </is>
      </c>
    </row>
    <row r="7">
      <c r="A7" s="23" t="inlineStr">
        <is>
          <t>K02</t>
        </is>
      </c>
      <c r="B7" s="24" t="inlineStr">
        <is>
          <t>Materiales disponibles al liberar</t>
        </is>
      </c>
      <c r="C7" s="24" t="inlineStr">
        <is>
          <t>IWP liberados con 100 % de materiales ÷ IWP liberados</t>
        </is>
      </c>
      <c r="D7" s="23" t="inlineStr">
        <is>
          <t>%</t>
        </is>
      </c>
      <c r="E7" s="23" t="inlineStr">
        <is>
          <t>≥</t>
        </is>
      </c>
      <c r="F7" s="25" t="n">
        <v>0.9</v>
      </c>
      <c r="G7" s="25" t="n">
        <v>0.95</v>
      </c>
      <c r="H7" s="25" t="n">
        <v>0.98</v>
      </c>
      <c r="I7" s="23" t="inlineStr">
        <is>
          <t>Proceso</t>
        </is>
      </c>
    </row>
    <row r="8">
      <c r="A8" s="23" t="inlineStr">
        <is>
          <t>K03</t>
        </is>
      </c>
      <c r="B8" s="24" t="inlineStr">
        <is>
          <t>IWP liberados sin restricciones</t>
        </is>
      </c>
      <c r="C8" s="24" t="inlineStr">
        <is>
          <t>IWP liberados sin restricciones abiertas ÷ IWP liberados</t>
        </is>
      </c>
      <c r="D8" s="23" t="inlineStr">
        <is>
          <t>%</t>
        </is>
      </c>
      <c r="E8" s="23" t="inlineStr">
        <is>
          <t>≥</t>
        </is>
      </c>
      <c r="F8" s="25" t="n">
        <v>0.85</v>
      </c>
      <c r="G8" s="25" t="n">
        <v>0.95</v>
      </c>
      <c r="H8" s="25" t="n">
        <v>0.98</v>
      </c>
      <c r="I8" s="23" t="inlineStr">
        <is>
          <t>Proceso</t>
        </is>
      </c>
    </row>
    <row r="9">
      <c r="A9" s="23" t="inlineStr">
        <is>
          <t>K04</t>
        </is>
      </c>
      <c r="B9" s="24" t="inlineStr">
        <is>
          <t>Backlog de IWP liberados</t>
        </is>
      </c>
      <c r="C9" s="24" t="inlineStr">
        <is>
          <t>HH de IWP liberados no iniciados ÷ HH ejecutadas por semana</t>
        </is>
      </c>
      <c r="D9" s="23" t="inlineStr">
        <is>
          <t>semanas</t>
        </is>
      </c>
      <c r="E9" s="23" t="inlineStr">
        <is>
          <t>≥</t>
        </is>
      </c>
      <c r="F9" s="26" t="n">
        <v>2</v>
      </c>
      <c r="G9" s="26" t="n">
        <v>2</v>
      </c>
      <c r="H9" s="26" t="n">
        <v>3</v>
      </c>
      <c r="I9" s="23" t="inlineStr">
        <is>
          <t>Proceso</t>
        </is>
      </c>
    </row>
    <row r="10">
      <c r="A10" s="23" t="inlineStr">
        <is>
          <t>K05</t>
        </is>
      </c>
      <c r="B10" s="24" t="inlineStr">
        <is>
          <t>Restricciones liberadas a tiempo</t>
        </is>
      </c>
      <c r="C10" s="24" t="inlineStr">
        <is>
          <t>Restricciones liberadas a tiempo ÷ restricciones liberadas</t>
        </is>
      </c>
      <c r="D10" s="23" t="inlineStr">
        <is>
          <t>%</t>
        </is>
      </c>
      <c r="E10" s="23" t="inlineStr">
        <is>
          <t>≥</t>
        </is>
      </c>
      <c r="F10" s="25" t="n">
        <v>0.8</v>
      </c>
      <c r="G10" s="25" t="n">
        <v>0.9</v>
      </c>
      <c r="H10" s="25" t="n">
        <v>0.95</v>
      </c>
      <c r="I10" s="23" t="inlineStr">
        <is>
          <t>Proceso</t>
        </is>
      </c>
    </row>
    <row r="11">
      <c r="A11" s="23" t="inlineStr">
        <is>
          <t>K06</t>
        </is>
      </c>
      <c r="B11" s="24" t="inlineStr">
        <is>
          <t>Atraso promedio de restricciones</t>
        </is>
      </c>
      <c r="C11" s="24" t="inlineStr">
        <is>
          <t>Suma de días de atraso ÷ N.° de restricciones vencidas</t>
        </is>
      </c>
      <c r="D11" s="23" t="inlineStr">
        <is>
          <t>días</t>
        </is>
      </c>
      <c r="E11" s="23" t="inlineStr">
        <is>
          <t>≤</t>
        </is>
      </c>
      <c r="F11" s="26" t="n">
        <v>7</v>
      </c>
      <c r="G11" s="26" t="n">
        <v>5</v>
      </c>
      <c r="H11" s="26" t="n">
        <v>3</v>
      </c>
      <c r="I11" s="23" t="inlineStr">
        <is>
          <t>Proceso</t>
        </is>
      </c>
    </row>
    <row r="12">
      <c r="A12" s="23" t="inlineStr">
        <is>
          <t>K07</t>
        </is>
      </c>
      <c r="B12" s="24" t="inlineStr">
        <is>
          <t>Cobertura de planificadores</t>
        </is>
      </c>
      <c r="C12" s="24" t="inlineStr">
        <is>
          <t>Trabajadores directos ÷ planificadores</t>
        </is>
      </c>
      <c r="D12" s="23" t="inlineStr">
        <is>
          <t>trab./planif.</t>
        </is>
      </c>
      <c r="E12" s="23" t="inlineStr">
        <is>
          <t>≤</t>
        </is>
      </c>
      <c r="F12" s="27" t="n">
        <v>55</v>
      </c>
      <c r="G12" s="27" t="n">
        <v>50</v>
      </c>
      <c r="H12" s="27" t="n">
        <v>50</v>
      </c>
      <c r="I12" s="23" t="inlineStr">
        <is>
          <t>Proceso</t>
        </is>
      </c>
    </row>
    <row r="13">
      <c r="A13" s="23" t="inlineStr">
        <is>
          <t>K08</t>
        </is>
      </c>
      <c r="B13" s="24" t="inlineStr">
        <is>
          <t>Porcentaje de plan cumplido (PPC)</t>
        </is>
      </c>
      <c r="C13" s="24" t="inlineStr">
        <is>
          <t>IWP completados según plan ÷ IWP planificados</t>
        </is>
      </c>
      <c r="D13" s="23" t="inlineStr">
        <is>
          <t>%</t>
        </is>
      </c>
      <c r="E13" s="23" t="inlineStr">
        <is>
          <t>≥</t>
        </is>
      </c>
      <c r="F13" s="25" t="n">
        <v>0.75</v>
      </c>
      <c r="G13" s="25" t="n">
        <v>0.8</v>
      </c>
      <c r="H13" s="25" t="n">
        <v>0.85</v>
      </c>
      <c r="I13" s="23" t="inlineStr">
        <is>
          <t>Resultado</t>
        </is>
      </c>
    </row>
    <row r="14">
      <c r="A14" s="23" t="inlineStr">
        <is>
          <t>K09</t>
        </is>
      </c>
      <c r="B14" s="24" t="inlineStr">
        <is>
          <t>IWP devueltos</t>
        </is>
      </c>
      <c r="C14" s="24" t="inlineStr">
        <is>
          <t>IWP devueltos de campo ÷ IWP entregados a campo</t>
        </is>
      </c>
      <c r="D14" s="23" t="inlineStr">
        <is>
          <t>%</t>
        </is>
      </c>
      <c r="E14" s="23" t="inlineStr">
        <is>
          <t>≤</t>
        </is>
      </c>
      <c r="F14" s="25" t="n">
        <v>0.08</v>
      </c>
      <c r="G14" s="25" t="n">
        <v>0.05</v>
      </c>
      <c r="H14" s="25" t="n">
        <v>0.03</v>
      </c>
      <c r="I14" s="23" t="inlineStr">
        <is>
          <t>Resultado</t>
        </is>
      </c>
    </row>
    <row r="15">
      <c r="A15" s="23" t="inlineStr">
        <is>
          <t>K10</t>
        </is>
      </c>
      <c r="B15" s="24" t="inlineStr">
        <is>
          <t>Factor de productividad</t>
        </is>
      </c>
      <c r="C15" s="24" t="inlineStr">
        <is>
          <t>HH ganadas ÷ HH gastadas</t>
        </is>
      </c>
      <c r="D15" s="23" t="inlineStr">
        <is>
          <t>índice</t>
        </is>
      </c>
      <c r="E15" s="23" t="inlineStr">
        <is>
          <t>≥</t>
        </is>
      </c>
      <c r="F15" s="28" t="n">
        <v>0.95</v>
      </c>
      <c r="G15" s="28" t="n">
        <v>1</v>
      </c>
      <c r="H15" s="28" t="n">
        <v>1.05</v>
      </c>
      <c r="I15" s="23" t="inlineStr">
        <is>
          <t>Resultado</t>
        </is>
      </c>
    </row>
    <row r="16">
      <c r="A16" s="23" t="inlineStr">
        <is>
          <t>K11</t>
        </is>
      </c>
      <c r="B16" s="24" t="inlineStr">
        <is>
          <t>Tiempo productivo (tool time)</t>
        </is>
      </c>
      <c r="C16" s="24" t="inlineStr">
        <is>
          <t>Tiempo en trabajo directo ÷ tiempo observado</t>
        </is>
      </c>
      <c r="D16" s="23" t="inlineStr">
        <is>
          <t>%</t>
        </is>
      </c>
      <c r="E16" s="23" t="inlineStr">
        <is>
          <t>≥</t>
        </is>
      </c>
      <c r="F16" s="25" t="n">
        <v>0.4</v>
      </c>
      <c r="G16" s="25" t="n">
        <v>0.44</v>
      </c>
      <c r="H16" s="25" t="n">
        <v>0.46</v>
      </c>
      <c r="I16" s="23" t="inlineStr">
        <is>
          <t>Resultado</t>
        </is>
      </c>
    </row>
    <row r="17">
      <c r="A17" s="23" t="inlineStr">
        <is>
          <t>K12</t>
        </is>
      </c>
      <c r="B17" s="24" t="inlineStr">
        <is>
          <t>Retrabajo</t>
        </is>
      </c>
      <c r="C17" s="24" t="inlineStr">
        <is>
          <t>HH de retrabajo ÷ HH gastadas</t>
        </is>
      </c>
      <c r="D17" s="23" t="inlineStr">
        <is>
          <t>%</t>
        </is>
      </c>
      <c r="E17" s="23" t="inlineStr">
        <is>
          <t>≤</t>
        </is>
      </c>
      <c r="F17" s="25" t="n">
        <v>0.04</v>
      </c>
      <c r="G17" s="25" t="n">
        <v>0.03</v>
      </c>
      <c r="H17" s="25" t="n">
        <v>0.02</v>
      </c>
      <c r="I17" s="23" t="inlineStr">
        <is>
          <t>Resultado</t>
        </is>
      </c>
    </row>
    <row r="18">
      <c r="A18" s="23" t="inlineStr">
        <is>
          <t>K13</t>
        </is>
      </c>
      <c r="B18" s="24" t="inlineStr">
        <is>
          <t>SPI de construcción</t>
        </is>
      </c>
      <c r="C18" s="24" t="inlineStr">
        <is>
          <t>Valor ganado ÷ valor planificado</t>
        </is>
      </c>
      <c r="D18" s="23" t="inlineStr">
        <is>
          <t>índice</t>
        </is>
      </c>
      <c r="E18" s="23" t="inlineStr">
        <is>
          <t>≥</t>
        </is>
      </c>
      <c r="F18" s="28" t="n">
        <v>0.95</v>
      </c>
      <c r="G18" s="28" t="n">
        <v>0.98</v>
      </c>
      <c r="H18" s="28" t="n">
        <v>1</v>
      </c>
      <c r="I18" s="23" t="inlineStr">
        <is>
          <t>Resultado</t>
        </is>
      </c>
    </row>
  </sheetData>
  <dataValidations count="1">
    <dataValidation sqref="E6:E18" showDropDown="0" showInputMessage="0" showErrorMessage="0" allowBlank="0" type="list">
      <formula1>"≥,≤"</formula1>
    </dataValidation>
  </dataValidations>
  <printOptions horizontalCentered="1"/>
  <pageMargins left="0.4" right="0.4" top="0.6" bottom="0.6" header="0.5" footer="0.5"/>
  <pageSetup orientation="landscape" paperSize="9" fitToHeight="0" fitToWidth="1"/>
  <headerFooter>
    <oddHeader>&amp;L&amp;8 Kit de implementación AWP&amp;R&amp;8 Metas de KPI</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1F3864"/>
    <outlinePr summaryBelow="1" summaryRight="1"/>
    <pageSetUpPr fitToPage="1"/>
  </sheetPr>
  <dimension ref="A1:AD305"/>
  <sheetViews>
    <sheetView tabSelected="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9" customWidth="1" min="27" max="27"/>
    <col width="10" customWidth="1" min="28" max="28"/>
    <col width="9" customWidth="1" min="29" max="29"/>
    <col width="10" customWidth="1" min="30" max="30"/>
  </cols>
  <sheetData>
    <row r="1" ht="24" customHeight="1">
      <c r="A1" s="11" t="inlineStr">
        <is>
          <t>Datos semanales para el cálculo de KPI</t>
        </is>
      </c>
    </row>
    <row r="2">
      <c r="A2" s="2" t="inlineStr">
        <is>
          <t>Proyecto Tipo (PT) – Complejo de instalaciones en tres fases. Las filas en amarillo marcadas «EJEMPLO» son de ejemplo: bórrelas o reemplácelas.</t>
        </is>
      </c>
    </row>
    <row r="5" ht="58" customHeight="1">
      <c r="A5" s="12" t="inlineStr">
        <is>
          <t>Ejemplo</t>
        </is>
      </c>
      <c r="B5" s="12" t="inlineStr">
        <is>
          <t>Semana (lunes)</t>
        </is>
      </c>
      <c r="C5" s="12" t="inlineStr">
        <is>
          <t>Fase del proyecto</t>
        </is>
      </c>
      <c r="D5" s="12" t="inlineStr">
        <is>
          <t>IWP planificados en la semana</t>
        </is>
      </c>
      <c r="E5" s="12" t="inlineStr">
        <is>
          <t>IWP completados según plan</t>
        </is>
      </c>
      <c r="F5" s="12" t="inlineStr">
        <is>
          <t>IWP liberados en la semana</t>
        </is>
      </c>
      <c r="G5" s="12" t="inlineStr">
        <is>
          <t>IWP liberados sin restricciones</t>
        </is>
      </c>
      <c r="H5" s="12" t="inlineStr">
        <is>
          <t>IWP liberados con 100 % de materiales</t>
        </is>
      </c>
      <c r="I5" s="12" t="inlineStr">
        <is>
          <t>IWP entregados a campo</t>
        </is>
      </c>
      <c r="J5" s="12" t="inlineStr">
        <is>
          <t>IWP devueltos de campo</t>
        </is>
      </c>
      <c r="K5" s="12" t="inlineStr">
        <is>
          <t>HH de IWP en backlog (fin de semana)</t>
        </is>
      </c>
      <c r="L5" s="12" t="inlineStr">
        <is>
          <t>HH ejecutadas en la semana</t>
        </is>
      </c>
      <c r="M5" s="12" t="inlineStr">
        <is>
          <t>Restricciones liberadas</t>
        </is>
      </c>
      <c r="N5" s="12" t="inlineStr">
        <is>
          <t>Restricciones liberadas a tiempo</t>
        </is>
      </c>
      <c r="O5" s="12" t="inlineStr">
        <is>
          <t>Restricciones vencidas (al corte)</t>
        </is>
      </c>
      <c r="P5" s="12" t="inlineStr">
        <is>
          <t>Suma de días de atraso de vencidas</t>
        </is>
      </c>
      <c r="Q5" s="12" t="inlineStr">
        <is>
          <t>EWP con fecha requerida vencida</t>
        </is>
      </c>
      <c r="R5" s="12" t="inlineStr">
        <is>
          <t>EWP emitidos a tiempo</t>
        </is>
      </c>
      <c r="S5" s="12" t="inlineStr">
        <is>
          <t>HH ganadas</t>
        </is>
      </c>
      <c r="T5" s="12" t="inlineStr">
        <is>
          <t>HH gastadas</t>
        </is>
      </c>
      <c r="U5" s="12" t="inlineStr">
        <is>
          <t>HH de retrabajo</t>
        </is>
      </c>
      <c r="V5" s="12" t="inlineStr">
        <is>
          <t>Trabajadores directos</t>
        </is>
      </c>
      <c r="W5" s="12" t="inlineStr">
        <is>
          <t>Planificadores de frente de trabajo</t>
        </is>
      </c>
      <c r="X5" s="12" t="inlineStr">
        <is>
          <t>Tool time medido (si hubo estudio)</t>
        </is>
      </c>
      <c r="Y5" s="12" t="inlineStr">
        <is>
          <t>Valor ganado</t>
        </is>
      </c>
      <c r="Z5" s="12" t="inlineStr">
        <is>
          <t>Valor planificado</t>
        </is>
      </c>
      <c r="AA5" s="29" t="inlineStr">
        <is>
          <t>PPC semanal</t>
        </is>
      </c>
      <c r="AB5" s="29" t="inlineStr">
        <is>
          <t>% IWP sin restricciones</t>
        </is>
      </c>
      <c r="AC5" s="29" t="inlineStr">
        <is>
          <t>Backlog (semanas)</t>
        </is>
      </c>
      <c r="AD5" s="29" t="inlineStr">
        <is>
          <t>Factor de productividad</t>
        </is>
      </c>
    </row>
    <row r="6">
      <c r="A6" s="30" t="inlineStr">
        <is>
          <t>EJEMPLO</t>
        </is>
      </c>
      <c r="B6" s="31" t="n">
        <v>46636</v>
      </c>
      <c r="C6" s="32" t="inlineStr">
        <is>
          <t>Fase 1</t>
        </is>
      </c>
      <c r="D6" s="33" t="n">
        <v>40</v>
      </c>
      <c r="E6" s="33" t="n">
        <v>29</v>
      </c>
      <c r="F6" s="33" t="n">
        <v>38</v>
      </c>
      <c r="G6" s="33" t="n">
        <v>31</v>
      </c>
      <c r="H6" s="33" t="n">
        <v>34</v>
      </c>
      <c r="I6" s="33" t="n">
        <v>39</v>
      </c>
      <c r="J6" s="33" t="n">
        <v>4</v>
      </c>
      <c r="K6" s="33" t="n">
        <v>9500</v>
      </c>
      <c r="L6" s="33" t="n">
        <v>5200</v>
      </c>
      <c r="M6" s="33" t="n">
        <v>22</v>
      </c>
      <c r="N6" s="33" t="n">
        <v>16</v>
      </c>
      <c r="O6" s="33" t="n">
        <v>6</v>
      </c>
      <c r="P6" s="33" t="n">
        <v>54</v>
      </c>
      <c r="Q6" s="33" t="n">
        <v>5</v>
      </c>
      <c r="R6" s="33" t="n">
        <v>4</v>
      </c>
      <c r="S6" s="33" t="n">
        <v>5000</v>
      </c>
      <c r="T6" s="33" t="n">
        <v>5400</v>
      </c>
      <c r="U6" s="33" t="n">
        <v>240</v>
      </c>
      <c r="V6" s="33" t="n">
        <v>205</v>
      </c>
      <c r="W6" s="33" t="n">
        <v>4</v>
      </c>
      <c r="X6" s="34" t="n">
        <v>0.39</v>
      </c>
      <c r="Y6" s="33" t="n">
        <v>5100</v>
      </c>
      <c r="Z6" s="33" t="n">
        <v>5400</v>
      </c>
      <c r="AA6" s="35">
        <f>IF(OR(D6="",D6=0),"",E6/D6)</f>
        <v/>
      </c>
      <c r="AB6" s="35">
        <f>IF(OR(F6="",F6=0),"",G6/F6)</f>
        <v/>
      </c>
      <c r="AC6" s="36">
        <f>IF(OR(L6="",L6=0),"",K6/L6)</f>
        <v/>
      </c>
      <c r="AD6" s="36">
        <f>IF(OR(T6="",T6=0),"",S6/T6)</f>
        <v/>
      </c>
    </row>
    <row r="7">
      <c r="A7" s="30" t="inlineStr">
        <is>
          <t>EJEMPLO</t>
        </is>
      </c>
      <c r="B7" s="31" t="n">
        <v>46643</v>
      </c>
      <c r="C7" s="32" t="inlineStr">
        <is>
          <t>Fase 1</t>
        </is>
      </c>
      <c r="D7" s="33" t="n">
        <v>42</v>
      </c>
      <c r="E7" s="33" t="n">
        <v>32</v>
      </c>
      <c r="F7" s="33" t="n">
        <v>40</v>
      </c>
      <c r="G7" s="33" t="n">
        <v>34</v>
      </c>
      <c r="H7" s="33" t="n">
        <v>37</v>
      </c>
      <c r="I7" s="33" t="n">
        <v>41</v>
      </c>
      <c r="J7" s="33" t="n">
        <v>3</v>
      </c>
      <c r="K7" s="33" t="n">
        <v>10400</v>
      </c>
      <c r="L7" s="33" t="n">
        <v>5300</v>
      </c>
      <c r="M7" s="33" t="n">
        <v>25</v>
      </c>
      <c r="N7" s="33" t="n">
        <v>20</v>
      </c>
      <c r="O7" s="33" t="n">
        <v>5</v>
      </c>
      <c r="P7" s="33" t="n">
        <v>38</v>
      </c>
      <c r="Q7" s="33" t="n">
        <v>4</v>
      </c>
      <c r="R7" s="33" t="n">
        <v>3</v>
      </c>
      <c r="S7" s="33" t="n">
        <v>5150</v>
      </c>
      <c r="T7" s="33" t="n">
        <v>5350</v>
      </c>
      <c r="U7" s="33" t="n">
        <v>210</v>
      </c>
      <c r="V7" s="33" t="n">
        <v>210</v>
      </c>
      <c r="W7" s="33" t="n">
        <v>4</v>
      </c>
      <c r="X7" s="34" t="n"/>
      <c r="Y7" s="33" t="n">
        <v>5250</v>
      </c>
      <c r="Z7" s="33" t="n">
        <v>5450</v>
      </c>
      <c r="AA7" s="35">
        <f>IF(OR(D7="",D7=0),"",E7/D7)</f>
        <v/>
      </c>
      <c r="AB7" s="35">
        <f>IF(OR(F7="",F7=0),"",G7/F7)</f>
        <v/>
      </c>
      <c r="AC7" s="36">
        <f>IF(OR(L7="",L7=0),"",K7/L7)</f>
        <v/>
      </c>
      <c r="AD7" s="36">
        <f>IF(OR(T7="",T7=0),"",S7/T7)</f>
        <v/>
      </c>
    </row>
    <row r="8">
      <c r="A8" s="30" t="inlineStr">
        <is>
          <t>EJEMPLO</t>
        </is>
      </c>
      <c r="B8" s="31" t="n">
        <v>46650</v>
      </c>
      <c r="C8" s="32" t="inlineStr">
        <is>
          <t>Fase 1</t>
        </is>
      </c>
      <c r="D8" s="33" t="n">
        <v>41</v>
      </c>
      <c r="E8" s="33" t="n">
        <v>33</v>
      </c>
      <c r="F8" s="33" t="n">
        <v>42</v>
      </c>
      <c r="G8" s="33" t="n">
        <v>37</v>
      </c>
      <c r="H8" s="33" t="n">
        <v>39</v>
      </c>
      <c r="I8" s="33" t="n">
        <v>40</v>
      </c>
      <c r="J8" s="33" t="n">
        <v>3</v>
      </c>
      <c r="K8" s="33" t="n">
        <v>11200</v>
      </c>
      <c r="L8" s="33" t="n">
        <v>5400</v>
      </c>
      <c r="M8" s="33" t="n">
        <v>24</v>
      </c>
      <c r="N8" s="33" t="n">
        <v>20</v>
      </c>
      <c r="O8" s="33" t="n">
        <v>4</v>
      </c>
      <c r="P8" s="33" t="n">
        <v>26</v>
      </c>
      <c r="Q8" s="33" t="n">
        <v>3</v>
      </c>
      <c r="R8" s="33" t="n">
        <v>3</v>
      </c>
      <c r="S8" s="33" t="n">
        <v>5300</v>
      </c>
      <c r="T8" s="33" t="n">
        <v>5380</v>
      </c>
      <c r="U8" s="33" t="n">
        <v>180</v>
      </c>
      <c r="V8" s="33" t="n">
        <v>215</v>
      </c>
      <c r="W8" s="33" t="n">
        <v>4</v>
      </c>
      <c r="X8" s="34" t="n"/>
      <c r="Y8" s="33" t="n">
        <v>5380</v>
      </c>
      <c r="Z8" s="33" t="n">
        <v>5500</v>
      </c>
      <c r="AA8" s="35">
        <f>IF(OR(D8="",D8=0),"",E8/D8)</f>
        <v/>
      </c>
      <c r="AB8" s="35">
        <f>IF(OR(F8="",F8=0),"",G8/F8)</f>
        <v/>
      </c>
      <c r="AC8" s="36">
        <f>IF(OR(L8="",L8=0),"",K8/L8)</f>
        <v/>
      </c>
      <c r="AD8" s="36">
        <f>IF(OR(T8="",T8=0),"",S8/T8)</f>
        <v/>
      </c>
    </row>
    <row r="9">
      <c r="A9" s="30" t="inlineStr">
        <is>
          <t>EJEMPLO</t>
        </is>
      </c>
      <c r="B9" s="31" t="n">
        <v>46902</v>
      </c>
      <c r="C9" s="32" t="inlineStr">
        <is>
          <t>Fase 2</t>
        </is>
      </c>
      <c r="D9" s="33" t="n">
        <v>150</v>
      </c>
      <c r="E9" s="33" t="n">
        <v>118</v>
      </c>
      <c r="F9" s="33" t="n">
        <v>152</v>
      </c>
      <c r="G9" s="33" t="n">
        <v>142</v>
      </c>
      <c r="H9" s="33" t="n">
        <v>145</v>
      </c>
      <c r="I9" s="33" t="n">
        <v>148</v>
      </c>
      <c r="J9" s="33" t="n">
        <v>8</v>
      </c>
      <c r="K9" s="33" t="n">
        <v>52000</v>
      </c>
      <c r="L9" s="33" t="n">
        <v>19500</v>
      </c>
      <c r="M9" s="33" t="n">
        <v>80</v>
      </c>
      <c r="N9" s="33" t="n">
        <v>70</v>
      </c>
      <c r="O9" s="33" t="n">
        <v>9</v>
      </c>
      <c r="P9" s="33" t="n">
        <v>52</v>
      </c>
      <c r="Q9" s="33" t="n">
        <v>12</v>
      </c>
      <c r="R9" s="33" t="n">
        <v>11</v>
      </c>
      <c r="S9" s="33" t="n">
        <v>19300</v>
      </c>
      <c r="T9" s="33" t="n">
        <v>19600</v>
      </c>
      <c r="U9" s="33" t="n">
        <v>610</v>
      </c>
      <c r="V9" s="33" t="n">
        <v>790</v>
      </c>
      <c r="W9" s="33" t="n">
        <v>16</v>
      </c>
      <c r="X9" s="34" t="n">
        <v>0.43</v>
      </c>
      <c r="Y9" s="33" t="n">
        <v>19300</v>
      </c>
      <c r="Z9" s="33" t="n">
        <v>19900</v>
      </c>
      <c r="AA9" s="35">
        <f>IF(OR(D9="",D9=0),"",E9/D9)</f>
        <v/>
      </c>
      <c r="AB9" s="35">
        <f>IF(OR(F9="",F9=0),"",G9/F9)</f>
        <v/>
      </c>
      <c r="AC9" s="36">
        <f>IF(OR(L9="",L9=0),"",K9/L9)</f>
        <v/>
      </c>
      <c r="AD9" s="36">
        <f>IF(OR(T9="",T9=0),"",S9/T9)</f>
        <v/>
      </c>
    </row>
    <row r="10">
      <c r="A10" s="30" t="inlineStr">
        <is>
          <t>EJEMPLO</t>
        </is>
      </c>
      <c r="B10" s="31" t="n">
        <v>46909</v>
      </c>
      <c r="C10" s="32" t="inlineStr">
        <is>
          <t>Fase 2</t>
        </is>
      </c>
      <c r="D10" s="33" t="n">
        <v>155</v>
      </c>
      <c r="E10" s="33" t="n">
        <v>125</v>
      </c>
      <c r="F10" s="33" t="n">
        <v>150</v>
      </c>
      <c r="G10" s="33" t="n">
        <v>143</v>
      </c>
      <c r="H10" s="33" t="n">
        <v>146</v>
      </c>
      <c r="I10" s="33" t="n">
        <v>152</v>
      </c>
      <c r="J10" s="33" t="n">
        <v>7</v>
      </c>
      <c r="K10" s="33" t="n">
        <v>55000</v>
      </c>
      <c r="L10" s="33" t="n">
        <v>20100</v>
      </c>
      <c r="M10" s="33" t="n">
        <v>84</v>
      </c>
      <c r="N10" s="33" t="n">
        <v>75</v>
      </c>
      <c r="O10" s="33" t="n">
        <v>8</v>
      </c>
      <c r="P10" s="33" t="n">
        <v>41</v>
      </c>
      <c r="Q10" s="33" t="n">
        <v>10</v>
      </c>
      <c r="R10" s="33" t="n">
        <v>9</v>
      </c>
      <c r="S10" s="33" t="n">
        <v>20200</v>
      </c>
      <c r="T10" s="33" t="n">
        <v>20100</v>
      </c>
      <c r="U10" s="33" t="n">
        <v>580</v>
      </c>
      <c r="V10" s="33" t="n">
        <v>810</v>
      </c>
      <c r="W10" s="33" t="n">
        <v>16</v>
      </c>
      <c r="X10" s="34" t="n"/>
      <c r="Y10" s="33" t="n">
        <v>20150</v>
      </c>
      <c r="Z10" s="33" t="n">
        <v>20500</v>
      </c>
      <c r="AA10" s="35">
        <f>IF(OR(D10="",D10=0),"",E10/D10)</f>
        <v/>
      </c>
      <c r="AB10" s="35">
        <f>IF(OR(F10="",F10=0),"",G10/F10)</f>
        <v/>
      </c>
      <c r="AC10" s="36">
        <f>IF(OR(L10="",L10=0),"",K10/L10)</f>
        <v/>
      </c>
      <c r="AD10" s="36">
        <f>IF(OR(T10="",T10=0),"",S10/T10)</f>
        <v/>
      </c>
    </row>
    <row r="11">
      <c r="A11" s="30" t="inlineStr">
        <is>
          <t>EJEMPLO</t>
        </is>
      </c>
      <c r="B11" s="31" t="n">
        <v>46916</v>
      </c>
      <c r="C11" s="32" t="inlineStr">
        <is>
          <t>Fase 2</t>
        </is>
      </c>
      <c r="D11" s="33" t="n">
        <v>158</v>
      </c>
      <c r="E11" s="33" t="n">
        <v>130</v>
      </c>
      <c r="F11" s="33" t="n">
        <v>160</v>
      </c>
      <c r="G11" s="33" t="n">
        <v>153</v>
      </c>
      <c r="H11" s="33" t="n">
        <v>156</v>
      </c>
      <c r="I11" s="33" t="n">
        <v>156</v>
      </c>
      <c r="J11" s="33" t="n">
        <v>6</v>
      </c>
      <c r="K11" s="33" t="n">
        <v>58000</v>
      </c>
      <c r="L11" s="33" t="n">
        <v>20800</v>
      </c>
      <c r="M11" s="33" t="n">
        <v>86</v>
      </c>
      <c r="N11" s="33" t="n">
        <v>78</v>
      </c>
      <c r="O11" s="33" t="n">
        <v>8</v>
      </c>
      <c r="P11" s="33" t="n">
        <v>36</v>
      </c>
      <c r="Q11" s="33" t="n">
        <v>9</v>
      </c>
      <c r="R11" s="33" t="n">
        <v>9</v>
      </c>
      <c r="S11" s="33" t="n">
        <v>21000</v>
      </c>
      <c r="T11" s="33" t="n">
        <v>20600</v>
      </c>
      <c r="U11" s="33" t="n">
        <v>560</v>
      </c>
      <c r="V11" s="33" t="n">
        <v>830</v>
      </c>
      <c r="W11" s="33" t="n">
        <v>17</v>
      </c>
      <c r="X11" s="34" t="n"/>
      <c r="Y11" s="33" t="n">
        <v>20950</v>
      </c>
      <c r="Z11" s="33" t="n">
        <v>21200</v>
      </c>
      <c r="AA11" s="35">
        <f>IF(OR(D11="",D11=0),"",E11/D11)</f>
        <v/>
      </c>
      <c r="AB11" s="35">
        <f>IF(OR(F11="",F11=0),"",G11/F11)</f>
        <v/>
      </c>
      <c r="AC11" s="36">
        <f>IF(OR(L11="",L11=0),"",K11/L11)</f>
        <v/>
      </c>
      <c r="AD11" s="36">
        <f>IF(OR(T11="",T11=0),"",S11/T11)</f>
        <v/>
      </c>
    </row>
    <row r="12">
      <c r="A12" s="30" t="inlineStr">
        <is>
          <t>EJEMPLO</t>
        </is>
      </c>
      <c r="B12" s="31" t="n">
        <v>47182</v>
      </c>
      <c r="C12" s="32" t="inlineStr">
        <is>
          <t>Fase 3</t>
        </is>
      </c>
      <c r="D12" s="33" t="n">
        <v>70</v>
      </c>
      <c r="E12" s="33" t="n">
        <v>60</v>
      </c>
      <c r="F12" s="33" t="n">
        <v>72</v>
      </c>
      <c r="G12" s="33" t="n">
        <v>71</v>
      </c>
      <c r="H12" s="33" t="n">
        <v>71</v>
      </c>
      <c r="I12" s="33" t="n">
        <v>70</v>
      </c>
      <c r="J12" s="33" t="n">
        <v>2</v>
      </c>
      <c r="K12" s="33" t="n">
        <v>30000</v>
      </c>
      <c r="L12" s="33" t="n">
        <v>8900</v>
      </c>
      <c r="M12" s="33" t="n">
        <v>38</v>
      </c>
      <c r="N12" s="33" t="n">
        <v>37</v>
      </c>
      <c r="O12" s="33" t="n">
        <v>2</v>
      </c>
      <c r="P12" s="33" t="n">
        <v>5</v>
      </c>
      <c r="Q12" s="33" t="n">
        <v>6</v>
      </c>
      <c r="R12" s="33" t="n">
        <v>6</v>
      </c>
      <c r="S12" s="33" t="n">
        <v>9300</v>
      </c>
      <c r="T12" s="33" t="n">
        <v>8900</v>
      </c>
      <c r="U12" s="33" t="n">
        <v>170</v>
      </c>
      <c r="V12" s="33" t="n">
        <v>360</v>
      </c>
      <c r="W12" s="33" t="n">
        <v>8</v>
      </c>
      <c r="X12" s="34" t="n">
        <v>0.46</v>
      </c>
      <c r="Y12" s="33" t="n">
        <v>9150</v>
      </c>
      <c r="Z12" s="33" t="n">
        <v>9100</v>
      </c>
      <c r="AA12" s="35">
        <f>IF(OR(D12="",D12=0),"",E12/D12)</f>
        <v/>
      </c>
      <c r="AB12" s="35">
        <f>IF(OR(F12="",F12=0),"",G12/F12)</f>
        <v/>
      </c>
      <c r="AC12" s="36">
        <f>IF(OR(L12="",L12=0),"",K12/L12)</f>
        <v/>
      </c>
      <c r="AD12" s="36">
        <f>IF(OR(T12="",T12=0),"",S12/T12)</f>
        <v/>
      </c>
    </row>
    <row r="13">
      <c r="A13" s="30" t="inlineStr">
        <is>
          <t>EJEMPLO</t>
        </is>
      </c>
      <c r="B13" s="31" t="n">
        <v>47189</v>
      </c>
      <c r="C13" s="32" t="inlineStr">
        <is>
          <t>Fase 3</t>
        </is>
      </c>
      <c r="D13" s="33" t="n">
        <v>72</v>
      </c>
      <c r="E13" s="33" t="n">
        <v>62</v>
      </c>
      <c r="F13" s="33" t="n">
        <v>74</v>
      </c>
      <c r="G13" s="33" t="n">
        <v>73</v>
      </c>
      <c r="H13" s="33" t="n">
        <v>73</v>
      </c>
      <c r="I13" s="33" t="n">
        <v>72</v>
      </c>
      <c r="J13" s="33" t="n">
        <v>2</v>
      </c>
      <c r="K13" s="33" t="n">
        <v>31000</v>
      </c>
      <c r="L13" s="33" t="n">
        <v>9100</v>
      </c>
      <c r="M13" s="33" t="n">
        <v>40</v>
      </c>
      <c r="N13" s="33" t="n">
        <v>38</v>
      </c>
      <c r="O13" s="33" t="n">
        <v>2</v>
      </c>
      <c r="P13" s="33" t="n">
        <v>6</v>
      </c>
      <c r="Q13" s="33" t="n">
        <v>5</v>
      </c>
      <c r="R13" s="33" t="n">
        <v>5</v>
      </c>
      <c r="S13" s="33" t="n">
        <v>9550</v>
      </c>
      <c r="T13" s="33" t="n">
        <v>9100</v>
      </c>
      <c r="U13" s="33" t="n">
        <v>160</v>
      </c>
      <c r="V13" s="33" t="n">
        <v>370</v>
      </c>
      <c r="W13" s="33" t="n">
        <v>8</v>
      </c>
      <c r="X13" s="34" t="n"/>
      <c r="Y13" s="33" t="n">
        <v>9400</v>
      </c>
      <c r="Z13" s="33" t="n">
        <v>9350</v>
      </c>
      <c r="AA13" s="35">
        <f>IF(OR(D13="",D13=0),"",E13/D13)</f>
        <v/>
      </c>
      <c r="AB13" s="35">
        <f>IF(OR(F13="",F13=0),"",G13/F13)</f>
        <v/>
      </c>
      <c r="AC13" s="36">
        <f>IF(OR(L13="",L13=0),"",K13/L13)</f>
        <v/>
      </c>
      <c r="AD13" s="36">
        <f>IF(OR(T13="",T13=0),"",S13/T13)</f>
        <v/>
      </c>
    </row>
    <row r="14">
      <c r="A14" s="30" t="inlineStr">
        <is>
          <t>EJEMPLO</t>
        </is>
      </c>
      <c r="B14" s="31" t="n">
        <v>47196</v>
      </c>
      <c r="C14" s="32" t="inlineStr">
        <is>
          <t>Fase 3</t>
        </is>
      </c>
      <c r="D14" s="33" t="n">
        <v>73</v>
      </c>
      <c r="E14" s="33" t="n">
        <v>63</v>
      </c>
      <c r="F14" s="33" t="n">
        <v>75</v>
      </c>
      <c r="G14" s="33" t="n">
        <v>74</v>
      </c>
      <c r="H14" s="33" t="n">
        <v>74</v>
      </c>
      <c r="I14" s="33" t="n">
        <v>73</v>
      </c>
      <c r="J14" s="33" t="n">
        <v>1</v>
      </c>
      <c r="K14" s="33" t="n">
        <v>32500</v>
      </c>
      <c r="L14" s="33" t="n">
        <v>9300</v>
      </c>
      <c r="M14" s="33" t="n">
        <v>41</v>
      </c>
      <c r="N14" s="33" t="n">
        <v>40</v>
      </c>
      <c r="O14" s="33" t="n">
        <v>1</v>
      </c>
      <c r="P14" s="33" t="n">
        <v>2</v>
      </c>
      <c r="Q14" s="33" t="n">
        <v>5</v>
      </c>
      <c r="R14" s="33" t="n">
        <v>5</v>
      </c>
      <c r="S14" s="33" t="n">
        <v>9800</v>
      </c>
      <c r="T14" s="33" t="n">
        <v>9250</v>
      </c>
      <c r="U14" s="33" t="n">
        <v>150</v>
      </c>
      <c r="V14" s="33" t="n">
        <v>375</v>
      </c>
      <c r="W14" s="33" t="n">
        <v>8</v>
      </c>
      <c r="X14" s="34" t="n"/>
      <c r="Y14" s="33" t="n">
        <v>9650</v>
      </c>
      <c r="Z14" s="33" t="n">
        <v>9600</v>
      </c>
      <c r="AA14" s="35">
        <f>IF(OR(D14="",D14=0),"",E14/D14)</f>
        <v/>
      </c>
      <c r="AB14" s="35">
        <f>IF(OR(F14="",F14=0),"",G14/F14)</f>
        <v/>
      </c>
      <c r="AC14" s="36">
        <f>IF(OR(L14="",L14=0),"",K14/L14)</f>
        <v/>
      </c>
      <c r="AD14" s="36">
        <f>IF(OR(T14="",T14=0),"",S14/T14)</f>
        <v/>
      </c>
    </row>
    <row r="15">
      <c r="A15" s="37" t="n"/>
      <c r="B15" s="38" t="n"/>
      <c r="C15" s="39" t="n"/>
      <c r="D15" s="40" t="n"/>
      <c r="E15" s="40" t="n"/>
      <c r="F15" s="40" t="n"/>
      <c r="G15" s="40" t="n"/>
      <c r="H15" s="40" t="n"/>
      <c r="I15" s="40" t="n"/>
      <c r="J15" s="40" t="n"/>
      <c r="K15" s="40" t="n"/>
      <c r="L15" s="40" t="n"/>
      <c r="M15" s="40" t="n"/>
      <c r="N15" s="40" t="n"/>
      <c r="O15" s="40" t="n"/>
      <c r="P15" s="40" t="n"/>
      <c r="Q15" s="40" t="n"/>
      <c r="R15" s="40" t="n"/>
      <c r="S15" s="40" t="n"/>
      <c r="T15" s="40" t="n"/>
      <c r="U15" s="40" t="n"/>
      <c r="V15" s="40" t="n"/>
      <c r="W15" s="40" t="n"/>
      <c r="X15" s="41" t="n"/>
      <c r="Y15" s="40" t="n"/>
      <c r="Z15" s="40" t="n"/>
      <c r="AA15" s="42">
        <f>IF(OR(D15="",D15=0),"",E15/D15)</f>
        <v/>
      </c>
      <c r="AB15" s="42">
        <f>IF(OR(F15="",F15=0),"",G15/F15)</f>
        <v/>
      </c>
      <c r="AC15" s="43">
        <f>IF(OR(L15="",L15=0),"",K15/L15)</f>
        <v/>
      </c>
      <c r="AD15" s="43">
        <f>IF(OR(T15="",T15=0),"",S15/T15)</f>
        <v/>
      </c>
    </row>
    <row r="16">
      <c r="A16" s="37" t="n"/>
      <c r="B16" s="38" t="n"/>
      <c r="C16" s="39" t="n"/>
      <c r="D16" s="40" t="n"/>
      <c r="E16" s="40" t="n"/>
      <c r="F16" s="40" t="n"/>
      <c r="G16" s="40" t="n"/>
      <c r="H16" s="40" t="n"/>
      <c r="I16" s="40" t="n"/>
      <c r="J16" s="40" t="n"/>
      <c r="K16" s="40" t="n"/>
      <c r="L16" s="40" t="n"/>
      <c r="M16" s="40" t="n"/>
      <c r="N16" s="40" t="n"/>
      <c r="O16" s="40" t="n"/>
      <c r="P16" s="40" t="n"/>
      <c r="Q16" s="40" t="n"/>
      <c r="R16" s="40" t="n"/>
      <c r="S16" s="40" t="n"/>
      <c r="T16" s="40" t="n"/>
      <c r="U16" s="40" t="n"/>
      <c r="V16" s="40" t="n"/>
      <c r="W16" s="40" t="n"/>
      <c r="X16" s="41" t="n"/>
      <c r="Y16" s="40" t="n"/>
      <c r="Z16" s="40" t="n"/>
      <c r="AA16" s="42">
        <f>IF(OR(D16="",D16=0),"",E16/D16)</f>
        <v/>
      </c>
      <c r="AB16" s="42">
        <f>IF(OR(F16="",F16=0),"",G16/F16)</f>
        <v/>
      </c>
      <c r="AC16" s="43">
        <f>IF(OR(L16="",L16=0),"",K16/L16)</f>
        <v/>
      </c>
      <c r="AD16" s="43">
        <f>IF(OR(T16="",T16=0),"",S16/T16)</f>
        <v/>
      </c>
    </row>
    <row r="17">
      <c r="A17" s="37" t="n"/>
      <c r="B17" s="38" t="n"/>
      <c r="C17" s="39" t="n"/>
      <c r="D17" s="40" t="n"/>
      <c r="E17" s="40" t="n"/>
      <c r="F17" s="40" t="n"/>
      <c r="G17" s="40" t="n"/>
      <c r="H17" s="40" t="n"/>
      <c r="I17" s="40" t="n"/>
      <c r="J17" s="40" t="n"/>
      <c r="K17" s="40" t="n"/>
      <c r="L17" s="40" t="n"/>
      <c r="M17" s="40" t="n"/>
      <c r="N17" s="40" t="n"/>
      <c r="O17" s="40" t="n"/>
      <c r="P17" s="40" t="n"/>
      <c r="Q17" s="40" t="n"/>
      <c r="R17" s="40" t="n"/>
      <c r="S17" s="40" t="n"/>
      <c r="T17" s="40" t="n"/>
      <c r="U17" s="40" t="n"/>
      <c r="V17" s="40" t="n"/>
      <c r="W17" s="40" t="n"/>
      <c r="X17" s="41" t="n"/>
      <c r="Y17" s="40" t="n"/>
      <c r="Z17" s="40" t="n"/>
      <c r="AA17" s="42">
        <f>IF(OR(D17="",D17=0),"",E17/D17)</f>
        <v/>
      </c>
      <c r="AB17" s="42">
        <f>IF(OR(F17="",F17=0),"",G17/F17)</f>
        <v/>
      </c>
      <c r="AC17" s="43">
        <f>IF(OR(L17="",L17=0),"",K17/L17)</f>
        <v/>
      </c>
      <c r="AD17" s="43">
        <f>IF(OR(T17="",T17=0),"",S17/T17)</f>
        <v/>
      </c>
    </row>
    <row r="18">
      <c r="A18" s="37" t="n"/>
      <c r="B18" s="38" t="n"/>
      <c r="C18" s="39" t="n"/>
      <c r="D18" s="40" t="n"/>
      <c r="E18" s="40" t="n"/>
      <c r="F18" s="40" t="n"/>
      <c r="G18" s="40" t="n"/>
      <c r="H18" s="40" t="n"/>
      <c r="I18" s="40" t="n"/>
      <c r="J18" s="40" t="n"/>
      <c r="K18" s="40" t="n"/>
      <c r="L18" s="40" t="n"/>
      <c r="M18" s="40" t="n"/>
      <c r="N18" s="40" t="n"/>
      <c r="O18" s="40" t="n"/>
      <c r="P18" s="40" t="n"/>
      <c r="Q18" s="40" t="n"/>
      <c r="R18" s="40" t="n"/>
      <c r="S18" s="40" t="n"/>
      <c r="T18" s="40" t="n"/>
      <c r="U18" s="40" t="n"/>
      <c r="V18" s="40" t="n"/>
      <c r="W18" s="40" t="n"/>
      <c r="X18" s="41" t="n"/>
      <c r="Y18" s="40" t="n"/>
      <c r="Z18" s="40" t="n"/>
      <c r="AA18" s="42">
        <f>IF(OR(D18="",D18=0),"",E18/D18)</f>
        <v/>
      </c>
      <c r="AB18" s="42">
        <f>IF(OR(F18="",F18=0),"",G18/F18)</f>
        <v/>
      </c>
      <c r="AC18" s="43">
        <f>IF(OR(L18="",L18=0),"",K18/L18)</f>
        <v/>
      </c>
      <c r="AD18" s="43">
        <f>IF(OR(T18="",T18=0),"",S18/T18)</f>
        <v/>
      </c>
    </row>
    <row r="19">
      <c r="A19" s="37" t="n"/>
      <c r="B19" s="38" t="n"/>
      <c r="C19" s="39" t="n"/>
      <c r="D19" s="40" t="n"/>
      <c r="E19" s="40" t="n"/>
      <c r="F19" s="40" t="n"/>
      <c r="G19" s="40" t="n"/>
      <c r="H19" s="40" t="n"/>
      <c r="I19" s="40" t="n"/>
      <c r="J19" s="40" t="n"/>
      <c r="K19" s="40" t="n"/>
      <c r="L19" s="40" t="n"/>
      <c r="M19" s="40" t="n"/>
      <c r="N19" s="40" t="n"/>
      <c r="O19" s="40" t="n"/>
      <c r="P19" s="40" t="n"/>
      <c r="Q19" s="40" t="n"/>
      <c r="R19" s="40" t="n"/>
      <c r="S19" s="40" t="n"/>
      <c r="T19" s="40" t="n"/>
      <c r="U19" s="40" t="n"/>
      <c r="V19" s="40" t="n"/>
      <c r="W19" s="40" t="n"/>
      <c r="X19" s="41" t="n"/>
      <c r="Y19" s="40" t="n"/>
      <c r="Z19" s="40" t="n"/>
      <c r="AA19" s="42">
        <f>IF(OR(D19="",D19=0),"",E19/D19)</f>
        <v/>
      </c>
      <c r="AB19" s="42">
        <f>IF(OR(F19="",F19=0),"",G19/F19)</f>
        <v/>
      </c>
      <c r="AC19" s="43">
        <f>IF(OR(L19="",L19=0),"",K19/L19)</f>
        <v/>
      </c>
      <c r="AD19" s="43">
        <f>IF(OR(T19="",T19=0),"",S19/T19)</f>
        <v/>
      </c>
    </row>
    <row r="20">
      <c r="A20" s="37" t="n"/>
      <c r="B20" s="38" t="n"/>
      <c r="C20" s="39" t="n"/>
      <c r="D20" s="40" t="n"/>
      <c r="E20" s="40" t="n"/>
      <c r="F20" s="40" t="n"/>
      <c r="G20" s="40" t="n"/>
      <c r="H20" s="40" t="n"/>
      <c r="I20" s="40" t="n"/>
      <c r="J20" s="40" t="n"/>
      <c r="K20" s="40" t="n"/>
      <c r="L20" s="40" t="n"/>
      <c r="M20" s="40" t="n"/>
      <c r="N20" s="40" t="n"/>
      <c r="O20" s="40" t="n"/>
      <c r="P20" s="40" t="n"/>
      <c r="Q20" s="40" t="n"/>
      <c r="R20" s="40" t="n"/>
      <c r="S20" s="40" t="n"/>
      <c r="T20" s="40" t="n"/>
      <c r="U20" s="40" t="n"/>
      <c r="V20" s="40" t="n"/>
      <c r="W20" s="40" t="n"/>
      <c r="X20" s="41" t="n"/>
      <c r="Y20" s="40" t="n"/>
      <c r="Z20" s="40" t="n"/>
      <c r="AA20" s="42">
        <f>IF(OR(D20="",D20=0),"",E20/D20)</f>
        <v/>
      </c>
      <c r="AB20" s="42">
        <f>IF(OR(F20="",F20=0),"",G20/F20)</f>
        <v/>
      </c>
      <c r="AC20" s="43">
        <f>IF(OR(L20="",L20=0),"",K20/L20)</f>
        <v/>
      </c>
      <c r="AD20" s="43">
        <f>IF(OR(T20="",T20=0),"",S20/T20)</f>
        <v/>
      </c>
    </row>
    <row r="21">
      <c r="A21" s="37" t="n"/>
      <c r="B21" s="38" t="n"/>
      <c r="C21" s="39" t="n"/>
      <c r="D21" s="40" t="n"/>
      <c r="E21" s="40" t="n"/>
      <c r="F21" s="40" t="n"/>
      <c r="G21" s="40" t="n"/>
      <c r="H21" s="40" t="n"/>
      <c r="I21" s="40" t="n"/>
      <c r="J21" s="40" t="n"/>
      <c r="K21" s="40" t="n"/>
      <c r="L21" s="40" t="n"/>
      <c r="M21" s="40" t="n"/>
      <c r="N21" s="40" t="n"/>
      <c r="O21" s="40" t="n"/>
      <c r="P21" s="40" t="n"/>
      <c r="Q21" s="40" t="n"/>
      <c r="R21" s="40" t="n"/>
      <c r="S21" s="40" t="n"/>
      <c r="T21" s="40" t="n"/>
      <c r="U21" s="40" t="n"/>
      <c r="V21" s="40" t="n"/>
      <c r="W21" s="40" t="n"/>
      <c r="X21" s="41" t="n"/>
      <c r="Y21" s="40" t="n"/>
      <c r="Z21" s="40" t="n"/>
      <c r="AA21" s="42">
        <f>IF(OR(D21="",D21=0),"",E21/D21)</f>
        <v/>
      </c>
      <c r="AB21" s="42">
        <f>IF(OR(F21="",F21=0),"",G21/F21)</f>
        <v/>
      </c>
      <c r="AC21" s="43">
        <f>IF(OR(L21="",L21=0),"",K21/L21)</f>
        <v/>
      </c>
      <c r="AD21" s="43">
        <f>IF(OR(T21="",T21=0),"",S21/T21)</f>
        <v/>
      </c>
    </row>
    <row r="22">
      <c r="A22" s="37" t="n"/>
      <c r="B22" s="38" t="n"/>
      <c r="C22" s="39"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1" t="n"/>
      <c r="Y22" s="40" t="n"/>
      <c r="Z22" s="40" t="n"/>
      <c r="AA22" s="42">
        <f>IF(OR(D22="",D22=0),"",E22/D22)</f>
        <v/>
      </c>
      <c r="AB22" s="42">
        <f>IF(OR(F22="",F22=0),"",G22/F22)</f>
        <v/>
      </c>
      <c r="AC22" s="43">
        <f>IF(OR(L22="",L22=0),"",K22/L22)</f>
        <v/>
      </c>
      <c r="AD22" s="43">
        <f>IF(OR(T22="",T22=0),"",S22/T22)</f>
        <v/>
      </c>
    </row>
    <row r="23">
      <c r="A23" s="37" t="n"/>
      <c r="B23" s="38" t="n"/>
      <c r="C23" s="39" t="n"/>
      <c r="D23" s="40" t="n"/>
      <c r="E23" s="40" t="n"/>
      <c r="F23" s="40" t="n"/>
      <c r="G23" s="40" t="n"/>
      <c r="H23" s="40" t="n"/>
      <c r="I23" s="40" t="n"/>
      <c r="J23" s="40" t="n"/>
      <c r="K23" s="40" t="n"/>
      <c r="L23" s="40" t="n"/>
      <c r="M23" s="40" t="n"/>
      <c r="N23" s="40" t="n"/>
      <c r="O23" s="40" t="n"/>
      <c r="P23" s="40" t="n"/>
      <c r="Q23" s="40" t="n"/>
      <c r="R23" s="40" t="n"/>
      <c r="S23" s="40" t="n"/>
      <c r="T23" s="40" t="n"/>
      <c r="U23" s="40" t="n"/>
      <c r="V23" s="40" t="n"/>
      <c r="W23" s="40" t="n"/>
      <c r="X23" s="41" t="n"/>
      <c r="Y23" s="40" t="n"/>
      <c r="Z23" s="40" t="n"/>
      <c r="AA23" s="42">
        <f>IF(OR(D23="",D23=0),"",E23/D23)</f>
        <v/>
      </c>
      <c r="AB23" s="42">
        <f>IF(OR(F23="",F23=0),"",G23/F23)</f>
        <v/>
      </c>
      <c r="AC23" s="43">
        <f>IF(OR(L23="",L23=0),"",K23/L23)</f>
        <v/>
      </c>
      <c r="AD23" s="43">
        <f>IF(OR(T23="",T23=0),"",S23/T23)</f>
        <v/>
      </c>
    </row>
    <row r="24">
      <c r="A24" s="37" t="n"/>
      <c r="B24" s="38" t="n"/>
      <c r="C24" s="39"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1" t="n"/>
      <c r="Y24" s="40" t="n"/>
      <c r="Z24" s="40" t="n"/>
      <c r="AA24" s="42">
        <f>IF(OR(D24="",D24=0),"",E24/D24)</f>
        <v/>
      </c>
      <c r="AB24" s="42">
        <f>IF(OR(F24="",F24=0),"",G24/F24)</f>
        <v/>
      </c>
      <c r="AC24" s="43">
        <f>IF(OR(L24="",L24=0),"",K24/L24)</f>
        <v/>
      </c>
      <c r="AD24" s="43">
        <f>IF(OR(T24="",T24=0),"",S24/T24)</f>
        <v/>
      </c>
    </row>
    <row r="25">
      <c r="A25" s="37" t="n"/>
      <c r="B25" s="38" t="n"/>
      <c r="C25" s="39" t="n"/>
      <c r="D25" s="40" t="n"/>
      <c r="E25" s="40" t="n"/>
      <c r="F25" s="40" t="n"/>
      <c r="G25" s="40" t="n"/>
      <c r="H25" s="40" t="n"/>
      <c r="I25" s="40" t="n"/>
      <c r="J25" s="40" t="n"/>
      <c r="K25" s="40" t="n"/>
      <c r="L25" s="40" t="n"/>
      <c r="M25" s="40" t="n"/>
      <c r="N25" s="40" t="n"/>
      <c r="O25" s="40" t="n"/>
      <c r="P25" s="40" t="n"/>
      <c r="Q25" s="40" t="n"/>
      <c r="R25" s="40" t="n"/>
      <c r="S25" s="40" t="n"/>
      <c r="T25" s="40" t="n"/>
      <c r="U25" s="40" t="n"/>
      <c r="V25" s="40" t="n"/>
      <c r="W25" s="40" t="n"/>
      <c r="X25" s="41" t="n"/>
      <c r="Y25" s="40" t="n"/>
      <c r="Z25" s="40" t="n"/>
      <c r="AA25" s="42">
        <f>IF(OR(D25="",D25=0),"",E25/D25)</f>
        <v/>
      </c>
      <c r="AB25" s="42">
        <f>IF(OR(F25="",F25=0),"",G25/F25)</f>
        <v/>
      </c>
      <c r="AC25" s="43">
        <f>IF(OR(L25="",L25=0),"",K25/L25)</f>
        <v/>
      </c>
      <c r="AD25" s="43">
        <f>IF(OR(T25="",T25=0),"",S25/T25)</f>
        <v/>
      </c>
    </row>
    <row r="26">
      <c r="A26" s="37" t="n"/>
      <c r="B26" s="38" t="n"/>
      <c r="C26" s="39" t="n"/>
      <c r="D26" s="40" t="n"/>
      <c r="E26" s="40" t="n"/>
      <c r="F26" s="40" t="n"/>
      <c r="G26" s="40" t="n"/>
      <c r="H26" s="40" t="n"/>
      <c r="I26" s="40" t="n"/>
      <c r="J26" s="40" t="n"/>
      <c r="K26" s="40" t="n"/>
      <c r="L26" s="40" t="n"/>
      <c r="M26" s="40" t="n"/>
      <c r="N26" s="40" t="n"/>
      <c r="O26" s="40" t="n"/>
      <c r="P26" s="40" t="n"/>
      <c r="Q26" s="40" t="n"/>
      <c r="R26" s="40" t="n"/>
      <c r="S26" s="40" t="n"/>
      <c r="T26" s="40" t="n"/>
      <c r="U26" s="40" t="n"/>
      <c r="V26" s="40" t="n"/>
      <c r="W26" s="40" t="n"/>
      <c r="X26" s="41" t="n"/>
      <c r="Y26" s="40" t="n"/>
      <c r="Z26" s="40" t="n"/>
      <c r="AA26" s="42">
        <f>IF(OR(D26="",D26=0),"",E26/D26)</f>
        <v/>
      </c>
      <c r="AB26" s="42">
        <f>IF(OR(F26="",F26=0),"",G26/F26)</f>
        <v/>
      </c>
      <c r="AC26" s="43">
        <f>IF(OR(L26="",L26=0),"",K26/L26)</f>
        <v/>
      </c>
      <c r="AD26" s="43">
        <f>IF(OR(T26="",T26=0),"",S26/T26)</f>
        <v/>
      </c>
    </row>
    <row r="27">
      <c r="A27" s="37" t="n"/>
      <c r="B27" s="38" t="n"/>
      <c r="C27" s="39" t="n"/>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1" t="n"/>
      <c r="Y27" s="40" t="n"/>
      <c r="Z27" s="40" t="n"/>
      <c r="AA27" s="42">
        <f>IF(OR(D27="",D27=0),"",E27/D27)</f>
        <v/>
      </c>
      <c r="AB27" s="42">
        <f>IF(OR(F27="",F27=0),"",G27/F27)</f>
        <v/>
      </c>
      <c r="AC27" s="43">
        <f>IF(OR(L27="",L27=0),"",K27/L27)</f>
        <v/>
      </c>
      <c r="AD27" s="43">
        <f>IF(OR(T27="",T27=0),"",S27/T27)</f>
        <v/>
      </c>
    </row>
    <row r="28">
      <c r="A28" s="37" t="n"/>
      <c r="B28" s="38" t="n"/>
      <c r="C28" s="39" t="n"/>
      <c r="D28" s="40" t="n"/>
      <c r="E28" s="40" t="n"/>
      <c r="F28" s="40" t="n"/>
      <c r="G28" s="40" t="n"/>
      <c r="H28" s="40" t="n"/>
      <c r="I28" s="40" t="n"/>
      <c r="J28" s="40" t="n"/>
      <c r="K28" s="40" t="n"/>
      <c r="L28" s="40" t="n"/>
      <c r="M28" s="40" t="n"/>
      <c r="N28" s="40" t="n"/>
      <c r="O28" s="40" t="n"/>
      <c r="P28" s="40" t="n"/>
      <c r="Q28" s="40" t="n"/>
      <c r="R28" s="40" t="n"/>
      <c r="S28" s="40" t="n"/>
      <c r="T28" s="40" t="n"/>
      <c r="U28" s="40" t="n"/>
      <c r="V28" s="40" t="n"/>
      <c r="W28" s="40" t="n"/>
      <c r="X28" s="41" t="n"/>
      <c r="Y28" s="40" t="n"/>
      <c r="Z28" s="40" t="n"/>
      <c r="AA28" s="42">
        <f>IF(OR(D28="",D28=0),"",E28/D28)</f>
        <v/>
      </c>
      <c r="AB28" s="42">
        <f>IF(OR(F28="",F28=0),"",G28/F28)</f>
        <v/>
      </c>
      <c r="AC28" s="43">
        <f>IF(OR(L28="",L28=0),"",K28/L28)</f>
        <v/>
      </c>
      <c r="AD28" s="43">
        <f>IF(OR(T28="",T28=0),"",S28/T28)</f>
        <v/>
      </c>
    </row>
    <row r="29">
      <c r="A29" s="37" t="n"/>
      <c r="B29" s="38" t="n"/>
      <c r="C29" s="39" t="n"/>
      <c r="D29" s="40" t="n"/>
      <c r="E29" s="40" t="n"/>
      <c r="F29" s="40" t="n"/>
      <c r="G29" s="40" t="n"/>
      <c r="H29" s="40" t="n"/>
      <c r="I29" s="40" t="n"/>
      <c r="J29" s="40" t="n"/>
      <c r="K29" s="40" t="n"/>
      <c r="L29" s="40" t="n"/>
      <c r="M29" s="40" t="n"/>
      <c r="N29" s="40" t="n"/>
      <c r="O29" s="40" t="n"/>
      <c r="P29" s="40" t="n"/>
      <c r="Q29" s="40" t="n"/>
      <c r="R29" s="40" t="n"/>
      <c r="S29" s="40" t="n"/>
      <c r="T29" s="40" t="n"/>
      <c r="U29" s="40" t="n"/>
      <c r="V29" s="40" t="n"/>
      <c r="W29" s="40" t="n"/>
      <c r="X29" s="41" t="n"/>
      <c r="Y29" s="40" t="n"/>
      <c r="Z29" s="40" t="n"/>
      <c r="AA29" s="42">
        <f>IF(OR(D29="",D29=0),"",E29/D29)</f>
        <v/>
      </c>
      <c r="AB29" s="42">
        <f>IF(OR(F29="",F29=0),"",G29/F29)</f>
        <v/>
      </c>
      <c r="AC29" s="43">
        <f>IF(OR(L29="",L29=0),"",K29/L29)</f>
        <v/>
      </c>
      <c r="AD29" s="43">
        <f>IF(OR(T29="",T29=0),"",S29/T29)</f>
        <v/>
      </c>
    </row>
    <row r="30">
      <c r="A30" s="37" t="n"/>
      <c r="B30" s="38" t="n"/>
      <c r="C30" s="39" t="n"/>
      <c r="D30" s="40" t="n"/>
      <c r="E30" s="40" t="n"/>
      <c r="F30" s="40" t="n"/>
      <c r="G30" s="40" t="n"/>
      <c r="H30" s="40" t="n"/>
      <c r="I30" s="40" t="n"/>
      <c r="J30" s="40" t="n"/>
      <c r="K30" s="40" t="n"/>
      <c r="L30" s="40" t="n"/>
      <c r="M30" s="40" t="n"/>
      <c r="N30" s="40" t="n"/>
      <c r="O30" s="40" t="n"/>
      <c r="P30" s="40" t="n"/>
      <c r="Q30" s="40" t="n"/>
      <c r="R30" s="40" t="n"/>
      <c r="S30" s="40" t="n"/>
      <c r="T30" s="40" t="n"/>
      <c r="U30" s="40" t="n"/>
      <c r="V30" s="40" t="n"/>
      <c r="W30" s="40" t="n"/>
      <c r="X30" s="41" t="n"/>
      <c r="Y30" s="40" t="n"/>
      <c r="Z30" s="40" t="n"/>
      <c r="AA30" s="42">
        <f>IF(OR(D30="",D30=0),"",E30/D30)</f>
        <v/>
      </c>
      <c r="AB30" s="42">
        <f>IF(OR(F30="",F30=0),"",G30/F30)</f>
        <v/>
      </c>
      <c r="AC30" s="43">
        <f>IF(OR(L30="",L30=0),"",K30/L30)</f>
        <v/>
      </c>
      <c r="AD30" s="43">
        <f>IF(OR(T30="",T30=0),"",S30/T30)</f>
        <v/>
      </c>
    </row>
    <row r="31">
      <c r="A31" s="37" t="n"/>
      <c r="B31" s="38" t="n"/>
      <c r="C31" s="39" t="n"/>
      <c r="D31" s="40" t="n"/>
      <c r="E31" s="40" t="n"/>
      <c r="F31" s="40" t="n"/>
      <c r="G31" s="40" t="n"/>
      <c r="H31" s="40" t="n"/>
      <c r="I31" s="40" t="n"/>
      <c r="J31" s="40" t="n"/>
      <c r="K31" s="40" t="n"/>
      <c r="L31" s="40" t="n"/>
      <c r="M31" s="40" t="n"/>
      <c r="N31" s="40" t="n"/>
      <c r="O31" s="40" t="n"/>
      <c r="P31" s="40" t="n"/>
      <c r="Q31" s="40" t="n"/>
      <c r="R31" s="40" t="n"/>
      <c r="S31" s="40" t="n"/>
      <c r="T31" s="40" t="n"/>
      <c r="U31" s="40" t="n"/>
      <c r="V31" s="40" t="n"/>
      <c r="W31" s="40" t="n"/>
      <c r="X31" s="41" t="n"/>
      <c r="Y31" s="40" t="n"/>
      <c r="Z31" s="40" t="n"/>
      <c r="AA31" s="42">
        <f>IF(OR(D31="",D31=0),"",E31/D31)</f>
        <v/>
      </c>
      <c r="AB31" s="42">
        <f>IF(OR(F31="",F31=0),"",G31/F31)</f>
        <v/>
      </c>
      <c r="AC31" s="43">
        <f>IF(OR(L31="",L31=0),"",K31/L31)</f>
        <v/>
      </c>
      <c r="AD31" s="43">
        <f>IF(OR(T31="",T31=0),"",S31/T31)</f>
        <v/>
      </c>
    </row>
    <row r="32">
      <c r="A32" s="37" t="n"/>
      <c r="B32" s="38" t="n"/>
      <c r="C32" s="39"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1" t="n"/>
      <c r="Y32" s="40" t="n"/>
      <c r="Z32" s="40" t="n"/>
      <c r="AA32" s="42">
        <f>IF(OR(D32="",D32=0),"",E32/D32)</f>
        <v/>
      </c>
      <c r="AB32" s="42">
        <f>IF(OR(F32="",F32=0),"",G32/F32)</f>
        <v/>
      </c>
      <c r="AC32" s="43">
        <f>IF(OR(L32="",L32=0),"",K32/L32)</f>
        <v/>
      </c>
      <c r="AD32" s="43">
        <f>IF(OR(T32="",T32=0),"",S32/T32)</f>
        <v/>
      </c>
    </row>
    <row r="33">
      <c r="A33" s="37" t="n"/>
      <c r="B33" s="38" t="n"/>
      <c r="C33" s="39" t="n"/>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1" t="n"/>
      <c r="Y33" s="40" t="n"/>
      <c r="Z33" s="40" t="n"/>
      <c r="AA33" s="42">
        <f>IF(OR(D33="",D33=0),"",E33/D33)</f>
        <v/>
      </c>
      <c r="AB33" s="42">
        <f>IF(OR(F33="",F33=0),"",G33/F33)</f>
        <v/>
      </c>
      <c r="AC33" s="43">
        <f>IF(OR(L33="",L33=0),"",K33/L33)</f>
        <v/>
      </c>
      <c r="AD33" s="43">
        <f>IF(OR(T33="",T33=0),"",S33/T33)</f>
        <v/>
      </c>
    </row>
    <row r="34">
      <c r="A34" s="37" t="n"/>
      <c r="B34" s="38" t="n"/>
      <c r="C34" s="39"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1" t="n"/>
      <c r="Y34" s="40" t="n"/>
      <c r="Z34" s="40" t="n"/>
      <c r="AA34" s="42">
        <f>IF(OR(D34="",D34=0),"",E34/D34)</f>
        <v/>
      </c>
      <c r="AB34" s="42">
        <f>IF(OR(F34="",F34=0),"",G34/F34)</f>
        <v/>
      </c>
      <c r="AC34" s="43">
        <f>IF(OR(L34="",L34=0),"",K34/L34)</f>
        <v/>
      </c>
      <c r="AD34" s="43">
        <f>IF(OR(T34="",T34=0),"",S34/T34)</f>
        <v/>
      </c>
    </row>
    <row r="35">
      <c r="A35" s="37" t="n"/>
      <c r="B35" s="38" t="n"/>
      <c r="C35" s="39"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1" t="n"/>
      <c r="Y35" s="40" t="n"/>
      <c r="Z35" s="40" t="n"/>
      <c r="AA35" s="42">
        <f>IF(OR(D35="",D35=0),"",E35/D35)</f>
        <v/>
      </c>
      <c r="AB35" s="42">
        <f>IF(OR(F35="",F35=0),"",G35/F35)</f>
        <v/>
      </c>
      <c r="AC35" s="43">
        <f>IF(OR(L35="",L35=0),"",K35/L35)</f>
        <v/>
      </c>
      <c r="AD35" s="43">
        <f>IF(OR(T35="",T35=0),"",S35/T35)</f>
        <v/>
      </c>
    </row>
    <row r="36">
      <c r="A36" s="37" t="n"/>
      <c r="B36" s="38" t="n"/>
      <c r="C36" s="39"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1" t="n"/>
      <c r="Y36" s="40" t="n"/>
      <c r="Z36" s="40" t="n"/>
      <c r="AA36" s="42">
        <f>IF(OR(D36="",D36=0),"",E36/D36)</f>
        <v/>
      </c>
      <c r="AB36" s="42">
        <f>IF(OR(F36="",F36=0),"",G36/F36)</f>
        <v/>
      </c>
      <c r="AC36" s="43">
        <f>IF(OR(L36="",L36=0),"",K36/L36)</f>
        <v/>
      </c>
      <c r="AD36" s="43">
        <f>IF(OR(T36="",T36=0),"",S36/T36)</f>
        <v/>
      </c>
    </row>
    <row r="37">
      <c r="A37" s="37" t="n"/>
      <c r="B37" s="38" t="n"/>
      <c r="C37" s="39"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1" t="n"/>
      <c r="Y37" s="40" t="n"/>
      <c r="Z37" s="40" t="n"/>
      <c r="AA37" s="42">
        <f>IF(OR(D37="",D37=0),"",E37/D37)</f>
        <v/>
      </c>
      <c r="AB37" s="42">
        <f>IF(OR(F37="",F37=0),"",G37/F37)</f>
        <v/>
      </c>
      <c r="AC37" s="43">
        <f>IF(OR(L37="",L37=0),"",K37/L37)</f>
        <v/>
      </c>
      <c r="AD37" s="43">
        <f>IF(OR(T37="",T37=0),"",S37/T37)</f>
        <v/>
      </c>
    </row>
    <row r="38">
      <c r="A38" s="37" t="n"/>
      <c r="B38" s="38" t="n"/>
      <c r="C38" s="39"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1" t="n"/>
      <c r="Y38" s="40" t="n"/>
      <c r="Z38" s="40" t="n"/>
      <c r="AA38" s="42">
        <f>IF(OR(D38="",D38=0),"",E38/D38)</f>
        <v/>
      </c>
      <c r="AB38" s="42">
        <f>IF(OR(F38="",F38=0),"",G38/F38)</f>
        <v/>
      </c>
      <c r="AC38" s="43">
        <f>IF(OR(L38="",L38=0),"",K38/L38)</f>
        <v/>
      </c>
      <c r="AD38" s="43">
        <f>IF(OR(T38="",T38=0),"",S38/T38)</f>
        <v/>
      </c>
    </row>
    <row r="39">
      <c r="A39" s="37" t="n"/>
      <c r="B39" s="38" t="n"/>
      <c r="C39" s="39"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1" t="n"/>
      <c r="Y39" s="40" t="n"/>
      <c r="Z39" s="40" t="n"/>
      <c r="AA39" s="42">
        <f>IF(OR(D39="",D39=0),"",E39/D39)</f>
        <v/>
      </c>
      <c r="AB39" s="42">
        <f>IF(OR(F39="",F39=0),"",G39/F39)</f>
        <v/>
      </c>
      <c r="AC39" s="43">
        <f>IF(OR(L39="",L39=0),"",K39/L39)</f>
        <v/>
      </c>
      <c r="AD39" s="43">
        <f>IF(OR(T39="",T39=0),"",S39/T39)</f>
        <v/>
      </c>
    </row>
    <row r="40">
      <c r="A40" s="37" t="n"/>
      <c r="B40" s="38" t="n"/>
      <c r="C40" s="39"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1" t="n"/>
      <c r="Y40" s="40" t="n"/>
      <c r="Z40" s="40" t="n"/>
      <c r="AA40" s="42">
        <f>IF(OR(D40="",D40=0),"",E40/D40)</f>
        <v/>
      </c>
      <c r="AB40" s="42">
        <f>IF(OR(F40="",F40=0),"",G40/F40)</f>
        <v/>
      </c>
      <c r="AC40" s="43">
        <f>IF(OR(L40="",L40=0),"",K40/L40)</f>
        <v/>
      </c>
      <c r="AD40" s="43">
        <f>IF(OR(T40="",T40=0),"",S40/T40)</f>
        <v/>
      </c>
    </row>
    <row r="41">
      <c r="A41" s="37" t="n"/>
      <c r="B41" s="38" t="n"/>
      <c r="C41" s="39"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1" t="n"/>
      <c r="Y41" s="40" t="n"/>
      <c r="Z41" s="40" t="n"/>
      <c r="AA41" s="42">
        <f>IF(OR(D41="",D41=0),"",E41/D41)</f>
        <v/>
      </c>
      <c r="AB41" s="42">
        <f>IF(OR(F41="",F41=0),"",G41/F41)</f>
        <v/>
      </c>
      <c r="AC41" s="43">
        <f>IF(OR(L41="",L41=0),"",K41/L41)</f>
        <v/>
      </c>
      <c r="AD41" s="43">
        <f>IF(OR(T41="",T41=0),"",S41/T41)</f>
        <v/>
      </c>
    </row>
    <row r="42">
      <c r="A42" s="37" t="n"/>
      <c r="B42" s="38" t="n"/>
      <c r="C42" s="39"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1" t="n"/>
      <c r="Y42" s="40" t="n"/>
      <c r="Z42" s="40" t="n"/>
      <c r="AA42" s="42">
        <f>IF(OR(D42="",D42=0),"",E42/D42)</f>
        <v/>
      </c>
      <c r="AB42" s="42">
        <f>IF(OR(F42="",F42=0),"",G42/F42)</f>
        <v/>
      </c>
      <c r="AC42" s="43">
        <f>IF(OR(L42="",L42=0),"",K42/L42)</f>
        <v/>
      </c>
      <c r="AD42" s="43">
        <f>IF(OR(T42="",T42=0),"",S42/T42)</f>
        <v/>
      </c>
    </row>
    <row r="43">
      <c r="A43" s="37" t="n"/>
      <c r="B43" s="38" t="n"/>
      <c r="C43" s="39"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1" t="n"/>
      <c r="Y43" s="40" t="n"/>
      <c r="Z43" s="40" t="n"/>
      <c r="AA43" s="42">
        <f>IF(OR(D43="",D43=0),"",E43/D43)</f>
        <v/>
      </c>
      <c r="AB43" s="42">
        <f>IF(OR(F43="",F43=0),"",G43/F43)</f>
        <v/>
      </c>
      <c r="AC43" s="43">
        <f>IF(OR(L43="",L43=0),"",K43/L43)</f>
        <v/>
      </c>
      <c r="AD43" s="43">
        <f>IF(OR(T43="",T43=0),"",S43/T43)</f>
        <v/>
      </c>
    </row>
    <row r="44">
      <c r="A44" s="37" t="n"/>
      <c r="B44" s="38" t="n"/>
      <c r="C44" s="39"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1" t="n"/>
      <c r="Y44" s="40" t="n"/>
      <c r="Z44" s="40" t="n"/>
      <c r="AA44" s="42">
        <f>IF(OR(D44="",D44=0),"",E44/D44)</f>
        <v/>
      </c>
      <c r="AB44" s="42">
        <f>IF(OR(F44="",F44=0),"",G44/F44)</f>
        <v/>
      </c>
      <c r="AC44" s="43">
        <f>IF(OR(L44="",L44=0),"",K44/L44)</f>
        <v/>
      </c>
      <c r="AD44" s="43">
        <f>IF(OR(T44="",T44=0),"",S44/T44)</f>
        <v/>
      </c>
    </row>
    <row r="45">
      <c r="A45" s="37" t="n"/>
      <c r="B45" s="38" t="n"/>
      <c r="C45" s="39"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1" t="n"/>
      <c r="Y45" s="40" t="n"/>
      <c r="Z45" s="40" t="n"/>
      <c r="AA45" s="42">
        <f>IF(OR(D45="",D45=0),"",E45/D45)</f>
        <v/>
      </c>
      <c r="AB45" s="42">
        <f>IF(OR(F45="",F45=0),"",G45/F45)</f>
        <v/>
      </c>
      <c r="AC45" s="43">
        <f>IF(OR(L45="",L45=0),"",K45/L45)</f>
        <v/>
      </c>
      <c r="AD45" s="43">
        <f>IF(OR(T45="",T45=0),"",S45/T45)</f>
        <v/>
      </c>
    </row>
    <row r="46">
      <c r="A46" s="37" t="n"/>
      <c r="B46" s="38" t="n"/>
      <c r="C46" s="39"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1" t="n"/>
      <c r="Y46" s="40" t="n"/>
      <c r="Z46" s="40" t="n"/>
      <c r="AA46" s="42">
        <f>IF(OR(D46="",D46=0),"",E46/D46)</f>
        <v/>
      </c>
      <c r="AB46" s="42">
        <f>IF(OR(F46="",F46=0),"",G46/F46)</f>
        <v/>
      </c>
      <c r="AC46" s="43">
        <f>IF(OR(L46="",L46=0),"",K46/L46)</f>
        <v/>
      </c>
      <c r="AD46" s="43">
        <f>IF(OR(T46="",T46=0),"",S46/T46)</f>
        <v/>
      </c>
    </row>
    <row r="47">
      <c r="A47" s="37" t="n"/>
      <c r="B47" s="38" t="n"/>
      <c r="C47" s="39"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1" t="n"/>
      <c r="Y47" s="40" t="n"/>
      <c r="Z47" s="40" t="n"/>
      <c r="AA47" s="42">
        <f>IF(OR(D47="",D47=0),"",E47/D47)</f>
        <v/>
      </c>
      <c r="AB47" s="42">
        <f>IF(OR(F47="",F47=0),"",G47/F47)</f>
        <v/>
      </c>
      <c r="AC47" s="43">
        <f>IF(OR(L47="",L47=0),"",K47/L47)</f>
        <v/>
      </c>
      <c r="AD47" s="43">
        <f>IF(OR(T47="",T47=0),"",S47/T47)</f>
        <v/>
      </c>
    </row>
    <row r="48">
      <c r="A48" s="37" t="n"/>
      <c r="B48" s="38" t="n"/>
      <c r="C48" s="39"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1" t="n"/>
      <c r="Y48" s="40" t="n"/>
      <c r="Z48" s="40" t="n"/>
      <c r="AA48" s="42">
        <f>IF(OR(D48="",D48=0),"",E48/D48)</f>
        <v/>
      </c>
      <c r="AB48" s="42">
        <f>IF(OR(F48="",F48=0),"",G48/F48)</f>
        <v/>
      </c>
      <c r="AC48" s="43">
        <f>IF(OR(L48="",L48=0),"",K48/L48)</f>
        <v/>
      </c>
      <c r="AD48" s="43">
        <f>IF(OR(T48="",T48=0),"",S48/T48)</f>
        <v/>
      </c>
    </row>
    <row r="49">
      <c r="A49" s="37" t="n"/>
      <c r="B49" s="38" t="n"/>
      <c r="C49" s="39"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1" t="n"/>
      <c r="Y49" s="40" t="n"/>
      <c r="Z49" s="40" t="n"/>
      <c r="AA49" s="42">
        <f>IF(OR(D49="",D49=0),"",E49/D49)</f>
        <v/>
      </c>
      <c r="AB49" s="42">
        <f>IF(OR(F49="",F49=0),"",G49/F49)</f>
        <v/>
      </c>
      <c r="AC49" s="43">
        <f>IF(OR(L49="",L49=0),"",K49/L49)</f>
        <v/>
      </c>
      <c r="AD49" s="43">
        <f>IF(OR(T49="",T49=0),"",S49/T49)</f>
        <v/>
      </c>
    </row>
    <row r="50">
      <c r="A50" s="37" t="n"/>
      <c r="B50" s="38" t="n"/>
      <c r="C50" s="39"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1" t="n"/>
      <c r="Y50" s="40" t="n"/>
      <c r="Z50" s="40" t="n"/>
      <c r="AA50" s="42">
        <f>IF(OR(D50="",D50=0),"",E50/D50)</f>
        <v/>
      </c>
      <c r="AB50" s="42">
        <f>IF(OR(F50="",F50=0),"",G50/F50)</f>
        <v/>
      </c>
      <c r="AC50" s="43">
        <f>IF(OR(L50="",L50=0),"",K50/L50)</f>
        <v/>
      </c>
      <c r="AD50" s="43">
        <f>IF(OR(T50="",T50=0),"",S50/T50)</f>
        <v/>
      </c>
    </row>
    <row r="51">
      <c r="A51" s="37" t="n"/>
      <c r="B51" s="38" t="n"/>
      <c r="C51" s="39"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1" t="n"/>
      <c r="Y51" s="40" t="n"/>
      <c r="Z51" s="40" t="n"/>
      <c r="AA51" s="42">
        <f>IF(OR(D51="",D51=0),"",E51/D51)</f>
        <v/>
      </c>
      <c r="AB51" s="42">
        <f>IF(OR(F51="",F51=0),"",G51/F51)</f>
        <v/>
      </c>
      <c r="AC51" s="43">
        <f>IF(OR(L51="",L51=0),"",K51/L51)</f>
        <v/>
      </c>
      <c r="AD51" s="43">
        <f>IF(OR(T51="",T51=0),"",S51/T51)</f>
        <v/>
      </c>
    </row>
    <row r="52">
      <c r="A52" s="37" t="n"/>
      <c r="B52" s="38" t="n"/>
      <c r="C52" s="39"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1" t="n"/>
      <c r="Y52" s="40" t="n"/>
      <c r="Z52" s="40" t="n"/>
      <c r="AA52" s="42">
        <f>IF(OR(D52="",D52=0),"",E52/D52)</f>
        <v/>
      </c>
      <c r="AB52" s="42">
        <f>IF(OR(F52="",F52=0),"",G52/F52)</f>
        <v/>
      </c>
      <c r="AC52" s="43">
        <f>IF(OR(L52="",L52=0),"",K52/L52)</f>
        <v/>
      </c>
      <c r="AD52" s="43">
        <f>IF(OR(T52="",T52=0),"",S52/T52)</f>
        <v/>
      </c>
    </row>
    <row r="53">
      <c r="A53" s="37" t="n"/>
      <c r="B53" s="38" t="n"/>
      <c r="C53" s="39"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1" t="n"/>
      <c r="Y53" s="40" t="n"/>
      <c r="Z53" s="40" t="n"/>
      <c r="AA53" s="42">
        <f>IF(OR(D53="",D53=0),"",E53/D53)</f>
        <v/>
      </c>
      <c r="AB53" s="42">
        <f>IF(OR(F53="",F53=0),"",G53/F53)</f>
        <v/>
      </c>
      <c r="AC53" s="43">
        <f>IF(OR(L53="",L53=0),"",K53/L53)</f>
        <v/>
      </c>
      <c r="AD53" s="43">
        <f>IF(OR(T53="",T53=0),"",S53/T53)</f>
        <v/>
      </c>
    </row>
    <row r="54">
      <c r="A54" s="37" t="n"/>
      <c r="B54" s="38" t="n"/>
      <c r="C54" s="39"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1" t="n"/>
      <c r="Y54" s="40" t="n"/>
      <c r="Z54" s="40" t="n"/>
      <c r="AA54" s="42">
        <f>IF(OR(D54="",D54=0),"",E54/D54)</f>
        <v/>
      </c>
      <c r="AB54" s="42">
        <f>IF(OR(F54="",F54=0),"",G54/F54)</f>
        <v/>
      </c>
      <c r="AC54" s="43">
        <f>IF(OR(L54="",L54=0),"",K54/L54)</f>
        <v/>
      </c>
      <c r="AD54" s="43">
        <f>IF(OR(T54="",T54=0),"",S54/T54)</f>
        <v/>
      </c>
    </row>
    <row r="55">
      <c r="A55" s="37" t="n"/>
      <c r="B55" s="38" t="n"/>
      <c r="C55" s="39"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1" t="n"/>
      <c r="Y55" s="40" t="n"/>
      <c r="Z55" s="40" t="n"/>
      <c r="AA55" s="42">
        <f>IF(OR(D55="",D55=0),"",E55/D55)</f>
        <v/>
      </c>
      <c r="AB55" s="42">
        <f>IF(OR(F55="",F55=0),"",G55/F55)</f>
        <v/>
      </c>
      <c r="AC55" s="43">
        <f>IF(OR(L55="",L55=0),"",K55/L55)</f>
        <v/>
      </c>
      <c r="AD55" s="43">
        <f>IF(OR(T55="",T55=0),"",S55/T55)</f>
        <v/>
      </c>
    </row>
    <row r="56">
      <c r="A56" s="37" t="n"/>
      <c r="B56" s="38" t="n"/>
      <c r="C56" s="39"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1" t="n"/>
      <c r="Y56" s="40" t="n"/>
      <c r="Z56" s="40" t="n"/>
      <c r="AA56" s="42">
        <f>IF(OR(D56="",D56=0),"",E56/D56)</f>
        <v/>
      </c>
      <c r="AB56" s="42">
        <f>IF(OR(F56="",F56=0),"",G56/F56)</f>
        <v/>
      </c>
      <c r="AC56" s="43">
        <f>IF(OR(L56="",L56=0),"",K56/L56)</f>
        <v/>
      </c>
      <c r="AD56" s="43">
        <f>IF(OR(T56="",T56=0),"",S56/T56)</f>
        <v/>
      </c>
    </row>
    <row r="57">
      <c r="A57" s="37" t="n"/>
      <c r="B57" s="38" t="n"/>
      <c r="C57" s="39"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1" t="n"/>
      <c r="Y57" s="40" t="n"/>
      <c r="Z57" s="40" t="n"/>
      <c r="AA57" s="42">
        <f>IF(OR(D57="",D57=0),"",E57/D57)</f>
        <v/>
      </c>
      <c r="AB57" s="42">
        <f>IF(OR(F57="",F57=0),"",G57/F57)</f>
        <v/>
      </c>
      <c r="AC57" s="43">
        <f>IF(OR(L57="",L57=0),"",K57/L57)</f>
        <v/>
      </c>
      <c r="AD57" s="43">
        <f>IF(OR(T57="",T57=0),"",S57/T57)</f>
        <v/>
      </c>
    </row>
    <row r="58">
      <c r="A58" s="37" t="n"/>
      <c r="B58" s="38" t="n"/>
      <c r="C58" s="39"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1" t="n"/>
      <c r="Y58" s="40" t="n"/>
      <c r="Z58" s="40" t="n"/>
      <c r="AA58" s="42">
        <f>IF(OR(D58="",D58=0),"",E58/D58)</f>
        <v/>
      </c>
      <c r="AB58" s="42">
        <f>IF(OR(F58="",F58=0),"",G58/F58)</f>
        <v/>
      </c>
      <c r="AC58" s="43">
        <f>IF(OR(L58="",L58=0),"",K58/L58)</f>
        <v/>
      </c>
      <c r="AD58" s="43">
        <f>IF(OR(T58="",T58=0),"",S58/T58)</f>
        <v/>
      </c>
    </row>
    <row r="59">
      <c r="A59" s="37" t="n"/>
      <c r="B59" s="38" t="n"/>
      <c r="C59" s="39"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1" t="n"/>
      <c r="Y59" s="40" t="n"/>
      <c r="Z59" s="40" t="n"/>
      <c r="AA59" s="42">
        <f>IF(OR(D59="",D59=0),"",E59/D59)</f>
        <v/>
      </c>
      <c r="AB59" s="42">
        <f>IF(OR(F59="",F59=0),"",G59/F59)</f>
        <v/>
      </c>
      <c r="AC59" s="43">
        <f>IF(OR(L59="",L59=0),"",K59/L59)</f>
        <v/>
      </c>
      <c r="AD59" s="43">
        <f>IF(OR(T59="",T59=0),"",S59/T59)</f>
        <v/>
      </c>
    </row>
    <row r="60">
      <c r="A60" s="37" t="n"/>
      <c r="B60" s="38" t="n"/>
      <c r="C60" s="39"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1" t="n"/>
      <c r="Y60" s="40" t="n"/>
      <c r="Z60" s="40" t="n"/>
      <c r="AA60" s="42">
        <f>IF(OR(D60="",D60=0),"",E60/D60)</f>
        <v/>
      </c>
      <c r="AB60" s="42">
        <f>IF(OR(F60="",F60=0),"",G60/F60)</f>
        <v/>
      </c>
      <c r="AC60" s="43">
        <f>IF(OR(L60="",L60=0),"",K60/L60)</f>
        <v/>
      </c>
      <c r="AD60" s="43">
        <f>IF(OR(T60="",T60=0),"",S60/T60)</f>
        <v/>
      </c>
    </row>
    <row r="61">
      <c r="A61" s="37" t="n"/>
      <c r="B61" s="38" t="n"/>
      <c r="C61" s="39"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1" t="n"/>
      <c r="Y61" s="40" t="n"/>
      <c r="Z61" s="40" t="n"/>
      <c r="AA61" s="42">
        <f>IF(OR(D61="",D61=0),"",E61/D61)</f>
        <v/>
      </c>
      <c r="AB61" s="42">
        <f>IF(OR(F61="",F61=0),"",G61/F61)</f>
        <v/>
      </c>
      <c r="AC61" s="43">
        <f>IF(OR(L61="",L61=0),"",K61/L61)</f>
        <v/>
      </c>
      <c r="AD61" s="43">
        <f>IF(OR(T61="",T61=0),"",S61/T61)</f>
        <v/>
      </c>
    </row>
    <row r="62">
      <c r="A62" s="37" t="n"/>
      <c r="B62" s="38" t="n"/>
      <c r="C62" s="39"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1" t="n"/>
      <c r="Y62" s="40" t="n"/>
      <c r="Z62" s="40" t="n"/>
      <c r="AA62" s="42">
        <f>IF(OR(D62="",D62=0),"",E62/D62)</f>
        <v/>
      </c>
      <c r="AB62" s="42">
        <f>IF(OR(F62="",F62=0),"",G62/F62)</f>
        <v/>
      </c>
      <c r="AC62" s="43">
        <f>IF(OR(L62="",L62=0),"",K62/L62)</f>
        <v/>
      </c>
      <c r="AD62" s="43">
        <f>IF(OR(T62="",T62=0),"",S62/T62)</f>
        <v/>
      </c>
    </row>
    <row r="63">
      <c r="A63" s="37" t="n"/>
      <c r="B63" s="38" t="n"/>
      <c r="C63" s="39"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1" t="n"/>
      <c r="Y63" s="40" t="n"/>
      <c r="Z63" s="40" t="n"/>
      <c r="AA63" s="42">
        <f>IF(OR(D63="",D63=0),"",E63/D63)</f>
        <v/>
      </c>
      <c r="AB63" s="42">
        <f>IF(OR(F63="",F63=0),"",G63/F63)</f>
        <v/>
      </c>
      <c r="AC63" s="43">
        <f>IF(OR(L63="",L63=0),"",K63/L63)</f>
        <v/>
      </c>
      <c r="AD63" s="43">
        <f>IF(OR(T63="",T63=0),"",S63/T63)</f>
        <v/>
      </c>
    </row>
    <row r="64">
      <c r="A64" s="37" t="n"/>
      <c r="B64" s="38" t="n"/>
      <c r="C64" s="39"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1" t="n"/>
      <c r="Y64" s="40" t="n"/>
      <c r="Z64" s="40" t="n"/>
      <c r="AA64" s="42">
        <f>IF(OR(D64="",D64=0),"",E64/D64)</f>
        <v/>
      </c>
      <c r="AB64" s="42">
        <f>IF(OR(F64="",F64=0),"",G64/F64)</f>
        <v/>
      </c>
      <c r="AC64" s="43">
        <f>IF(OR(L64="",L64=0),"",K64/L64)</f>
        <v/>
      </c>
      <c r="AD64" s="43">
        <f>IF(OR(T64="",T64=0),"",S64/T64)</f>
        <v/>
      </c>
    </row>
    <row r="65">
      <c r="A65" s="37" t="n"/>
      <c r="B65" s="38" t="n"/>
      <c r="C65" s="39"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1" t="n"/>
      <c r="Y65" s="40" t="n"/>
      <c r="Z65" s="40" t="n"/>
      <c r="AA65" s="42">
        <f>IF(OR(D65="",D65=0),"",E65/D65)</f>
        <v/>
      </c>
      <c r="AB65" s="42">
        <f>IF(OR(F65="",F65=0),"",G65/F65)</f>
        <v/>
      </c>
      <c r="AC65" s="43">
        <f>IF(OR(L65="",L65=0),"",K65/L65)</f>
        <v/>
      </c>
      <c r="AD65" s="43">
        <f>IF(OR(T65="",T65=0),"",S65/T65)</f>
        <v/>
      </c>
    </row>
    <row r="66">
      <c r="A66" s="37" t="n"/>
      <c r="B66" s="38" t="n"/>
      <c r="C66" s="39"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1" t="n"/>
      <c r="Y66" s="40" t="n"/>
      <c r="Z66" s="40" t="n"/>
      <c r="AA66" s="42">
        <f>IF(OR(D66="",D66=0),"",E66/D66)</f>
        <v/>
      </c>
      <c r="AB66" s="42">
        <f>IF(OR(F66="",F66=0),"",G66/F66)</f>
        <v/>
      </c>
      <c r="AC66" s="43">
        <f>IF(OR(L66="",L66=0),"",K66/L66)</f>
        <v/>
      </c>
      <c r="AD66" s="43">
        <f>IF(OR(T66="",T66=0),"",S66/T66)</f>
        <v/>
      </c>
    </row>
    <row r="67">
      <c r="A67" s="37" t="n"/>
      <c r="B67" s="38" t="n"/>
      <c r="C67" s="39"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1" t="n"/>
      <c r="Y67" s="40" t="n"/>
      <c r="Z67" s="40" t="n"/>
      <c r="AA67" s="42">
        <f>IF(OR(D67="",D67=0),"",E67/D67)</f>
        <v/>
      </c>
      <c r="AB67" s="42">
        <f>IF(OR(F67="",F67=0),"",G67/F67)</f>
        <v/>
      </c>
      <c r="AC67" s="43">
        <f>IF(OR(L67="",L67=0),"",K67/L67)</f>
        <v/>
      </c>
      <c r="AD67" s="43">
        <f>IF(OR(T67="",T67=0),"",S67/T67)</f>
        <v/>
      </c>
    </row>
    <row r="68">
      <c r="A68" s="37" t="n"/>
      <c r="B68" s="38" t="n"/>
      <c r="C68" s="39"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1" t="n"/>
      <c r="Y68" s="40" t="n"/>
      <c r="Z68" s="40" t="n"/>
      <c r="AA68" s="42">
        <f>IF(OR(D68="",D68=0),"",E68/D68)</f>
        <v/>
      </c>
      <c r="AB68" s="42">
        <f>IF(OR(F68="",F68=0),"",G68/F68)</f>
        <v/>
      </c>
      <c r="AC68" s="43">
        <f>IF(OR(L68="",L68=0),"",K68/L68)</f>
        <v/>
      </c>
      <c r="AD68" s="43">
        <f>IF(OR(T68="",T68=0),"",S68/T68)</f>
        <v/>
      </c>
    </row>
    <row r="69">
      <c r="A69" s="37" t="n"/>
      <c r="B69" s="38" t="n"/>
      <c r="C69" s="39"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1" t="n"/>
      <c r="Y69" s="40" t="n"/>
      <c r="Z69" s="40" t="n"/>
      <c r="AA69" s="42">
        <f>IF(OR(D69="",D69=0),"",E69/D69)</f>
        <v/>
      </c>
      <c r="AB69" s="42">
        <f>IF(OR(F69="",F69=0),"",G69/F69)</f>
        <v/>
      </c>
      <c r="AC69" s="43">
        <f>IF(OR(L69="",L69=0),"",K69/L69)</f>
        <v/>
      </c>
      <c r="AD69" s="43">
        <f>IF(OR(T69="",T69=0),"",S69/T69)</f>
        <v/>
      </c>
    </row>
    <row r="70">
      <c r="A70" s="37" t="n"/>
      <c r="B70" s="38" t="n"/>
      <c r="C70" s="39"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1" t="n"/>
      <c r="Y70" s="40" t="n"/>
      <c r="Z70" s="40" t="n"/>
      <c r="AA70" s="42">
        <f>IF(OR(D70="",D70=0),"",E70/D70)</f>
        <v/>
      </c>
      <c r="AB70" s="42">
        <f>IF(OR(F70="",F70=0),"",G70/F70)</f>
        <v/>
      </c>
      <c r="AC70" s="43">
        <f>IF(OR(L70="",L70=0),"",K70/L70)</f>
        <v/>
      </c>
      <c r="AD70" s="43">
        <f>IF(OR(T70="",T70=0),"",S70/T70)</f>
        <v/>
      </c>
    </row>
    <row r="71">
      <c r="A71" s="37" t="n"/>
      <c r="B71" s="38" t="n"/>
      <c r="C71" s="39"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1" t="n"/>
      <c r="Y71" s="40" t="n"/>
      <c r="Z71" s="40" t="n"/>
      <c r="AA71" s="42">
        <f>IF(OR(D71="",D71=0),"",E71/D71)</f>
        <v/>
      </c>
      <c r="AB71" s="42">
        <f>IF(OR(F71="",F71=0),"",G71/F71)</f>
        <v/>
      </c>
      <c r="AC71" s="43">
        <f>IF(OR(L71="",L71=0),"",K71/L71)</f>
        <v/>
      </c>
      <c r="AD71" s="43">
        <f>IF(OR(T71="",T71=0),"",S71/T71)</f>
        <v/>
      </c>
    </row>
    <row r="72">
      <c r="A72" s="37" t="n"/>
      <c r="B72" s="38" t="n"/>
      <c r="C72" s="39"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1" t="n"/>
      <c r="Y72" s="40" t="n"/>
      <c r="Z72" s="40" t="n"/>
      <c r="AA72" s="42">
        <f>IF(OR(D72="",D72=0),"",E72/D72)</f>
        <v/>
      </c>
      <c r="AB72" s="42">
        <f>IF(OR(F72="",F72=0),"",G72/F72)</f>
        <v/>
      </c>
      <c r="AC72" s="43">
        <f>IF(OR(L72="",L72=0),"",K72/L72)</f>
        <v/>
      </c>
      <c r="AD72" s="43">
        <f>IF(OR(T72="",T72=0),"",S72/T72)</f>
        <v/>
      </c>
    </row>
    <row r="73">
      <c r="A73" s="37" t="n"/>
      <c r="B73" s="38" t="n"/>
      <c r="C73" s="39"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1" t="n"/>
      <c r="Y73" s="40" t="n"/>
      <c r="Z73" s="40" t="n"/>
      <c r="AA73" s="42">
        <f>IF(OR(D73="",D73=0),"",E73/D73)</f>
        <v/>
      </c>
      <c r="AB73" s="42">
        <f>IF(OR(F73="",F73=0),"",G73/F73)</f>
        <v/>
      </c>
      <c r="AC73" s="43">
        <f>IF(OR(L73="",L73=0),"",K73/L73)</f>
        <v/>
      </c>
      <c r="AD73" s="43">
        <f>IF(OR(T73="",T73=0),"",S73/T73)</f>
        <v/>
      </c>
    </row>
    <row r="74">
      <c r="A74" s="37" t="n"/>
      <c r="B74" s="38" t="n"/>
      <c r="C74" s="39"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1" t="n"/>
      <c r="Y74" s="40" t="n"/>
      <c r="Z74" s="40" t="n"/>
      <c r="AA74" s="42">
        <f>IF(OR(D74="",D74=0),"",E74/D74)</f>
        <v/>
      </c>
      <c r="AB74" s="42">
        <f>IF(OR(F74="",F74=0),"",G74/F74)</f>
        <v/>
      </c>
      <c r="AC74" s="43">
        <f>IF(OR(L74="",L74=0),"",K74/L74)</f>
        <v/>
      </c>
      <c r="AD74" s="43">
        <f>IF(OR(T74="",T74=0),"",S74/T74)</f>
        <v/>
      </c>
    </row>
    <row r="75">
      <c r="A75" s="37" t="n"/>
      <c r="B75" s="38" t="n"/>
      <c r="C75" s="39"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1" t="n"/>
      <c r="Y75" s="40" t="n"/>
      <c r="Z75" s="40" t="n"/>
      <c r="AA75" s="42">
        <f>IF(OR(D75="",D75=0),"",E75/D75)</f>
        <v/>
      </c>
      <c r="AB75" s="42">
        <f>IF(OR(F75="",F75=0),"",G75/F75)</f>
        <v/>
      </c>
      <c r="AC75" s="43">
        <f>IF(OR(L75="",L75=0),"",K75/L75)</f>
        <v/>
      </c>
      <c r="AD75" s="43">
        <f>IF(OR(T75="",T75=0),"",S75/T75)</f>
        <v/>
      </c>
    </row>
    <row r="76">
      <c r="A76" s="37" t="n"/>
      <c r="B76" s="38" t="n"/>
      <c r="C76" s="39"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1" t="n"/>
      <c r="Y76" s="40" t="n"/>
      <c r="Z76" s="40" t="n"/>
      <c r="AA76" s="42">
        <f>IF(OR(D76="",D76=0),"",E76/D76)</f>
        <v/>
      </c>
      <c r="AB76" s="42">
        <f>IF(OR(F76="",F76=0),"",G76/F76)</f>
        <v/>
      </c>
      <c r="AC76" s="43">
        <f>IF(OR(L76="",L76=0),"",K76/L76)</f>
        <v/>
      </c>
      <c r="AD76" s="43">
        <f>IF(OR(T76="",T76=0),"",S76/T76)</f>
        <v/>
      </c>
    </row>
    <row r="77">
      <c r="A77" s="37" t="n"/>
      <c r="B77" s="38" t="n"/>
      <c r="C77" s="39"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1" t="n"/>
      <c r="Y77" s="40" t="n"/>
      <c r="Z77" s="40" t="n"/>
      <c r="AA77" s="42">
        <f>IF(OR(D77="",D77=0),"",E77/D77)</f>
        <v/>
      </c>
      <c r="AB77" s="42">
        <f>IF(OR(F77="",F77=0),"",G77/F77)</f>
        <v/>
      </c>
      <c r="AC77" s="43">
        <f>IF(OR(L77="",L77=0),"",K77/L77)</f>
        <v/>
      </c>
      <c r="AD77" s="43">
        <f>IF(OR(T77="",T77=0),"",S77/T77)</f>
        <v/>
      </c>
    </row>
    <row r="78">
      <c r="A78" s="37" t="n"/>
      <c r="B78" s="38" t="n"/>
      <c r="C78" s="39"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1" t="n"/>
      <c r="Y78" s="40" t="n"/>
      <c r="Z78" s="40" t="n"/>
      <c r="AA78" s="42">
        <f>IF(OR(D78="",D78=0),"",E78/D78)</f>
        <v/>
      </c>
      <c r="AB78" s="42">
        <f>IF(OR(F78="",F78=0),"",G78/F78)</f>
        <v/>
      </c>
      <c r="AC78" s="43">
        <f>IF(OR(L78="",L78=0),"",K78/L78)</f>
        <v/>
      </c>
      <c r="AD78" s="43">
        <f>IF(OR(T78="",T78=0),"",S78/T78)</f>
        <v/>
      </c>
    </row>
    <row r="79">
      <c r="A79" s="37" t="n"/>
      <c r="B79" s="38" t="n"/>
      <c r="C79" s="39"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1" t="n"/>
      <c r="Y79" s="40" t="n"/>
      <c r="Z79" s="40" t="n"/>
      <c r="AA79" s="42">
        <f>IF(OR(D79="",D79=0),"",E79/D79)</f>
        <v/>
      </c>
      <c r="AB79" s="42">
        <f>IF(OR(F79="",F79=0),"",G79/F79)</f>
        <v/>
      </c>
      <c r="AC79" s="43">
        <f>IF(OR(L79="",L79=0),"",K79/L79)</f>
        <v/>
      </c>
      <c r="AD79" s="43">
        <f>IF(OR(T79="",T79=0),"",S79/T79)</f>
        <v/>
      </c>
    </row>
    <row r="80">
      <c r="A80" s="37" t="n"/>
      <c r="B80" s="38" t="n"/>
      <c r="C80" s="39"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1" t="n"/>
      <c r="Y80" s="40" t="n"/>
      <c r="Z80" s="40" t="n"/>
      <c r="AA80" s="42">
        <f>IF(OR(D80="",D80=0),"",E80/D80)</f>
        <v/>
      </c>
      <c r="AB80" s="42">
        <f>IF(OR(F80="",F80=0),"",G80/F80)</f>
        <v/>
      </c>
      <c r="AC80" s="43">
        <f>IF(OR(L80="",L80=0),"",K80/L80)</f>
        <v/>
      </c>
      <c r="AD80" s="43">
        <f>IF(OR(T80="",T80=0),"",S80/T80)</f>
        <v/>
      </c>
    </row>
    <row r="81">
      <c r="A81" s="37" t="n"/>
      <c r="B81" s="38" t="n"/>
      <c r="C81" s="39"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1" t="n"/>
      <c r="Y81" s="40" t="n"/>
      <c r="Z81" s="40" t="n"/>
      <c r="AA81" s="42">
        <f>IF(OR(D81="",D81=0),"",E81/D81)</f>
        <v/>
      </c>
      <c r="AB81" s="42">
        <f>IF(OR(F81="",F81=0),"",G81/F81)</f>
        <v/>
      </c>
      <c r="AC81" s="43">
        <f>IF(OR(L81="",L81=0),"",K81/L81)</f>
        <v/>
      </c>
      <c r="AD81" s="43">
        <f>IF(OR(T81="",T81=0),"",S81/T81)</f>
        <v/>
      </c>
    </row>
    <row r="82">
      <c r="A82" s="37" t="n"/>
      <c r="B82" s="38" t="n"/>
      <c r="C82" s="39"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1" t="n"/>
      <c r="Y82" s="40" t="n"/>
      <c r="Z82" s="40" t="n"/>
      <c r="AA82" s="42">
        <f>IF(OR(D82="",D82=0),"",E82/D82)</f>
        <v/>
      </c>
      <c r="AB82" s="42">
        <f>IF(OR(F82="",F82=0),"",G82/F82)</f>
        <v/>
      </c>
      <c r="AC82" s="43">
        <f>IF(OR(L82="",L82=0),"",K82/L82)</f>
        <v/>
      </c>
      <c r="AD82" s="43">
        <f>IF(OR(T82="",T82=0),"",S82/T82)</f>
        <v/>
      </c>
    </row>
    <row r="83">
      <c r="A83" s="37" t="n"/>
      <c r="B83" s="38" t="n"/>
      <c r="C83" s="39"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1" t="n"/>
      <c r="Y83" s="40" t="n"/>
      <c r="Z83" s="40" t="n"/>
      <c r="AA83" s="42">
        <f>IF(OR(D83="",D83=0),"",E83/D83)</f>
        <v/>
      </c>
      <c r="AB83" s="42">
        <f>IF(OR(F83="",F83=0),"",G83/F83)</f>
        <v/>
      </c>
      <c r="AC83" s="43">
        <f>IF(OR(L83="",L83=0),"",K83/L83)</f>
        <v/>
      </c>
      <c r="AD83" s="43">
        <f>IF(OR(T83="",T83=0),"",S83/T83)</f>
        <v/>
      </c>
    </row>
    <row r="84">
      <c r="A84" s="37" t="n"/>
      <c r="B84" s="38" t="n"/>
      <c r="C84" s="39"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1" t="n"/>
      <c r="Y84" s="40" t="n"/>
      <c r="Z84" s="40" t="n"/>
      <c r="AA84" s="42">
        <f>IF(OR(D84="",D84=0),"",E84/D84)</f>
        <v/>
      </c>
      <c r="AB84" s="42">
        <f>IF(OR(F84="",F84=0),"",G84/F84)</f>
        <v/>
      </c>
      <c r="AC84" s="43">
        <f>IF(OR(L84="",L84=0),"",K84/L84)</f>
        <v/>
      </c>
      <c r="AD84" s="43">
        <f>IF(OR(T84="",T84=0),"",S84/T84)</f>
        <v/>
      </c>
    </row>
    <row r="85">
      <c r="A85" s="37" t="n"/>
      <c r="B85" s="38" t="n"/>
      <c r="C85" s="39"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1" t="n"/>
      <c r="Y85" s="40" t="n"/>
      <c r="Z85" s="40" t="n"/>
      <c r="AA85" s="42">
        <f>IF(OR(D85="",D85=0),"",E85/D85)</f>
        <v/>
      </c>
      <c r="AB85" s="42">
        <f>IF(OR(F85="",F85=0),"",G85/F85)</f>
        <v/>
      </c>
      <c r="AC85" s="43">
        <f>IF(OR(L85="",L85=0),"",K85/L85)</f>
        <v/>
      </c>
      <c r="AD85" s="43">
        <f>IF(OR(T85="",T85=0),"",S85/T85)</f>
        <v/>
      </c>
    </row>
    <row r="86">
      <c r="A86" s="37" t="n"/>
      <c r="B86" s="38" t="n"/>
      <c r="C86" s="39"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1" t="n"/>
      <c r="Y86" s="40" t="n"/>
      <c r="Z86" s="40" t="n"/>
      <c r="AA86" s="42">
        <f>IF(OR(D86="",D86=0),"",E86/D86)</f>
        <v/>
      </c>
      <c r="AB86" s="42">
        <f>IF(OR(F86="",F86=0),"",G86/F86)</f>
        <v/>
      </c>
      <c r="AC86" s="43">
        <f>IF(OR(L86="",L86=0),"",K86/L86)</f>
        <v/>
      </c>
      <c r="AD86" s="43">
        <f>IF(OR(T86="",T86=0),"",S86/T86)</f>
        <v/>
      </c>
    </row>
    <row r="87">
      <c r="A87" s="37" t="n"/>
      <c r="B87" s="38" t="n"/>
      <c r="C87" s="39"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1" t="n"/>
      <c r="Y87" s="40" t="n"/>
      <c r="Z87" s="40" t="n"/>
      <c r="AA87" s="42">
        <f>IF(OR(D87="",D87=0),"",E87/D87)</f>
        <v/>
      </c>
      <c r="AB87" s="42">
        <f>IF(OR(F87="",F87=0),"",G87/F87)</f>
        <v/>
      </c>
      <c r="AC87" s="43">
        <f>IF(OR(L87="",L87=0),"",K87/L87)</f>
        <v/>
      </c>
      <c r="AD87" s="43">
        <f>IF(OR(T87="",T87=0),"",S87/T87)</f>
        <v/>
      </c>
    </row>
    <row r="88">
      <c r="A88" s="37" t="n"/>
      <c r="B88" s="38" t="n"/>
      <c r="C88" s="39"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1" t="n"/>
      <c r="Y88" s="40" t="n"/>
      <c r="Z88" s="40" t="n"/>
      <c r="AA88" s="42">
        <f>IF(OR(D88="",D88=0),"",E88/D88)</f>
        <v/>
      </c>
      <c r="AB88" s="42">
        <f>IF(OR(F88="",F88=0),"",G88/F88)</f>
        <v/>
      </c>
      <c r="AC88" s="43">
        <f>IF(OR(L88="",L88=0),"",K88/L88)</f>
        <v/>
      </c>
      <c r="AD88" s="43">
        <f>IF(OR(T88="",T88=0),"",S88/T88)</f>
        <v/>
      </c>
    </row>
    <row r="89">
      <c r="A89" s="37" t="n"/>
      <c r="B89" s="38" t="n"/>
      <c r="C89" s="39"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1" t="n"/>
      <c r="Y89" s="40" t="n"/>
      <c r="Z89" s="40" t="n"/>
      <c r="AA89" s="42">
        <f>IF(OR(D89="",D89=0),"",E89/D89)</f>
        <v/>
      </c>
      <c r="AB89" s="42">
        <f>IF(OR(F89="",F89=0),"",G89/F89)</f>
        <v/>
      </c>
      <c r="AC89" s="43">
        <f>IF(OR(L89="",L89=0),"",K89/L89)</f>
        <v/>
      </c>
      <c r="AD89" s="43">
        <f>IF(OR(T89="",T89=0),"",S89/T89)</f>
        <v/>
      </c>
    </row>
    <row r="90">
      <c r="A90" s="37" t="n"/>
      <c r="B90" s="38" t="n"/>
      <c r="C90" s="39"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1" t="n"/>
      <c r="Y90" s="40" t="n"/>
      <c r="Z90" s="40" t="n"/>
      <c r="AA90" s="42">
        <f>IF(OR(D90="",D90=0),"",E90/D90)</f>
        <v/>
      </c>
      <c r="AB90" s="42">
        <f>IF(OR(F90="",F90=0),"",G90/F90)</f>
        <v/>
      </c>
      <c r="AC90" s="43">
        <f>IF(OR(L90="",L90=0),"",K90/L90)</f>
        <v/>
      </c>
      <c r="AD90" s="43">
        <f>IF(OR(T90="",T90=0),"",S90/T90)</f>
        <v/>
      </c>
    </row>
    <row r="91">
      <c r="A91" s="37" t="n"/>
      <c r="B91" s="38" t="n"/>
      <c r="C91" s="39"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1" t="n"/>
      <c r="Y91" s="40" t="n"/>
      <c r="Z91" s="40" t="n"/>
      <c r="AA91" s="42">
        <f>IF(OR(D91="",D91=0),"",E91/D91)</f>
        <v/>
      </c>
      <c r="AB91" s="42">
        <f>IF(OR(F91="",F91=0),"",G91/F91)</f>
        <v/>
      </c>
      <c r="AC91" s="43">
        <f>IF(OR(L91="",L91=0),"",K91/L91)</f>
        <v/>
      </c>
      <c r="AD91" s="43">
        <f>IF(OR(T91="",T91=0),"",S91/T91)</f>
        <v/>
      </c>
    </row>
    <row r="92">
      <c r="A92" s="37" t="n"/>
      <c r="B92" s="38" t="n"/>
      <c r="C92" s="39"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1" t="n"/>
      <c r="Y92" s="40" t="n"/>
      <c r="Z92" s="40" t="n"/>
      <c r="AA92" s="42">
        <f>IF(OR(D92="",D92=0),"",E92/D92)</f>
        <v/>
      </c>
      <c r="AB92" s="42">
        <f>IF(OR(F92="",F92=0),"",G92/F92)</f>
        <v/>
      </c>
      <c r="AC92" s="43">
        <f>IF(OR(L92="",L92=0),"",K92/L92)</f>
        <v/>
      </c>
      <c r="AD92" s="43">
        <f>IF(OR(T92="",T92=0),"",S92/T92)</f>
        <v/>
      </c>
    </row>
    <row r="93">
      <c r="A93" s="37" t="n"/>
      <c r="B93" s="38" t="n"/>
      <c r="C93" s="39"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1" t="n"/>
      <c r="Y93" s="40" t="n"/>
      <c r="Z93" s="40" t="n"/>
      <c r="AA93" s="42">
        <f>IF(OR(D93="",D93=0),"",E93/D93)</f>
        <v/>
      </c>
      <c r="AB93" s="42">
        <f>IF(OR(F93="",F93=0),"",G93/F93)</f>
        <v/>
      </c>
      <c r="AC93" s="43">
        <f>IF(OR(L93="",L93=0),"",K93/L93)</f>
        <v/>
      </c>
      <c r="AD93" s="43">
        <f>IF(OR(T93="",T93=0),"",S93/T93)</f>
        <v/>
      </c>
    </row>
    <row r="94">
      <c r="A94" s="37" t="n"/>
      <c r="B94" s="38" t="n"/>
      <c r="C94" s="39"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1" t="n"/>
      <c r="Y94" s="40" t="n"/>
      <c r="Z94" s="40" t="n"/>
      <c r="AA94" s="42">
        <f>IF(OR(D94="",D94=0),"",E94/D94)</f>
        <v/>
      </c>
      <c r="AB94" s="42">
        <f>IF(OR(F94="",F94=0),"",G94/F94)</f>
        <v/>
      </c>
      <c r="AC94" s="43">
        <f>IF(OR(L94="",L94=0),"",K94/L94)</f>
        <v/>
      </c>
      <c r="AD94" s="43">
        <f>IF(OR(T94="",T94=0),"",S94/T94)</f>
        <v/>
      </c>
    </row>
    <row r="95">
      <c r="A95" s="37" t="n"/>
      <c r="B95" s="38" t="n"/>
      <c r="C95" s="39"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1" t="n"/>
      <c r="Y95" s="40" t="n"/>
      <c r="Z95" s="40" t="n"/>
      <c r="AA95" s="42">
        <f>IF(OR(D95="",D95=0),"",E95/D95)</f>
        <v/>
      </c>
      <c r="AB95" s="42">
        <f>IF(OR(F95="",F95=0),"",G95/F95)</f>
        <v/>
      </c>
      <c r="AC95" s="43">
        <f>IF(OR(L95="",L95=0),"",K95/L95)</f>
        <v/>
      </c>
      <c r="AD95" s="43">
        <f>IF(OR(T95="",T95=0),"",S95/T95)</f>
        <v/>
      </c>
    </row>
    <row r="96">
      <c r="A96" s="37" t="n"/>
      <c r="B96" s="38" t="n"/>
      <c r="C96" s="39"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1" t="n"/>
      <c r="Y96" s="40" t="n"/>
      <c r="Z96" s="40" t="n"/>
      <c r="AA96" s="42">
        <f>IF(OR(D96="",D96=0),"",E96/D96)</f>
        <v/>
      </c>
      <c r="AB96" s="42">
        <f>IF(OR(F96="",F96=0),"",G96/F96)</f>
        <v/>
      </c>
      <c r="AC96" s="43">
        <f>IF(OR(L96="",L96=0),"",K96/L96)</f>
        <v/>
      </c>
      <c r="AD96" s="43">
        <f>IF(OR(T96="",T96=0),"",S96/T96)</f>
        <v/>
      </c>
    </row>
    <row r="97">
      <c r="A97" s="37" t="n"/>
      <c r="B97" s="38" t="n"/>
      <c r="C97" s="39"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1" t="n"/>
      <c r="Y97" s="40" t="n"/>
      <c r="Z97" s="40" t="n"/>
      <c r="AA97" s="42">
        <f>IF(OR(D97="",D97=0),"",E97/D97)</f>
        <v/>
      </c>
      <c r="AB97" s="42">
        <f>IF(OR(F97="",F97=0),"",G97/F97)</f>
        <v/>
      </c>
      <c r="AC97" s="43">
        <f>IF(OR(L97="",L97=0),"",K97/L97)</f>
        <v/>
      </c>
      <c r="AD97" s="43">
        <f>IF(OR(T97="",T97=0),"",S97/T97)</f>
        <v/>
      </c>
    </row>
    <row r="98">
      <c r="A98" s="37" t="n"/>
      <c r="B98" s="38" t="n"/>
      <c r="C98" s="39"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1" t="n"/>
      <c r="Y98" s="40" t="n"/>
      <c r="Z98" s="40" t="n"/>
      <c r="AA98" s="42">
        <f>IF(OR(D98="",D98=0),"",E98/D98)</f>
        <v/>
      </c>
      <c r="AB98" s="42">
        <f>IF(OR(F98="",F98=0),"",G98/F98)</f>
        <v/>
      </c>
      <c r="AC98" s="43">
        <f>IF(OR(L98="",L98=0),"",K98/L98)</f>
        <v/>
      </c>
      <c r="AD98" s="43">
        <f>IF(OR(T98="",T98=0),"",S98/T98)</f>
        <v/>
      </c>
    </row>
    <row r="99">
      <c r="A99" s="37" t="n"/>
      <c r="B99" s="38" t="n"/>
      <c r="C99" s="39"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1" t="n"/>
      <c r="Y99" s="40" t="n"/>
      <c r="Z99" s="40" t="n"/>
      <c r="AA99" s="42">
        <f>IF(OR(D99="",D99=0),"",E99/D99)</f>
        <v/>
      </c>
      <c r="AB99" s="42">
        <f>IF(OR(F99="",F99=0),"",G99/F99)</f>
        <v/>
      </c>
      <c r="AC99" s="43">
        <f>IF(OR(L99="",L99=0),"",K99/L99)</f>
        <v/>
      </c>
      <c r="AD99" s="43">
        <f>IF(OR(T99="",T99=0),"",S99/T99)</f>
        <v/>
      </c>
    </row>
    <row r="100">
      <c r="A100" s="37" t="n"/>
      <c r="B100" s="38" t="n"/>
      <c r="C100" s="39"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1" t="n"/>
      <c r="Y100" s="40" t="n"/>
      <c r="Z100" s="40" t="n"/>
      <c r="AA100" s="42">
        <f>IF(OR(D100="",D100=0),"",E100/D100)</f>
        <v/>
      </c>
      <c r="AB100" s="42">
        <f>IF(OR(F100="",F100=0),"",G100/F100)</f>
        <v/>
      </c>
      <c r="AC100" s="43">
        <f>IF(OR(L100="",L100=0),"",K100/L100)</f>
        <v/>
      </c>
      <c r="AD100" s="43">
        <f>IF(OR(T100="",T100=0),"",S100/T100)</f>
        <v/>
      </c>
    </row>
    <row r="101">
      <c r="A101" s="37" t="n"/>
      <c r="B101" s="38" t="n"/>
      <c r="C101" s="39"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1" t="n"/>
      <c r="Y101" s="40" t="n"/>
      <c r="Z101" s="40" t="n"/>
      <c r="AA101" s="42">
        <f>IF(OR(D101="",D101=0),"",E101/D101)</f>
        <v/>
      </c>
      <c r="AB101" s="42">
        <f>IF(OR(F101="",F101=0),"",G101/F101)</f>
        <v/>
      </c>
      <c r="AC101" s="43">
        <f>IF(OR(L101="",L101=0),"",K101/L101)</f>
        <v/>
      </c>
      <c r="AD101" s="43">
        <f>IF(OR(T101="",T101=0),"",S101/T101)</f>
        <v/>
      </c>
    </row>
    <row r="102">
      <c r="A102" s="37" t="n"/>
      <c r="B102" s="38" t="n"/>
      <c r="C102" s="39"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1" t="n"/>
      <c r="Y102" s="40" t="n"/>
      <c r="Z102" s="40" t="n"/>
      <c r="AA102" s="42">
        <f>IF(OR(D102="",D102=0),"",E102/D102)</f>
        <v/>
      </c>
      <c r="AB102" s="42">
        <f>IF(OR(F102="",F102=0),"",G102/F102)</f>
        <v/>
      </c>
      <c r="AC102" s="43">
        <f>IF(OR(L102="",L102=0),"",K102/L102)</f>
        <v/>
      </c>
      <c r="AD102" s="43">
        <f>IF(OR(T102="",T102=0),"",S102/T102)</f>
        <v/>
      </c>
    </row>
    <row r="103">
      <c r="A103" s="37" t="n"/>
      <c r="B103" s="38" t="n"/>
      <c r="C103" s="39"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1" t="n"/>
      <c r="Y103" s="40" t="n"/>
      <c r="Z103" s="40" t="n"/>
      <c r="AA103" s="42">
        <f>IF(OR(D103="",D103=0),"",E103/D103)</f>
        <v/>
      </c>
      <c r="AB103" s="42">
        <f>IF(OR(F103="",F103=0),"",G103/F103)</f>
        <v/>
      </c>
      <c r="AC103" s="43">
        <f>IF(OR(L103="",L103=0),"",K103/L103)</f>
        <v/>
      </c>
      <c r="AD103" s="43">
        <f>IF(OR(T103="",T103=0),"",S103/T103)</f>
        <v/>
      </c>
    </row>
    <row r="104">
      <c r="A104" s="37" t="n"/>
      <c r="B104" s="38" t="n"/>
      <c r="C104" s="39"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1" t="n"/>
      <c r="Y104" s="40" t="n"/>
      <c r="Z104" s="40" t="n"/>
      <c r="AA104" s="42">
        <f>IF(OR(D104="",D104=0),"",E104/D104)</f>
        <v/>
      </c>
      <c r="AB104" s="42">
        <f>IF(OR(F104="",F104=0),"",G104/F104)</f>
        <v/>
      </c>
      <c r="AC104" s="43">
        <f>IF(OR(L104="",L104=0),"",K104/L104)</f>
        <v/>
      </c>
      <c r="AD104" s="43">
        <f>IF(OR(T104="",T104=0),"",S104/T104)</f>
        <v/>
      </c>
    </row>
    <row r="105">
      <c r="A105" s="37" t="n"/>
      <c r="B105" s="38" t="n"/>
      <c r="C105" s="39"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1" t="n"/>
      <c r="Y105" s="40" t="n"/>
      <c r="Z105" s="40" t="n"/>
      <c r="AA105" s="42">
        <f>IF(OR(D105="",D105=0),"",E105/D105)</f>
        <v/>
      </c>
      <c r="AB105" s="42">
        <f>IF(OR(F105="",F105=0),"",G105/F105)</f>
        <v/>
      </c>
      <c r="AC105" s="43">
        <f>IF(OR(L105="",L105=0),"",K105/L105)</f>
        <v/>
      </c>
      <c r="AD105" s="43">
        <f>IF(OR(T105="",T105=0),"",S105/T105)</f>
        <v/>
      </c>
    </row>
    <row r="106">
      <c r="A106" s="37" t="n"/>
      <c r="B106" s="38" t="n"/>
      <c r="C106" s="39"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1" t="n"/>
      <c r="Y106" s="40" t="n"/>
      <c r="Z106" s="40" t="n"/>
      <c r="AA106" s="42">
        <f>IF(OR(D106="",D106=0),"",E106/D106)</f>
        <v/>
      </c>
      <c r="AB106" s="42">
        <f>IF(OR(F106="",F106=0),"",G106/F106)</f>
        <v/>
      </c>
      <c r="AC106" s="43">
        <f>IF(OR(L106="",L106=0),"",K106/L106)</f>
        <v/>
      </c>
      <c r="AD106" s="43">
        <f>IF(OR(T106="",T106=0),"",S106/T106)</f>
        <v/>
      </c>
    </row>
    <row r="107">
      <c r="A107" s="37" t="n"/>
      <c r="B107" s="38" t="n"/>
      <c r="C107" s="39"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1" t="n"/>
      <c r="Y107" s="40" t="n"/>
      <c r="Z107" s="40" t="n"/>
      <c r="AA107" s="42">
        <f>IF(OR(D107="",D107=0),"",E107/D107)</f>
        <v/>
      </c>
      <c r="AB107" s="42">
        <f>IF(OR(F107="",F107=0),"",G107/F107)</f>
        <v/>
      </c>
      <c r="AC107" s="43">
        <f>IF(OR(L107="",L107=0),"",K107/L107)</f>
        <v/>
      </c>
      <c r="AD107" s="43">
        <f>IF(OR(T107="",T107=0),"",S107/T107)</f>
        <v/>
      </c>
    </row>
    <row r="108">
      <c r="A108" s="37" t="n"/>
      <c r="B108" s="38" t="n"/>
      <c r="C108" s="39"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1" t="n"/>
      <c r="Y108" s="40" t="n"/>
      <c r="Z108" s="40" t="n"/>
      <c r="AA108" s="42">
        <f>IF(OR(D108="",D108=0),"",E108/D108)</f>
        <v/>
      </c>
      <c r="AB108" s="42">
        <f>IF(OR(F108="",F108=0),"",G108/F108)</f>
        <v/>
      </c>
      <c r="AC108" s="43">
        <f>IF(OR(L108="",L108=0),"",K108/L108)</f>
        <v/>
      </c>
      <c r="AD108" s="43">
        <f>IF(OR(T108="",T108=0),"",S108/T108)</f>
        <v/>
      </c>
    </row>
    <row r="109">
      <c r="A109" s="37" t="n"/>
      <c r="B109" s="38" t="n"/>
      <c r="C109" s="39"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1" t="n"/>
      <c r="Y109" s="40" t="n"/>
      <c r="Z109" s="40" t="n"/>
      <c r="AA109" s="42">
        <f>IF(OR(D109="",D109=0),"",E109/D109)</f>
        <v/>
      </c>
      <c r="AB109" s="42">
        <f>IF(OR(F109="",F109=0),"",G109/F109)</f>
        <v/>
      </c>
      <c r="AC109" s="43">
        <f>IF(OR(L109="",L109=0),"",K109/L109)</f>
        <v/>
      </c>
      <c r="AD109" s="43">
        <f>IF(OR(T109="",T109=0),"",S109/T109)</f>
        <v/>
      </c>
    </row>
    <row r="110">
      <c r="A110" s="37" t="n"/>
      <c r="B110" s="38" t="n"/>
      <c r="C110" s="39"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1" t="n"/>
      <c r="Y110" s="40" t="n"/>
      <c r="Z110" s="40" t="n"/>
      <c r="AA110" s="42">
        <f>IF(OR(D110="",D110=0),"",E110/D110)</f>
        <v/>
      </c>
      <c r="AB110" s="42">
        <f>IF(OR(F110="",F110=0),"",G110/F110)</f>
        <v/>
      </c>
      <c r="AC110" s="43">
        <f>IF(OR(L110="",L110=0),"",K110/L110)</f>
        <v/>
      </c>
      <c r="AD110" s="43">
        <f>IF(OR(T110="",T110=0),"",S110/T110)</f>
        <v/>
      </c>
    </row>
    <row r="111">
      <c r="A111" s="37" t="n"/>
      <c r="B111" s="38" t="n"/>
      <c r="C111" s="39"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1" t="n"/>
      <c r="Y111" s="40" t="n"/>
      <c r="Z111" s="40" t="n"/>
      <c r="AA111" s="42">
        <f>IF(OR(D111="",D111=0),"",E111/D111)</f>
        <v/>
      </c>
      <c r="AB111" s="42">
        <f>IF(OR(F111="",F111=0),"",G111/F111)</f>
        <v/>
      </c>
      <c r="AC111" s="43">
        <f>IF(OR(L111="",L111=0),"",K111/L111)</f>
        <v/>
      </c>
      <c r="AD111" s="43">
        <f>IF(OR(T111="",T111=0),"",S111/T111)</f>
        <v/>
      </c>
    </row>
    <row r="112">
      <c r="A112" s="37" t="n"/>
      <c r="B112" s="38" t="n"/>
      <c r="C112" s="39"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1" t="n"/>
      <c r="Y112" s="40" t="n"/>
      <c r="Z112" s="40" t="n"/>
      <c r="AA112" s="42">
        <f>IF(OR(D112="",D112=0),"",E112/D112)</f>
        <v/>
      </c>
      <c r="AB112" s="42">
        <f>IF(OR(F112="",F112=0),"",G112/F112)</f>
        <v/>
      </c>
      <c r="AC112" s="43">
        <f>IF(OR(L112="",L112=0),"",K112/L112)</f>
        <v/>
      </c>
      <c r="AD112" s="43">
        <f>IF(OR(T112="",T112=0),"",S112/T112)</f>
        <v/>
      </c>
    </row>
    <row r="113">
      <c r="A113" s="37" t="n"/>
      <c r="B113" s="38" t="n"/>
      <c r="C113" s="39"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1" t="n"/>
      <c r="Y113" s="40" t="n"/>
      <c r="Z113" s="40" t="n"/>
      <c r="AA113" s="42">
        <f>IF(OR(D113="",D113=0),"",E113/D113)</f>
        <v/>
      </c>
      <c r="AB113" s="42">
        <f>IF(OR(F113="",F113=0),"",G113/F113)</f>
        <v/>
      </c>
      <c r="AC113" s="43">
        <f>IF(OR(L113="",L113=0),"",K113/L113)</f>
        <v/>
      </c>
      <c r="AD113" s="43">
        <f>IF(OR(T113="",T113=0),"",S113/T113)</f>
        <v/>
      </c>
    </row>
    <row r="114">
      <c r="A114" s="37" t="n"/>
      <c r="B114" s="38" t="n"/>
      <c r="C114" s="39"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1" t="n"/>
      <c r="Y114" s="40" t="n"/>
      <c r="Z114" s="40" t="n"/>
      <c r="AA114" s="42">
        <f>IF(OR(D114="",D114=0),"",E114/D114)</f>
        <v/>
      </c>
      <c r="AB114" s="42">
        <f>IF(OR(F114="",F114=0),"",G114/F114)</f>
        <v/>
      </c>
      <c r="AC114" s="43">
        <f>IF(OR(L114="",L114=0),"",K114/L114)</f>
        <v/>
      </c>
      <c r="AD114" s="43">
        <f>IF(OR(T114="",T114=0),"",S114/T114)</f>
        <v/>
      </c>
    </row>
    <row r="115">
      <c r="A115" s="37" t="n"/>
      <c r="B115" s="38" t="n"/>
      <c r="C115" s="39"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1" t="n"/>
      <c r="Y115" s="40" t="n"/>
      <c r="Z115" s="40" t="n"/>
      <c r="AA115" s="42">
        <f>IF(OR(D115="",D115=0),"",E115/D115)</f>
        <v/>
      </c>
      <c r="AB115" s="42">
        <f>IF(OR(F115="",F115=0),"",G115/F115)</f>
        <v/>
      </c>
      <c r="AC115" s="43">
        <f>IF(OR(L115="",L115=0),"",K115/L115)</f>
        <v/>
      </c>
      <c r="AD115" s="43">
        <f>IF(OR(T115="",T115=0),"",S115/T115)</f>
        <v/>
      </c>
    </row>
    <row r="116">
      <c r="A116" s="37" t="n"/>
      <c r="B116" s="38" t="n"/>
      <c r="C116" s="39"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1" t="n"/>
      <c r="Y116" s="40" t="n"/>
      <c r="Z116" s="40" t="n"/>
      <c r="AA116" s="42">
        <f>IF(OR(D116="",D116=0),"",E116/D116)</f>
        <v/>
      </c>
      <c r="AB116" s="42">
        <f>IF(OR(F116="",F116=0),"",G116/F116)</f>
        <v/>
      </c>
      <c r="AC116" s="43">
        <f>IF(OR(L116="",L116=0),"",K116/L116)</f>
        <v/>
      </c>
      <c r="AD116" s="43">
        <f>IF(OR(T116="",T116=0),"",S116/T116)</f>
        <v/>
      </c>
    </row>
    <row r="117">
      <c r="A117" s="37" t="n"/>
      <c r="B117" s="38" t="n"/>
      <c r="C117" s="39"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1" t="n"/>
      <c r="Y117" s="40" t="n"/>
      <c r="Z117" s="40" t="n"/>
      <c r="AA117" s="42">
        <f>IF(OR(D117="",D117=0),"",E117/D117)</f>
        <v/>
      </c>
      <c r="AB117" s="42">
        <f>IF(OR(F117="",F117=0),"",G117/F117)</f>
        <v/>
      </c>
      <c r="AC117" s="43">
        <f>IF(OR(L117="",L117=0),"",K117/L117)</f>
        <v/>
      </c>
      <c r="AD117" s="43">
        <f>IF(OR(T117="",T117=0),"",S117/T117)</f>
        <v/>
      </c>
    </row>
    <row r="118">
      <c r="A118" s="37" t="n"/>
      <c r="B118" s="38" t="n"/>
      <c r="C118" s="39"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1" t="n"/>
      <c r="Y118" s="40" t="n"/>
      <c r="Z118" s="40" t="n"/>
      <c r="AA118" s="42">
        <f>IF(OR(D118="",D118=0),"",E118/D118)</f>
        <v/>
      </c>
      <c r="AB118" s="42">
        <f>IF(OR(F118="",F118=0),"",G118/F118)</f>
        <v/>
      </c>
      <c r="AC118" s="43">
        <f>IF(OR(L118="",L118=0),"",K118/L118)</f>
        <v/>
      </c>
      <c r="AD118" s="43">
        <f>IF(OR(T118="",T118=0),"",S118/T118)</f>
        <v/>
      </c>
    </row>
    <row r="119">
      <c r="A119" s="37" t="n"/>
      <c r="B119" s="38" t="n"/>
      <c r="C119" s="39"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1" t="n"/>
      <c r="Y119" s="40" t="n"/>
      <c r="Z119" s="40" t="n"/>
      <c r="AA119" s="42">
        <f>IF(OR(D119="",D119=0),"",E119/D119)</f>
        <v/>
      </c>
      <c r="AB119" s="42">
        <f>IF(OR(F119="",F119=0),"",G119/F119)</f>
        <v/>
      </c>
      <c r="AC119" s="43">
        <f>IF(OR(L119="",L119=0),"",K119/L119)</f>
        <v/>
      </c>
      <c r="AD119" s="43">
        <f>IF(OR(T119="",T119=0),"",S119/T119)</f>
        <v/>
      </c>
    </row>
    <row r="120">
      <c r="A120" s="37" t="n"/>
      <c r="B120" s="38" t="n"/>
      <c r="C120" s="39"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1" t="n"/>
      <c r="Y120" s="40" t="n"/>
      <c r="Z120" s="40" t="n"/>
      <c r="AA120" s="42">
        <f>IF(OR(D120="",D120=0),"",E120/D120)</f>
        <v/>
      </c>
      <c r="AB120" s="42">
        <f>IF(OR(F120="",F120=0),"",G120/F120)</f>
        <v/>
      </c>
      <c r="AC120" s="43">
        <f>IF(OR(L120="",L120=0),"",K120/L120)</f>
        <v/>
      </c>
      <c r="AD120" s="43">
        <f>IF(OR(T120="",T120=0),"",S120/T120)</f>
        <v/>
      </c>
    </row>
    <row r="121">
      <c r="A121" s="37" t="n"/>
      <c r="B121" s="38" t="n"/>
      <c r="C121" s="39"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1" t="n"/>
      <c r="Y121" s="40" t="n"/>
      <c r="Z121" s="40" t="n"/>
      <c r="AA121" s="42">
        <f>IF(OR(D121="",D121=0),"",E121/D121)</f>
        <v/>
      </c>
      <c r="AB121" s="42">
        <f>IF(OR(F121="",F121=0),"",G121/F121)</f>
        <v/>
      </c>
      <c r="AC121" s="43">
        <f>IF(OR(L121="",L121=0),"",K121/L121)</f>
        <v/>
      </c>
      <c r="AD121" s="43">
        <f>IF(OR(T121="",T121=0),"",S121/T121)</f>
        <v/>
      </c>
    </row>
    <row r="122">
      <c r="A122" s="37" t="n"/>
      <c r="B122" s="38" t="n"/>
      <c r="C122" s="39"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1" t="n"/>
      <c r="Y122" s="40" t="n"/>
      <c r="Z122" s="40" t="n"/>
      <c r="AA122" s="42">
        <f>IF(OR(D122="",D122=0),"",E122/D122)</f>
        <v/>
      </c>
      <c r="AB122" s="42">
        <f>IF(OR(F122="",F122=0),"",G122/F122)</f>
        <v/>
      </c>
      <c r="AC122" s="43">
        <f>IF(OR(L122="",L122=0),"",K122/L122)</f>
        <v/>
      </c>
      <c r="AD122" s="43">
        <f>IF(OR(T122="",T122=0),"",S122/T122)</f>
        <v/>
      </c>
    </row>
    <row r="123">
      <c r="A123" s="37" t="n"/>
      <c r="B123" s="38" t="n"/>
      <c r="C123" s="39"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1" t="n"/>
      <c r="Y123" s="40" t="n"/>
      <c r="Z123" s="40" t="n"/>
      <c r="AA123" s="42">
        <f>IF(OR(D123="",D123=0),"",E123/D123)</f>
        <v/>
      </c>
      <c r="AB123" s="42">
        <f>IF(OR(F123="",F123=0),"",G123/F123)</f>
        <v/>
      </c>
      <c r="AC123" s="43">
        <f>IF(OR(L123="",L123=0),"",K123/L123)</f>
        <v/>
      </c>
      <c r="AD123" s="43">
        <f>IF(OR(T123="",T123=0),"",S123/T123)</f>
        <v/>
      </c>
    </row>
    <row r="124">
      <c r="A124" s="37" t="n"/>
      <c r="B124" s="38" t="n"/>
      <c r="C124" s="39"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1" t="n"/>
      <c r="Y124" s="40" t="n"/>
      <c r="Z124" s="40" t="n"/>
      <c r="AA124" s="42">
        <f>IF(OR(D124="",D124=0),"",E124/D124)</f>
        <v/>
      </c>
      <c r="AB124" s="42">
        <f>IF(OR(F124="",F124=0),"",G124/F124)</f>
        <v/>
      </c>
      <c r="AC124" s="43">
        <f>IF(OR(L124="",L124=0),"",K124/L124)</f>
        <v/>
      </c>
      <c r="AD124" s="43">
        <f>IF(OR(T124="",T124=0),"",S124/T124)</f>
        <v/>
      </c>
    </row>
    <row r="125">
      <c r="A125" s="37" t="n"/>
      <c r="B125" s="38" t="n"/>
      <c r="C125" s="39"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1" t="n"/>
      <c r="Y125" s="40" t="n"/>
      <c r="Z125" s="40" t="n"/>
      <c r="AA125" s="42">
        <f>IF(OR(D125="",D125=0),"",E125/D125)</f>
        <v/>
      </c>
      <c r="AB125" s="42">
        <f>IF(OR(F125="",F125=0),"",G125/F125)</f>
        <v/>
      </c>
      <c r="AC125" s="43">
        <f>IF(OR(L125="",L125=0),"",K125/L125)</f>
        <v/>
      </c>
      <c r="AD125" s="43">
        <f>IF(OR(T125="",T125=0),"",S125/T125)</f>
        <v/>
      </c>
    </row>
    <row r="126">
      <c r="A126" s="37" t="n"/>
      <c r="B126" s="38" t="n"/>
      <c r="C126" s="39"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1" t="n"/>
      <c r="Y126" s="40" t="n"/>
      <c r="Z126" s="40" t="n"/>
      <c r="AA126" s="42">
        <f>IF(OR(D126="",D126=0),"",E126/D126)</f>
        <v/>
      </c>
      <c r="AB126" s="42">
        <f>IF(OR(F126="",F126=0),"",G126/F126)</f>
        <v/>
      </c>
      <c r="AC126" s="43">
        <f>IF(OR(L126="",L126=0),"",K126/L126)</f>
        <v/>
      </c>
      <c r="AD126" s="43">
        <f>IF(OR(T126="",T126=0),"",S126/T126)</f>
        <v/>
      </c>
    </row>
    <row r="127">
      <c r="A127" s="37" t="n"/>
      <c r="B127" s="38" t="n"/>
      <c r="C127" s="39"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1" t="n"/>
      <c r="Y127" s="40" t="n"/>
      <c r="Z127" s="40" t="n"/>
      <c r="AA127" s="42">
        <f>IF(OR(D127="",D127=0),"",E127/D127)</f>
        <v/>
      </c>
      <c r="AB127" s="42">
        <f>IF(OR(F127="",F127=0),"",G127/F127)</f>
        <v/>
      </c>
      <c r="AC127" s="43">
        <f>IF(OR(L127="",L127=0),"",K127/L127)</f>
        <v/>
      </c>
      <c r="AD127" s="43">
        <f>IF(OR(T127="",T127=0),"",S127/T127)</f>
        <v/>
      </c>
    </row>
    <row r="128">
      <c r="A128" s="37" t="n"/>
      <c r="B128" s="38" t="n"/>
      <c r="C128" s="39"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1" t="n"/>
      <c r="Y128" s="40" t="n"/>
      <c r="Z128" s="40" t="n"/>
      <c r="AA128" s="42">
        <f>IF(OR(D128="",D128=0),"",E128/D128)</f>
        <v/>
      </c>
      <c r="AB128" s="42">
        <f>IF(OR(F128="",F128=0),"",G128/F128)</f>
        <v/>
      </c>
      <c r="AC128" s="43">
        <f>IF(OR(L128="",L128=0),"",K128/L128)</f>
        <v/>
      </c>
      <c r="AD128" s="43">
        <f>IF(OR(T128="",T128=0),"",S128/T128)</f>
        <v/>
      </c>
    </row>
    <row r="129">
      <c r="A129" s="37" t="n"/>
      <c r="B129" s="38" t="n"/>
      <c r="C129" s="39"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1" t="n"/>
      <c r="Y129" s="40" t="n"/>
      <c r="Z129" s="40" t="n"/>
      <c r="AA129" s="42">
        <f>IF(OR(D129="",D129=0),"",E129/D129)</f>
        <v/>
      </c>
      <c r="AB129" s="42">
        <f>IF(OR(F129="",F129=0),"",G129/F129)</f>
        <v/>
      </c>
      <c r="AC129" s="43">
        <f>IF(OR(L129="",L129=0),"",K129/L129)</f>
        <v/>
      </c>
      <c r="AD129" s="43">
        <f>IF(OR(T129="",T129=0),"",S129/T129)</f>
        <v/>
      </c>
    </row>
    <row r="130">
      <c r="A130" s="37" t="n"/>
      <c r="B130" s="38" t="n"/>
      <c r="C130" s="39"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1" t="n"/>
      <c r="Y130" s="40" t="n"/>
      <c r="Z130" s="40" t="n"/>
      <c r="AA130" s="42">
        <f>IF(OR(D130="",D130=0),"",E130/D130)</f>
        <v/>
      </c>
      <c r="AB130" s="42">
        <f>IF(OR(F130="",F130=0),"",G130/F130)</f>
        <v/>
      </c>
      <c r="AC130" s="43">
        <f>IF(OR(L130="",L130=0),"",K130/L130)</f>
        <v/>
      </c>
      <c r="AD130" s="43">
        <f>IF(OR(T130="",T130=0),"",S130/T130)</f>
        <v/>
      </c>
    </row>
    <row r="131">
      <c r="A131" s="37" t="n"/>
      <c r="B131" s="38" t="n"/>
      <c r="C131" s="39"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1" t="n"/>
      <c r="Y131" s="40" t="n"/>
      <c r="Z131" s="40" t="n"/>
      <c r="AA131" s="42">
        <f>IF(OR(D131="",D131=0),"",E131/D131)</f>
        <v/>
      </c>
      <c r="AB131" s="42">
        <f>IF(OR(F131="",F131=0),"",G131/F131)</f>
        <v/>
      </c>
      <c r="AC131" s="43">
        <f>IF(OR(L131="",L131=0),"",K131/L131)</f>
        <v/>
      </c>
      <c r="AD131" s="43">
        <f>IF(OR(T131="",T131=0),"",S131/T131)</f>
        <v/>
      </c>
    </row>
    <row r="132">
      <c r="A132" s="37" t="n"/>
      <c r="B132" s="38" t="n"/>
      <c r="C132" s="39"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1" t="n"/>
      <c r="Y132" s="40" t="n"/>
      <c r="Z132" s="40" t="n"/>
      <c r="AA132" s="42">
        <f>IF(OR(D132="",D132=0),"",E132/D132)</f>
        <v/>
      </c>
      <c r="AB132" s="42">
        <f>IF(OR(F132="",F132=0),"",G132/F132)</f>
        <v/>
      </c>
      <c r="AC132" s="43">
        <f>IF(OR(L132="",L132=0),"",K132/L132)</f>
        <v/>
      </c>
      <c r="AD132" s="43">
        <f>IF(OR(T132="",T132=0),"",S132/T132)</f>
        <v/>
      </c>
    </row>
    <row r="133">
      <c r="A133" s="37" t="n"/>
      <c r="B133" s="38" t="n"/>
      <c r="C133" s="39"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1" t="n"/>
      <c r="Y133" s="40" t="n"/>
      <c r="Z133" s="40" t="n"/>
      <c r="AA133" s="42">
        <f>IF(OR(D133="",D133=0),"",E133/D133)</f>
        <v/>
      </c>
      <c r="AB133" s="42">
        <f>IF(OR(F133="",F133=0),"",G133/F133)</f>
        <v/>
      </c>
      <c r="AC133" s="43">
        <f>IF(OR(L133="",L133=0),"",K133/L133)</f>
        <v/>
      </c>
      <c r="AD133" s="43">
        <f>IF(OR(T133="",T133=0),"",S133/T133)</f>
        <v/>
      </c>
    </row>
    <row r="134">
      <c r="A134" s="37" t="n"/>
      <c r="B134" s="38" t="n"/>
      <c r="C134" s="39"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1" t="n"/>
      <c r="Y134" s="40" t="n"/>
      <c r="Z134" s="40" t="n"/>
      <c r="AA134" s="42">
        <f>IF(OR(D134="",D134=0),"",E134/D134)</f>
        <v/>
      </c>
      <c r="AB134" s="42">
        <f>IF(OR(F134="",F134=0),"",G134/F134)</f>
        <v/>
      </c>
      <c r="AC134" s="43">
        <f>IF(OR(L134="",L134=0),"",K134/L134)</f>
        <v/>
      </c>
      <c r="AD134" s="43">
        <f>IF(OR(T134="",T134=0),"",S134/T134)</f>
        <v/>
      </c>
    </row>
    <row r="135">
      <c r="A135" s="37" t="n"/>
      <c r="B135" s="38" t="n"/>
      <c r="C135" s="39"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1" t="n"/>
      <c r="Y135" s="40" t="n"/>
      <c r="Z135" s="40" t="n"/>
      <c r="AA135" s="42">
        <f>IF(OR(D135="",D135=0),"",E135/D135)</f>
        <v/>
      </c>
      <c r="AB135" s="42">
        <f>IF(OR(F135="",F135=0),"",G135/F135)</f>
        <v/>
      </c>
      <c r="AC135" s="43">
        <f>IF(OR(L135="",L135=0),"",K135/L135)</f>
        <v/>
      </c>
      <c r="AD135" s="43">
        <f>IF(OR(T135="",T135=0),"",S135/T135)</f>
        <v/>
      </c>
    </row>
    <row r="136">
      <c r="A136" s="37" t="n"/>
      <c r="B136" s="38" t="n"/>
      <c r="C136" s="39"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1" t="n"/>
      <c r="Y136" s="40" t="n"/>
      <c r="Z136" s="40" t="n"/>
      <c r="AA136" s="42">
        <f>IF(OR(D136="",D136=0),"",E136/D136)</f>
        <v/>
      </c>
      <c r="AB136" s="42">
        <f>IF(OR(F136="",F136=0),"",G136/F136)</f>
        <v/>
      </c>
      <c r="AC136" s="43">
        <f>IF(OR(L136="",L136=0),"",K136/L136)</f>
        <v/>
      </c>
      <c r="AD136" s="43">
        <f>IF(OR(T136="",T136=0),"",S136/T136)</f>
        <v/>
      </c>
    </row>
    <row r="137">
      <c r="A137" s="37" t="n"/>
      <c r="B137" s="38" t="n"/>
      <c r="C137" s="39"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1" t="n"/>
      <c r="Y137" s="40" t="n"/>
      <c r="Z137" s="40" t="n"/>
      <c r="AA137" s="42">
        <f>IF(OR(D137="",D137=0),"",E137/D137)</f>
        <v/>
      </c>
      <c r="AB137" s="42">
        <f>IF(OR(F137="",F137=0),"",G137/F137)</f>
        <v/>
      </c>
      <c r="AC137" s="43">
        <f>IF(OR(L137="",L137=0),"",K137/L137)</f>
        <v/>
      </c>
      <c r="AD137" s="43">
        <f>IF(OR(T137="",T137=0),"",S137/T137)</f>
        <v/>
      </c>
    </row>
    <row r="138">
      <c r="A138" s="37" t="n"/>
      <c r="B138" s="38" t="n"/>
      <c r="C138" s="39"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1" t="n"/>
      <c r="Y138" s="40" t="n"/>
      <c r="Z138" s="40" t="n"/>
      <c r="AA138" s="42">
        <f>IF(OR(D138="",D138=0),"",E138/D138)</f>
        <v/>
      </c>
      <c r="AB138" s="42">
        <f>IF(OR(F138="",F138=0),"",G138/F138)</f>
        <v/>
      </c>
      <c r="AC138" s="43">
        <f>IF(OR(L138="",L138=0),"",K138/L138)</f>
        <v/>
      </c>
      <c r="AD138" s="43">
        <f>IF(OR(T138="",T138=0),"",S138/T138)</f>
        <v/>
      </c>
    </row>
    <row r="139">
      <c r="A139" s="37" t="n"/>
      <c r="B139" s="38" t="n"/>
      <c r="C139" s="39"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1" t="n"/>
      <c r="Y139" s="40" t="n"/>
      <c r="Z139" s="40" t="n"/>
      <c r="AA139" s="42">
        <f>IF(OR(D139="",D139=0),"",E139/D139)</f>
        <v/>
      </c>
      <c r="AB139" s="42">
        <f>IF(OR(F139="",F139=0),"",G139/F139)</f>
        <v/>
      </c>
      <c r="AC139" s="43">
        <f>IF(OR(L139="",L139=0),"",K139/L139)</f>
        <v/>
      </c>
      <c r="AD139" s="43">
        <f>IF(OR(T139="",T139=0),"",S139/T139)</f>
        <v/>
      </c>
    </row>
    <row r="140">
      <c r="A140" s="37" t="n"/>
      <c r="B140" s="38" t="n"/>
      <c r="C140" s="39"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1" t="n"/>
      <c r="Y140" s="40" t="n"/>
      <c r="Z140" s="40" t="n"/>
      <c r="AA140" s="42">
        <f>IF(OR(D140="",D140=0),"",E140/D140)</f>
        <v/>
      </c>
      <c r="AB140" s="42">
        <f>IF(OR(F140="",F140=0),"",G140/F140)</f>
        <v/>
      </c>
      <c r="AC140" s="43">
        <f>IF(OR(L140="",L140=0),"",K140/L140)</f>
        <v/>
      </c>
      <c r="AD140" s="43">
        <f>IF(OR(T140="",T140=0),"",S140/T140)</f>
        <v/>
      </c>
    </row>
    <row r="141">
      <c r="A141" s="37" t="n"/>
      <c r="B141" s="38" t="n"/>
      <c r="C141" s="39"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1" t="n"/>
      <c r="Y141" s="40" t="n"/>
      <c r="Z141" s="40" t="n"/>
      <c r="AA141" s="42">
        <f>IF(OR(D141="",D141=0),"",E141/D141)</f>
        <v/>
      </c>
      <c r="AB141" s="42">
        <f>IF(OR(F141="",F141=0),"",G141/F141)</f>
        <v/>
      </c>
      <c r="AC141" s="43">
        <f>IF(OR(L141="",L141=0),"",K141/L141)</f>
        <v/>
      </c>
      <c r="AD141" s="43">
        <f>IF(OR(T141="",T141=0),"",S141/T141)</f>
        <v/>
      </c>
    </row>
    <row r="142">
      <c r="A142" s="37" t="n"/>
      <c r="B142" s="38" t="n"/>
      <c r="C142" s="39"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1" t="n"/>
      <c r="Y142" s="40" t="n"/>
      <c r="Z142" s="40" t="n"/>
      <c r="AA142" s="42">
        <f>IF(OR(D142="",D142=0),"",E142/D142)</f>
        <v/>
      </c>
      <c r="AB142" s="42">
        <f>IF(OR(F142="",F142=0),"",G142/F142)</f>
        <v/>
      </c>
      <c r="AC142" s="43">
        <f>IF(OR(L142="",L142=0),"",K142/L142)</f>
        <v/>
      </c>
      <c r="AD142" s="43">
        <f>IF(OR(T142="",T142=0),"",S142/T142)</f>
        <v/>
      </c>
    </row>
    <row r="143">
      <c r="A143" s="37" t="n"/>
      <c r="B143" s="38" t="n"/>
      <c r="C143" s="39"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1" t="n"/>
      <c r="Y143" s="40" t="n"/>
      <c r="Z143" s="40" t="n"/>
      <c r="AA143" s="42">
        <f>IF(OR(D143="",D143=0),"",E143/D143)</f>
        <v/>
      </c>
      <c r="AB143" s="42">
        <f>IF(OR(F143="",F143=0),"",G143/F143)</f>
        <v/>
      </c>
      <c r="AC143" s="43">
        <f>IF(OR(L143="",L143=0),"",K143/L143)</f>
        <v/>
      </c>
      <c r="AD143" s="43">
        <f>IF(OR(T143="",T143=0),"",S143/T143)</f>
        <v/>
      </c>
    </row>
    <row r="144">
      <c r="A144" s="37" t="n"/>
      <c r="B144" s="38" t="n"/>
      <c r="C144" s="39"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1" t="n"/>
      <c r="Y144" s="40" t="n"/>
      <c r="Z144" s="40" t="n"/>
      <c r="AA144" s="42">
        <f>IF(OR(D144="",D144=0),"",E144/D144)</f>
        <v/>
      </c>
      <c r="AB144" s="42">
        <f>IF(OR(F144="",F144=0),"",G144/F144)</f>
        <v/>
      </c>
      <c r="AC144" s="43">
        <f>IF(OR(L144="",L144=0),"",K144/L144)</f>
        <v/>
      </c>
      <c r="AD144" s="43">
        <f>IF(OR(T144="",T144=0),"",S144/T144)</f>
        <v/>
      </c>
    </row>
    <row r="145">
      <c r="A145" s="37" t="n"/>
      <c r="B145" s="38" t="n"/>
      <c r="C145" s="39"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1" t="n"/>
      <c r="Y145" s="40" t="n"/>
      <c r="Z145" s="40" t="n"/>
      <c r="AA145" s="42">
        <f>IF(OR(D145="",D145=0),"",E145/D145)</f>
        <v/>
      </c>
      <c r="AB145" s="42">
        <f>IF(OR(F145="",F145=0),"",G145/F145)</f>
        <v/>
      </c>
      <c r="AC145" s="43">
        <f>IF(OR(L145="",L145=0),"",K145/L145)</f>
        <v/>
      </c>
      <c r="AD145" s="43">
        <f>IF(OR(T145="",T145=0),"",S145/T145)</f>
        <v/>
      </c>
    </row>
    <row r="146">
      <c r="A146" s="37" t="n"/>
      <c r="B146" s="38" t="n"/>
      <c r="C146" s="39"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1" t="n"/>
      <c r="Y146" s="40" t="n"/>
      <c r="Z146" s="40" t="n"/>
      <c r="AA146" s="42">
        <f>IF(OR(D146="",D146=0),"",E146/D146)</f>
        <v/>
      </c>
      <c r="AB146" s="42">
        <f>IF(OR(F146="",F146=0),"",G146/F146)</f>
        <v/>
      </c>
      <c r="AC146" s="43">
        <f>IF(OR(L146="",L146=0),"",K146/L146)</f>
        <v/>
      </c>
      <c r="AD146" s="43">
        <f>IF(OR(T146="",T146=0),"",S146/T146)</f>
        <v/>
      </c>
    </row>
    <row r="147">
      <c r="A147" s="37" t="n"/>
      <c r="B147" s="38" t="n"/>
      <c r="C147" s="39"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1" t="n"/>
      <c r="Y147" s="40" t="n"/>
      <c r="Z147" s="40" t="n"/>
      <c r="AA147" s="42">
        <f>IF(OR(D147="",D147=0),"",E147/D147)</f>
        <v/>
      </c>
      <c r="AB147" s="42">
        <f>IF(OR(F147="",F147=0),"",G147/F147)</f>
        <v/>
      </c>
      <c r="AC147" s="43">
        <f>IF(OR(L147="",L147=0),"",K147/L147)</f>
        <v/>
      </c>
      <c r="AD147" s="43">
        <f>IF(OR(T147="",T147=0),"",S147/T147)</f>
        <v/>
      </c>
    </row>
    <row r="148">
      <c r="A148" s="37" t="n"/>
      <c r="B148" s="38" t="n"/>
      <c r="C148" s="39"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1" t="n"/>
      <c r="Y148" s="40" t="n"/>
      <c r="Z148" s="40" t="n"/>
      <c r="AA148" s="42">
        <f>IF(OR(D148="",D148=0),"",E148/D148)</f>
        <v/>
      </c>
      <c r="AB148" s="42">
        <f>IF(OR(F148="",F148=0),"",G148/F148)</f>
        <v/>
      </c>
      <c r="AC148" s="43">
        <f>IF(OR(L148="",L148=0),"",K148/L148)</f>
        <v/>
      </c>
      <c r="AD148" s="43">
        <f>IF(OR(T148="",T148=0),"",S148/T148)</f>
        <v/>
      </c>
    </row>
    <row r="149">
      <c r="A149" s="37" t="n"/>
      <c r="B149" s="38" t="n"/>
      <c r="C149" s="39"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1" t="n"/>
      <c r="Y149" s="40" t="n"/>
      <c r="Z149" s="40" t="n"/>
      <c r="AA149" s="42">
        <f>IF(OR(D149="",D149=0),"",E149/D149)</f>
        <v/>
      </c>
      <c r="AB149" s="42">
        <f>IF(OR(F149="",F149=0),"",G149/F149)</f>
        <v/>
      </c>
      <c r="AC149" s="43">
        <f>IF(OR(L149="",L149=0),"",K149/L149)</f>
        <v/>
      </c>
      <c r="AD149" s="43">
        <f>IF(OR(T149="",T149=0),"",S149/T149)</f>
        <v/>
      </c>
    </row>
    <row r="150">
      <c r="A150" s="37" t="n"/>
      <c r="B150" s="38" t="n"/>
      <c r="C150" s="39"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1" t="n"/>
      <c r="Y150" s="40" t="n"/>
      <c r="Z150" s="40" t="n"/>
      <c r="AA150" s="42">
        <f>IF(OR(D150="",D150=0),"",E150/D150)</f>
        <v/>
      </c>
      <c r="AB150" s="42">
        <f>IF(OR(F150="",F150=0),"",G150/F150)</f>
        <v/>
      </c>
      <c r="AC150" s="43">
        <f>IF(OR(L150="",L150=0),"",K150/L150)</f>
        <v/>
      </c>
      <c r="AD150" s="43">
        <f>IF(OR(T150="",T150=0),"",S150/T150)</f>
        <v/>
      </c>
    </row>
    <row r="151">
      <c r="A151" s="37" t="n"/>
      <c r="B151" s="38" t="n"/>
      <c r="C151" s="39"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1" t="n"/>
      <c r="Y151" s="40" t="n"/>
      <c r="Z151" s="40" t="n"/>
      <c r="AA151" s="42">
        <f>IF(OR(D151="",D151=0),"",E151/D151)</f>
        <v/>
      </c>
      <c r="AB151" s="42">
        <f>IF(OR(F151="",F151=0),"",G151/F151)</f>
        <v/>
      </c>
      <c r="AC151" s="43">
        <f>IF(OR(L151="",L151=0),"",K151/L151)</f>
        <v/>
      </c>
      <c r="AD151" s="43">
        <f>IF(OR(T151="",T151=0),"",S151/T151)</f>
        <v/>
      </c>
    </row>
    <row r="152">
      <c r="A152" s="37" t="n"/>
      <c r="B152" s="38" t="n"/>
      <c r="C152" s="39"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1" t="n"/>
      <c r="Y152" s="40" t="n"/>
      <c r="Z152" s="40" t="n"/>
      <c r="AA152" s="42">
        <f>IF(OR(D152="",D152=0),"",E152/D152)</f>
        <v/>
      </c>
      <c r="AB152" s="42">
        <f>IF(OR(F152="",F152=0),"",G152/F152)</f>
        <v/>
      </c>
      <c r="AC152" s="43">
        <f>IF(OR(L152="",L152=0),"",K152/L152)</f>
        <v/>
      </c>
      <c r="AD152" s="43">
        <f>IF(OR(T152="",T152=0),"",S152/T152)</f>
        <v/>
      </c>
    </row>
    <row r="153">
      <c r="A153" s="37" t="n"/>
      <c r="B153" s="38" t="n"/>
      <c r="C153" s="39"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1" t="n"/>
      <c r="Y153" s="40" t="n"/>
      <c r="Z153" s="40" t="n"/>
      <c r="AA153" s="42">
        <f>IF(OR(D153="",D153=0),"",E153/D153)</f>
        <v/>
      </c>
      <c r="AB153" s="42">
        <f>IF(OR(F153="",F153=0),"",G153/F153)</f>
        <v/>
      </c>
      <c r="AC153" s="43">
        <f>IF(OR(L153="",L153=0),"",K153/L153)</f>
        <v/>
      </c>
      <c r="AD153" s="43">
        <f>IF(OR(T153="",T153=0),"",S153/T153)</f>
        <v/>
      </c>
    </row>
    <row r="154">
      <c r="A154" s="37" t="n"/>
      <c r="B154" s="38" t="n"/>
      <c r="C154" s="39"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1" t="n"/>
      <c r="Y154" s="40" t="n"/>
      <c r="Z154" s="40" t="n"/>
      <c r="AA154" s="42">
        <f>IF(OR(D154="",D154=0),"",E154/D154)</f>
        <v/>
      </c>
      <c r="AB154" s="42">
        <f>IF(OR(F154="",F154=0),"",G154/F154)</f>
        <v/>
      </c>
      <c r="AC154" s="43">
        <f>IF(OR(L154="",L154=0),"",K154/L154)</f>
        <v/>
      </c>
      <c r="AD154" s="43">
        <f>IF(OR(T154="",T154=0),"",S154/T154)</f>
        <v/>
      </c>
    </row>
    <row r="155">
      <c r="A155" s="37" t="n"/>
      <c r="B155" s="38" t="n"/>
      <c r="C155" s="39"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1" t="n"/>
      <c r="Y155" s="40" t="n"/>
      <c r="Z155" s="40" t="n"/>
      <c r="AA155" s="42">
        <f>IF(OR(D155="",D155=0),"",E155/D155)</f>
        <v/>
      </c>
      <c r="AB155" s="42">
        <f>IF(OR(F155="",F155=0),"",G155/F155)</f>
        <v/>
      </c>
      <c r="AC155" s="43">
        <f>IF(OR(L155="",L155=0),"",K155/L155)</f>
        <v/>
      </c>
      <c r="AD155" s="43">
        <f>IF(OR(T155="",T155=0),"",S155/T155)</f>
        <v/>
      </c>
    </row>
    <row r="156">
      <c r="A156" s="37" t="n"/>
      <c r="B156" s="38" t="n"/>
      <c r="C156" s="39"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1" t="n"/>
      <c r="Y156" s="40" t="n"/>
      <c r="Z156" s="40" t="n"/>
      <c r="AA156" s="42">
        <f>IF(OR(D156="",D156=0),"",E156/D156)</f>
        <v/>
      </c>
      <c r="AB156" s="42">
        <f>IF(OR(F156="",F156=0),"",G156/F156)</f>
        <v/>
      </c>
      <c r="AC156" s="43">
        <f>IF(OR(L156="",L156=0),"",K156/L156)</f>
        <v/>
      </c>
      <c r="AD156" s="43">
        <f>IF(OR(T156="",T156=0),"",S156/T156)</f>
        <v/>
      </c>
    </row>
    <row r="157">
      <c r="A157" s="37" t="n"/>
      <c r="B157" s="38" t="n"/>
      <c r="C157" s="39"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1" t="n"/>
      <c r="Y157" s="40" t="n"/>
      <c r="Z157" s="40" t="n"/>
      <c r="AA157" s="42">
        <f>IF(OR(D157="",D157=0),"",E157/D157)</f>
        <v/>
      </c>
      <c r="AB157" s="42">
        <f>IF(OR(F157="",F157=0),"",G157/F157)</f>
        <v/>
      </c>
      <c r="AC157" s="43">
        <f>IF(OR(L157="",L157=0),"",K157/L157)</f>
        <v/>
      </c>
      <c r="AD157" s="43">
        <f>IF(OR(T157="",T157=0),"",S157/T157)</f>
        <v/>
      </c>
    </row>
    <row r="158">
      <c r="A158" s="37" t="n"/>
      <c r="B158" s="38" t="n"/>
      <c r="C158" s="39"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1" t="n"/>
      <c r="Y158" s="40" t="n"/>
      <c r="Z158" s="40" t="n"/>
      <c r="AA158" s="42">
        <f>IF(OR(D158="",D158=0),"",E158/D158)</f>
        <v/>
      </c>
      <c r="AB158" s="42">
        <f>IF(OR(F158="",F158=0),"",G158/F158)</f>
        <v/>
      </c>
      <c r="AC158" s="43">
        <f>IF(OR(L158="",L158=0),"",K158/L158)</f>
        <v/>
      </c>
      <c r="AD158" s="43">
        <f>IF(OR(T158="",T158=0),"",S158/T158)</f>
        <v/>
      </c>
    </row>
    <row r="159">
      <c r="A159" s="37" t="n"/>
      <c r="B159" s="38" t="n"/>
      <c r="C159" s="39"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1" t="n"/>
      <c r="Y159" s="40" t="n"/>
      <c r="Z159" s="40" t="n"/>
      <c r="AA159" s="42">
        <f>IF(OR(D159="",D159=0),"",E159/D159)</f>
        <v/>
      </c>
      <c r="AB159" s="42">
        <f>IF(OR(F159="",F159=0),"",G159/F159)</f>
        <v/>
      </c>
      <c r="AC159" s="43">
        <f>IF(OR(L159="",L159=0),"",K159/L159)</f>
        <v/>
      </c>
      <c r="AD159" s="43">
        <f>IF(OR(T159="",T159=0),"",S159/T159)</f>
        <v/>
      </c>
    </row>
    <row r="160">
      <c r="A160" s="37" t="n"/>
      <c r="B160" s="38" t="n"/>
      <c r="C160" s="39"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1" t="n"/>
      <c r="Y160" s="40" t="n"/>
      <c r="Z160" s="40" t="n"/>
      <c r="AA160" s="42">
        <f>IF(OR(D160="",D160=0),"",E160/D160)</f>
        <v/>
      </c>
      <c r="AB160" s="42">
        <f>IF(OR(F160="",F160=0),"",G160/F160)</f>
        <v/>
      </c>
      <c r="AC160" s="43">
        <f>IF(OR(L160="",L160=0),"",K160/L160)</f>
        <v/>
      </c>
      <c r="AD160" s="43">
        <f>IF(OR(T160="",T160=0),"",S160/T160)</f>
        <v/>
      </c>
    </row>
    <row r="161">
      <c r="A161" s="37" t="n"/>
      <c r="B161" s="38" t="n"/>
      <c r="C161" s="39"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1" t="n"/>
      <c r="Y161" s="40" t="n"/>
      <c r="Z161" s="40" t="n"/>
      <c r="AA161" s="42">
        <f>IF(OR(D161="",D161=0),"",E161/D161)</f>
        <v/>
      </c>
      <c r="AB161" s="42">
        <f>IF(OR(F161="",F161=0),"",G161/F161)</f>
        <v/>
      </c>
      <c r="AC161" s="43">
        <f>IF(OR(L161="",L161=0),"",K161/L161)</f>
        <v/>
      </c>
      <c r="AD161" s="43">
        <f>IF(OR(T161="",T161=0),"",S161/T161)</f>
        <v/>
      </c>
    </row>
    <row r="162">
      <c r="A162" s="37" t="n"/>
      <c r="B162" s="38" t="n"/>
      <c r="C162" s="39"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1" t="n"/>
      <c r="Y162" s="40" t="n"/>
      <c r="Z162" s="40" t="n"/>
      <c r="AA162" s="42">
        <f>IF(OR(D162="",D162=0),"",E162/D162)</f>
        <v/>
      </c>
      <c r="AB162" s="42">
        <f>IF(OR(F162="",F162=0),"",G162/F162)</f>
        <v/>
      </c>
      <c r="AC162" s="43">
        <f>IF(OR(L162="",L162=0),"",K162/L162)</f>
        <v/>
      </c>
      <c r="AD162" s="43">
        <f>IF(OR(T162="",T162=0),"",S162/T162)</f>
        <v/>
      </c>
    </row>
    <row r="163">
      <c r="A163" s="37" t="n"/>
      <c r="B163" s="38" t="n"/>
      <c r="C163" s="39"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1" t="n"/>
      <c r="Y163" s="40" t="n"/>
      <c r="Z163" s="40" t="n"/>
      <c r="AA163" s="42">
        <f>IF(OR(D163="",D163=0),"",E163/D163)</f>
        <v/>
      </c>
      <c r="AB163" s="42">
        <f>IF(OR(F163="",F163=0),"",G163/F163)</f>
        <v/>
      </c>
      <c r="AC163" s="43">
        <f>IF(OR(L163="",L163=0),"",K163/L163)</f>
        <v/>
      </c>
      <c r="AD163" s="43">
        <f>IF(OR(T163="",T163=0),"",S163/T163)</f>
        <v/>
      </c>
    </row>
    <row r="164">
      <c r="A164" s="37" t="n"/>
      <c r="B164" s="38" t="n"/>
      <c r="C164" s="39"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1" t="n"/>
      <c r="Y164" s="40" t="n"/>
      <c r="Z164" s="40" t="n"/>
      <c r="AA164" s="42">
        <f>IF(OR(D164="",D164=0),"",E164/D164)</f>
        <v/>
      </c>
      <c r="AB164" s="42">
        <f>IF(OR(F164="",F164=0),"",G164/F164)</f>
        <v/>
      </c>
      <c r="AC164" s="43">
        <f>IF(OR(L164="",L164=0),"",K164/L164)</f>
        <v/>
      </c>
      <c r="AD164" s="43">
        <f>IF(OR(T164="",T164=0),"",S164/T164)</f>
        <v/>
      </c>
    </row>
    <row r="165">
      <c r="A165" s="37" t="n"/>
      <c r="B165" s="38" t="n"/>
      <c r="C165" s="39"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1" t="n"/>
      <c r="Y165" s="40" t="n"/>
      <c r="Z165" s="40" t="n"/>
      <c r="AA165" s="42">
        <f>IF(OR(D165="",D165=0),"",E165/D165)</f>
        <v/>
      </c>
      <c r="AB165" s="42">
        <f>IF(OR(F165="",F165=0),"",G165/F165)</f>
        <v/>
      </c>
      <c r="AC165" s="43">
        <f>IF(OR(L165="",L165=0),"",K165/L165)</f>
        <v/>
      </c>
      <c r="AD165" s="43">
        <f>IF(OR(T165="",T165=0),"",S165/T165)</f>
        <v/>
      </c>
    </row>
    <row r="166">
      <c r="A166" s="37" t="n"/>
      <c r="B166" s="38" t="n"/>
      <c r="C166" s="39"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1" t="n"/>
      <c r="Y166" s="40" t="n"/>
      <c r="Z166" s="40" t="n"/>
      <c r="AA166" s="42">
        <f>IF(OR(D166="",D166=0),"",E166/D166)</f>
        <v/>
      </c>
      <c r="AB166" s="42">
        <f>IF(OR(F166="",F166=0),"",G166/F166)</f>
        <v/>
      </c>
      <c r="AC166" s="43">
        <f>IF(OR(L166="",L166=0),"",K166/L166)</f>
        <v/>
      </c>
      <c r="AD166" s="43">
        <f>IF(OR(T166="",T166=0),"",S166/T166)</f>
        <v/>
      </c>
    </row>
    <row r="167">
      <c r="A167" s="37" t="n"/>
      <c r="B167" s="38" t="n"/>
      <c r="C167" s="39"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1" t="n"/>
      <c r="Y167" s="40" t="n"/>
      <c r="Z167" s="40" t="n"/>
      <c r="AA167" s="42">
        <f>IF(OR(D167="",D167=0),"",E167/D167)</f>
        <v/>
      </c>
      <c r="AB167" s="42">
        <f>IF(OR(F167="",F167=0),"",G167/F167)</f>
        <v/>
      </c>
      <c r="AC167" s="43">
        <f>IF(OR(L167="",L167=0),"",K167/L167)</f>
        <v/>
      </c>
      <c r="AD167" s="43">
        <f>IF(OR(T167="",T167=0),"",S167/T167)</f>
        <v/>
      </c>
    </row>
    <row r="168">
      <c r="A168" s="37" t="n"/>
      <c r="B168" s="38" t="n"/>
      <c r="C168" s="39"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1" t="n"/>
      <c r="Y168" s="40" t="n"/>
      <c r="Z168" s="40" t="n"/>
      <c r="AA168" s="42">
        <f>IF(OR(D168="",D168=0),"",E168/D168)</f>
        <v/>
      </c>
      <c r="AB168" s="42">
        <f>IF(OR(F168="",F168=0),"",G168/F168)</f>
        <v/>
      </c>
      <c r="AC168" s="43">
        <f>IF(OR(L168="",L168=0),"",K168/L168)</f>
        <v/>
      </c>
      <c r="AD168" s="43">
        <f>IF(OR(T168="",T168=0),"",S168/T168)</f>
        <v/>
      </c>
    </row>
    <row r="169">
      <c r="A169" s="37" t="n"/>
      <c r="B169" s="38" t="n"/>
      <c r="C169" s="39"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1" t="n"/>
      <c r="Y169" s="40" t="n"/>
      <c r="Z169" s="40" t="n"/>
      <c r="AA169" s="42">
        <f>IF(OR(D169="",D169=0),"",E169/D169)</f>
        <v/>
      </c>
      <c r="AB169" s="42">
        <f>IF(OR(F169="",F169=0),"",G169/F169)</f>
        <v/>
      </c>
      <c r="AC169" s="43">
        <f>IF(OR(L169="",L169=0),"",K169/L169)</f>
        <v/>
      </c>
      <c r="AD169" s="43">
        <f>IF(OR(T169="",T169=0),"",S169/T169)</f>
        <v/>
      </c>
    </row>
    <row r="170">
      <c r="A170" s="37" t="n"/>
      <c r="B170" s="38" t="n"/>
      <c r="C170" s="39"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1" t="n"/>
      <c r="Y170" s="40" t="n"/>
      <c r="Z170" s="40" t="n"/>
      <c r="AA170" s="42">
        <f>IF(OR(D170="",D170=0),"",E170/D170)</f>
        <v/>
      </c>
      <c r="AB170" s="42">
        <f>IF(OR(F170="",F170=0),"",G170/F170)</f>
        <v/>
      </c>
      <c r="AC170" s="43">
        <f>IF(OR(L170="",L170=0),"",K170/L170)</f>
        <v/>
      </c>
      <c r="AD170" s="43">
        <f>IF(OR(T170="",T170=0),"",S170/T170)</f>
        <v/>
      </c>
    </row>
    <row r="171">
      <c r="A171" s="37" t="n"/>
      <c r="B171" s="38" t="n"/>
      <c r="C171" s="39"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1" t="n"/>
      <c r="Y171" s="40" t="n"/>
      <c r="Z171" s="40" t="n"/>
      <c r="AA171" s="42">
        <f>IF(OR(D171="",D171=0),"",E171/D171)</f>
        <v/>
      </c>
      <c r="AB171" s="42">
        <f>IF(OR(F171="",F171=0),"",G171/F171)</f>
        <v/>
      </c>
      <c r="AC171" s="43">
        <f>IF(OR(L171="",L171=0),"",K171/L171)</f>
        <v/>
      </c>
      <c r="AD171" s="43">
        <f>IF(OR(T171="",T171=0),"",S171/T171)</f>
        <v/>
      </c>
    </row>
    <row r="172">
      <c r="A172" s="37" t="n"/>
      <c r="B172" s="38" t="n"/>
      <c r="C172" s="39"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1" t="n"/>
      <c r="Y172" s="40" t="n"/>
      <c r="Z172" s="40" t="n"/>
      <c r="AA172" s="42">
        <f>IF(OR(D172="",D172=0),"",E172/D172)</f>
        <v/>
      </c>
      <c r="AB172" s="42">
        <f>IF(OR(F172="",F172=0),"",G172/F172)</f>
        <v/>
      </c>
      <c r="AC172" s="43">
        <f>IF(OR(L172="",L172=0),"",K172/L172)</f>
        <v/>
      </c>
      <c r="AD172" s="43">
        <f>IF(OR(T172="",T172=0),"",S172/T172)</f>
        <v/>
      </c>
    </row>
    <row r="173">
      <c r="A173" s="37" t="n"/>
      <c r="B173" s="38" t="n"/>
      <c r="C173" s="39"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1" t="n"/>
      <c r="Y173" s="40" t="n"/>
      <c r="Z173" s="40" t="n"/>
      <c r="AA173" s="42">
        <f>IF(OR(D173="",D173=0),"",E173/D173)</f>
        <v/>
      </c>
      <c r="AB173" s="42">
        <f>IF(OR(F173="",F173=0),"",G173/F173)</f>
        <v/>
      </c>
      <c r="AC173" s="43">
        <f>IF(OR(L173="",L173=0),"",K173/L173)</f>
        <v/>
      </c>
      <c r="AD173" s="43">
        <f>IF(OR(T173="",T173=0),"",S173/T173)</f>
        <v/>
      </c>
    </row>
    <row r="174">
      <c r="A174" s="37" t="n"/>
      <c r="B174" s="38" t="n"/>
      <c r="C174" s="39"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1" t="n"/>
      <c r="Y174" s="40" t="n"/>
      <c r="Z174" s="40" t="n"/>
      <c r="AA174" s="42">
        <f>IF(OR(D174="",D174=0),"",E174/D174)</f>
        <v/>
      </c>
      <c r="AB174" s="42">
        <f>IF(OR(F174="",F174=0),"",G174/F174)</f>
        <v/>
      </c>
      <c r="AC174" s="43">
        <f>IF(OR(L174="",L174=0),"",K174/L174)</f>
        <v/>
      </c>
      <c r="AD174" s="43">
        <f>IF(OR(T174="",T174=0),"",S174/T174)</f>
        <v/>
      </c>
    </row>
    <row r="175">
      <c r="A175" s="37" t="n"/>
      <c r="B175" s="38" t="n"/>
      <c r="C175" s="39"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1" t="n"/>
      <c r="Y175" s="40" t="n"/>
      <c r="Z175" s="40" t="n"/>
      <c r="AA175" s="42">
        <f>IF(OR(D175="",D175=0),"",E175/D175)</f>
        <v/>
      </c>
      <c r="AB175" s="42">
        <f>IF(OR(F175="",F175=0),"",G175/F175)</f>
        <v/>
      </c>
      <c r="AC175" s="43">
        <f>IF(OR(L175="",L175=0),"",K175/L175)</f>
        <v/>
      </c>
      <c r="AD175" s="43">
        <f>IF(OR(T175="",T175=0),"",S175/T175)</f>
        <v/>
      </c>
    </row>
    <row r="176">
      <c r="A176" s="37" t="n"/>
      <c r="B176" s="38" t="n"/>
      <c r="C176" s="39"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1" t="n"/>
      <c r="Y176" s="40" t="n"/>
      <c r="Z176" s="40" t="n"/>
      <c r="AA176" s="42">
        <f>IF(OR(D176="",D176=0),"",E176/D176)</f>
        <v/>
      </c>
      <c r="AB176" s="42">
        <f>IF(OR(F176="",F176=0),"",G176/F176)</f>
        <v/>
      </c>
      <c r="AC176" s="43">
        <f>IF(OR(L176="",L176=0),"",K176/L176)</f>
        <v/>
      </c>
      <c r="AD176" s="43">
        <f>IF(OR(T176="",T176=0),"",S176/T176)</f>
        <v/>
      </c>
    </row>
    <row r="177">
      <c r="A177" s="37" t="n"/>
      <c r="B177" s="38" t="n"/>
      <c r="C177" s="39"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1" t="n"/>
      <c r="Y177" s="40" t="n"/>
      <c r="Z177" s="40" t="n"/>
      <c r="AA177" s="42">
        <f>IF(OR(D177="",D177=0),"",E177/D177)</f>
        <v/>
      </c>
      <c r="AB177" s="42">
        <f>IF(OR(F177="",F177=0),"",G177/F177)</f>
        <v/>
      </c>
      <c r="AC177" s="43">
        <f>IF(OR(L177="",L177=0),"",K177/L177)</f>
        <v/>
      </c>
      <c r="AD177" s="43">
        <f>IF(OR(T177="",T177=0),"",S177/T177)</f>
        <v/>
      </c>
    </row>
    <row r="178">
      <c r="A178" s="37" t="n"/>
      <c r="B178" s="38" t="n"/>
      <c r="C178" s="39"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1" t="n"/>
      <c r="Y178" s="40" t="n"/>
      <c r="Z178" s="40" t="n"/>
      <c r="AA178" s="42">
        <f>IF(OR(D178="",D178=0),"",E178/D178)</f>
        <v/>
      </c>
      <c r="AB178" s="42">
        <f>IF(OR(F178="",F178=0),"",G178/F178)</f>
        <v/>
      </c>
      <c r="AC178" s="43">
        <f>IF(OR(L178="",L178=0),"",K178/L178)</f>
        <v/>
      </c>
      <c r="AD178" s="43">
        <f>IF(OR(T178="",T178=0),"",S178/T178)</f>
        <v/>
      </c>
    </row>
    <row r="179">
      <c r="A179" s="37" t="n"/>
      <c r="B179" s="38" t="n"/>
      <c r="C179" s="39"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1" t="n"/>
      <c r="Y179" s="40" t="n"/>
      <c r="Z179" s="40" t="n"/>
      <c r="AA179" s="42">
        <f>IF(OR(D179="",D179=0),"",E179/D179)</f>
        <v/>
      </c>
      <c r="AB179" s="42">
        <f>IF(OR(F179="",F179=0),"",G179/F179)</f>
        <v/>
      </c>
      <c r="AC179" s="43">
        <f>IF(OR(L179="",L179=0),"",K179/L179)</f>
        <v/>
      </c>
      <c r="AD179" s="43">
        <f>IF(OR(T179="",T179=0),"",S179/T179)</f>
        <v/>
      </c>
    </row>
    <row r="180">
      <c r="A180" s="37" t="n"/>
      <c r="B180" s="38" t="n"/>
      <c r="C180" s="39"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1" t="n"/>
      <c r="Y180" s="40" t="n"/>
      <c r="Z180" s="40" t="n"/>
      <c r="AA180" s="42">
        <f>IF(OR(D180="",D180=0),"",E180/D180)</f>
        <v/>
      </c>
      <c r="AB180" s="42">
        <f>IF(OR(F180="",F180=0),"",G180/F180)</f>
        <v/>
      </c>
      <c r="AC180" s="43">
        <f>IF(OR(L180="",L180=0),"",K180/L180)</f>
        <v/>
      </c>
      <c r="AD180" s="43">
        <f>IF(OR(T180="",T180=0),"",S180/T180)</f>
        <v/>
      </c>
    </row>
    <row r="181">
      <c r="A181" s="37" t="n"/>
      <c r="B181" s="38" t="n"/>
      <c r="C181" s="39"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1" t="n"/>
      <c r="Y181" s="40" t="n"/>
      <c r="Z181" s="40" t="n"/>
      <c r="AA181" s="42">
        <f>IF(OR(D181="",D181=0),"",E181/D181)</f>
        <v/>
      </c>
      <c r="AB181" s="42">
        <f>IF(OR(F181="",F181=0),"",G181/F181)</f>
        <v/>
      </c>
      <c r="AC181" s="43">
        <f>IF(OR(L181="",L181=0),"",K181/L181)</f>
        <v/>
      </c>
      <c r="AD181" s="43">
        <f>IF(OR(T181="",T181=0),"",S181/T181)</f>
        <v/>
      </c>
    </row>
    <row r="182">
      <c r="A182" s="37" t="n"/>
      <c r="B182" s="38" t="n"/>
      <c r="C182" s="39"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1" t="n"/>
      <c r="Y182" s="40" t="n"/>
      <c r="Z182" s="40" t="n"/>
      <c r="AA182" s="42">
        <f>IF(OR(D182="",D182=0),"",E182/D182)</f>
        <v/>
      </c>
      <c r="AB182" s="42">
        <f>IF(OR(F182="",F182=0),"",G182/F182)</f>
        <v/>
      </c>
      <c r="AC182" s="43">
        <f>IF(OR(L182="",L182=0),"",K182/L182)</f>
        <v/>
      </c>
      <c r="AD182" s="43">
        <f>IF(OR(T182="",T182=0),"",S182/T182)</f>
        <v/>
      </c>
    </row>
    <row r="183">
      <c r="A183" s="37" t="n"/>
      <c r="B183" s="38" t="n"/>
      <c r="C183" s="39"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1" t="n"/>
      <c r="Y183" s="40" t="n"/>
      <c r="Z183" s="40" t="n"/>
      <c r="AA183" s="42">
        <f>IF(OR(D183="",D183=0),"",E183/D183)</f>
        <v/>
      </c>
      <c r="AB183" s="42">
        <f>IF(OR(F183="",F183=0),"",G183/F183)</f>
        <v/>
      </c>
      <c r="AC183" s="43">
        <f>IF(OR(L183="",L183=0),"",K183/L183)</f>
        <v/>
      </c>
      <c r="AD183" s="43">
        <f>IF(OR(T183="",T183=0),"",S183/T183)</f>
        <v/>
      </c>
    </row>
    <row r="184">
      <c r="A184" s="37" t="n"/>
      <c r="B184" s="38" t="n"/>
      <c r="C184" s="39"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1" t="n"/>
      <c r="Y184" s="40" t="n"/>
      <c r="Z184" s="40" t="n"/>
      <c r="AA184" s="42">
        <f>IF(OR(D184="",D184=0),"",E184/D184)</f>
        <v/>
      </c>
      <c r="AB184" s="42">
        <f>IF(OR(F184="",F184=0),"",G184/F184)</f>
        <v/>
      </c>
      <c r="AC184" s="43">
        <f>IF(OR(L184="",L184=0),"",K184/L184)</f>
        <v/>
      </c>
      <c r="AD184" s="43">
        <f>IF(OR(T184="",T184=0),"",S184/T184)</f>
        <v/>
      </c>
    </row>
    <row r="185">
      <c r="A185" s="37" t="n"/>
      <c r="B185" s="38" t="n"/>
      <c r="C185" s="39"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1" t="n"/>
      <c r="Y185" s="40" t="n"/>
      <c r="Z185" s="40" t="n"/>
      <c r="AA185" s="42">
        <f>IF(OR(D185="",D185=0),"",E185/D185)</f>
        <v/>
      </c>
      <c r="AB185" s="42">
        <f>IF(OR(F185="",F185=0),"",G185/F185)</f>
        <v/>
      </c>
      <c r="AC185" s="43">
        <f>IF(OR(L185="",L185=0),"",K185/L185)</f>
        <v/>
      </c>
      <c r="AD185" s="43">
        <f>IF(OR(T185="",T185=0),"",S185/T185)</f>
        <v/>
      </c>
    </row>
    <row r="186">
      <c r="A186" s="37" t="n"/>
      <c r="B186" s="38" t="n"/>
      <c r="C186" s="39"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1" t="n"/>
      <c r="Y186" s="40" t="n"/>
      <c r="Z186" s="40" t="n"/>
      <c r="AA186" s="42">
        <f>IF(OR(D186="",D186=0),"",E186/D186)</f>
        <v/>
      </c>
      <c r="AB186" s="42">
        <f>IF(OR(F186="",F186=0),"",G186/F186)</f>
        <v/>
      </c>
      <c r="AC186" s="43">
        <f>IF(OR(L186="",L186=0),"",K186/L186)</f>
        <v/>
      </c>
      <c r="AD186" s="43">
        <f>IF(OR(T186="",T186=0),"",S186/T186)</f>
        <v/>
      </c>
    </row>
    <row r="187">
      <c r="A187" s="37" t="n"/>
      <c r="B187" s="38" t="n"/>
      <c r="C187" s="39"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1" t="n"/>
      <c r="Y187" s="40" t="n"/>
      <c r="Z187" s="40" t="n"/>
      <c r="AA187" s="42">
        <f>IF(OR(D187="",D187=0),"",E187/D187)</f>
        <v/>
      </c>
      <c r="AB187" s="42">
        <f>IF(OR(F187="",F187=0),"",G187/F187)</f>
        <v/>
      </c>
      <c r="AC187" s="43">
        <f>IF(OR(L187="",L187=0),"",K187/L187)</f>
        <v/>
      </c>
      <c r="AD187" s="43">
        <f>IF(OR(T187="",T187=0),"",S187/T187)</f>
        <v/>
      </c>
    </row>
    <row r="188">
      <c r="A188" s="37" t="n"/>
      <c r="B188" s="38" t="n"/>
      <c r="C188" s="39"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1" t="n"/>
      <c r="Y188" s="40" t="n"/>
      <c r="Z188" s="40" t="n"/>
      <c r="AA188" s="42">
        <f>IF(OR(D188="",D188=0),"",E188/D188)</f>
        <v/>
      </c>
      <c r="AB188" s="42">
        <f>IF(OR(F188="",F188=0),"",G188/F188)</f>
        <v/>
      </c>
      <c r="AC188" s="43">
        <f>IF(OR(L188="",L188=0),"",K188/L188)</f>
        <v/>
      </c>
      <c r="AD188" s="43">
        <f>IF(OR(T188="",T188=0),"",S188/T188)</f>
        <v/>
      </c>
    </row>
    <row r="189">
      <c r="A189" s="37" t="n"/>
      <c r="B189" s="38" t="n"/>
      <c r="C189" s="39"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1" t="n"/>
      <c r="Y189" s="40" t="n"/>
      <c r="Z189" s="40" t="n"/>
      <c r="AA189" s="42">
        <f>IF(OR(D189="",D189=0),"",E189/D189)</f>
        <v/>
      </c>
      <c r="AB189" s="42">
        <f>IF(OR(F189="",F189=0),"",G189/F189)</f>
        <v/>
      </c>
      <c r="AC189" s="43">
        <f>IF(OR(L189="",L189=0),"",K189/L189)</f>
        <v/>
      </c>
      <c r="AD189" s="43">
        <f>IF(OR(T189="",T189=0),"",S189/T189)</f>
        <v/>
      </c>
    </row>
    <row r="190">
      <c r="A190" s="37" t="n"/>
      <c r="B190" s="38" t="n"/>
      <c r="C190" s="39"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1" t="n"/>
      <c r="Y190" s="40" t="n"/>
      <c r="Z190" s="40" t="n"/>
      <c r="AA190" s="42">
        <f>IF(OR(D190="",D190=0),"",E190/D190)</f>
        <v/>
      </c>
      <c r="AB190" s="42">
        <f>IF(OR(F190="",F190=0),"",G190/F190)</f>
        <v/>
      </c>
      <c r="AC190" s="43">
        <f>IF(OR(L190="",L190=0),"",K190/L190)</f>
        <v/>
      </c>
      <c r="AD190" s="43">
        <f>IF(OR(T190="",T190=0),"",S190/T190)</f>
        <v/>
      </c>
    </row>
    <row r="191">
      <c r="A191" s="37" t="n"/>
      <c r="B191" s="38" t="n"/>
      <c r="C191" s="39"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1" t="n"/>
      <c r="Y191" s="40" t="n"/>
      <c r="Z191" s="40" t="n"/>
      <c r="AA191" s="42">
        <f>IF(OR(D191="",D191=0),"",E191/D191)</f>
        <v/>
      </c>
      <c r="AB191" s="42">
        <f>IF(OR(F191="",F191=0),"",G191/F191)</f>
        <v/>
      </c>
      <c r="AC191" s="43">
        <f>IF(OR(L191="",L191=0),"",K191/L191)</f>
        <v/>
      </c>
      <c r="AD191" s="43">
        <f>IF(OR(T191="",T191=0),"",S191/T191)</f>
        <v/>
      </c>
    </row>
    <row r="192">
      <c r="A192" s="37" t="n"/>
      <c r="B192" s="38" t="n"/>
      <c r="C192" s="39"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1" t="n"/>
      <c r="Y192" s="40" t="n"/>
      <c r="Z192" s="40" t="n"/>
      <c r="AA192" s="42">
        <f>IF(OR(D192="",D192=0),"",E192/D192)</f>
        <v/>
      </c>
      <c r="AB192" s="42">
        <f>IF(OR(F192="",F192=0),"",G192/F192)</f>
        <v/>
      </c>
      <c r="AC192" s="43">
        <f>IF(OR(L192="",L192=0),"",K192/L192)</f>
        <v/>
      </c>
      <c r="AD192" s="43">
        <f>IF(OR(T192="",T192=0),"",S192/T192)</f>
        <v/>
      </c>
    </row>
    <row r="193">
      <c r="A193" s="37" t="n"/>
      <c r="B193" s="38" t="n"/>
      <c r="C193" s="39"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1" t="n"/>
      <c r="Y193" s="40" t="n"/>
      <c r="Z193" s="40" t="n"/>
      <c r="AA193" s="42">
        <f>IF(OR(D193="",D193=0),"",E193/D193)</f>
        <v/>
      </c>
      <c r="AB193" s="42">
        <f>IF(OR(F193="",F193=0),"",G193/F193)</f>
        <v/>
      </c>
      <c r="AC193" s="43">
        <f>IF(OR(L193="",L193=0),"",K193/L193)</f>
        <v/>
      </c>
      <c r="AD193" s="43">
        <f>IF(OR(T193="",T193=0),"",S193/T193)</f>
        <v/>
      </c>
    </row>
    <row r="194">
      <c r="A194" s="37" t="n"/>
      <c r="B194" s="38" t="n"/>
      <c r="C194" s="39"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1" t="n"/>
      <c r="Y194" s="40" t="n"/>
      <c r="Z194" s="40" t="n"/>
      <c r="AA194" s="42">
        <f>IF(OR(D194="",D194=0),"",E194/D194)</f>
        <v/>
      </c>
      <c r="AB194" s="42">
        <f>IF(OR(F194="",F194=0),"",G194/F194)</f>
        <v/>
      </c>
      <c r="AC194" s="43">
        <f>IF(OR(L194="",L194=0),"",K194/L194)</f>
        <v/>
      </c>
      <c r="AD194" s="43">
        <f>IF(OR(T194="",T194=0),"",S194/T194)</f>
        <v/>
      </c>
    </row>
    <row r="195">
      <c r="A195" s="37" t="n"/>
      <c r="B195" s="38" t="n"/>
      <c r="C195" s="39"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1" t="n"/>
      <c r="Y195" s="40" t="n"/>
      <c r="Z195" s="40" t="n"/>
      <c r="AA195" s="42">
        <f>IF(OR(D195="",D195=0),"",E195/D195)</f>
        <v/>
      </c>
      <c r="AB195" s="42">
        <f>IF(OR(F195="",F195=0),"",G195/F195)</f>
        <v/>
      </c>
      <c r="AC195" s="43">
        <f>IF(OR(L195="",L195=0),"",K195/L195)</f>
        <v/>
      </c>
      <c r="AD195" s="43">
        <f>IF(OR(T195="",T195=0),"",S195/T195)</f>
        <v/>
      </c>
    </row>
    <row r="196">
      <c r="A196" s="37" t="n"/>
      <c r="B196" s="38" t="n"/>
      <c r="C196" s="39"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1" t="n"/>
      <c r="Y196" s="40" t="n"/>
      <c r="Z196" s="40" t="n"/>
      <c r="AA196" s="42">
        <f>IF(OR(D196="",D196=0),"",E196/D196)</f>
        <v/>
      </c>
      <c r="AB196" s="42">
        <f>IF(OR(F196="",F196=0),"",G196/F196)</f>
        <v/>
      </c>
      <c r="AC196" s="43">
        <f>IF(OR(L196="",L196=0),"",K196/L196)</f>
        <v/>
      </c>
      <c r="AD196" s="43">
        <f>IF(OR(T196="",T196=0),"",S196/T196)</f>
        <v/>
      </c>
    </row>
    <row r="197">
      <c r="A197" s="37" t="n"/>
      <c r="B197" s="38" t="n"/>
      <c r="C197" s="39"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1" t="n"/>
      <c r="Y197" s="40" t="n"/>
      <c r="Z197" s="40" t="n"/>
      <c r="AA197" s="42">
        <f>IF(OR(D197="",D197=0),"",E197/D197)</f>
        <v/>
      </c>
      <c r="AB197" s="42">
        <f>IF(OR(F197="",F197=0),"",G197/F197)</f>
        <v/>
      </c>
      <c r="AC197" s="43">
        <f>IF(OR(L197="",L197=0),"",K197/L197)</f>
        <v/>
      </c>
      <c r="AD197" s="43">
        <f>IF(OR(T197="",T197=0),"",S197/T197)</f>
        <v/>
      </c>
    </row>
    <row r="198">
      <c r="A198" s="37" t="n"/>
      <c r="B198" s="38" t="n"/>
      <c r="C198" s="39"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1" t="n"/>
      <c r="Y198" s="40" t="n"/>
      <c r="Z198" s="40" t="n"/>
      <c r="AA198" s="42">
        <f>IF(OR(D198="",D198=0),"",E198/D198)</f>
        <v/>
      </c>
      <c r="AB198" s="42">
        <f>IF(OR(F198="",F198=0),"",G198/F198)</f>
        <v/>
      </c>
      <c r="AC198" s="43">
        <f>IF(OR(L198="",L198=0),"",K198/L198)</f>
        <v/>
      </c>
      <c r="AD198" s="43">
        <f>IF(OR(T198="",T198=0),"",S198/T198)</f>
        <v/>
      </c>
    </row>
    <row r="199">
      <c r="A199" s="37" t="n"/>
      <c r="B199" s="38" t="n"/>
      <c r="C199" s="39"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1" t="n"/>
      <c r="Y199" s="40" t="n"/>
      <c r="Z199" s="40" t="n"/>
      <c r="AA199" s="42">
        <f>IF(OR(D199="",D199=0),"",E199/D199)</f>
        <v/>
      </c>
      <c r="AB199" s="42">
        <f>IF(OR(F199="",F199=0),"",G199/F199)</f>
        <v/>
      </c>
      <c r="AC199" s="43">
        <f>IF(OR(L199="",L199=0),"",K199/L199)</f>
        <v/>
      </c>
      <c r="AD199" s="43">
        <f>IF(OR(T199="",T199=0),"",S199/T199)</f>
        <v/>
      </c>
    </row>
    <row r="200">
      <c r="A200" s="37" t="n"/>
      <c r="B200" s="38" t="n"/>
      <c r="C200" s="39"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1" t="n"/>
      <c r="Y200" s="40" t="n"/>
      <c r="Z200" s="40" t="n"/>
      <c r="AA200" s="42">
        <f>IF(OR(D200="",D200=0),"",E200/D200)</f>
        <v/>
      </c>
      <c r="AB200" s="42">
        <f>IF(OR(F200="",F200=0),"",G200/F200)</f>
        <v/>
      </c>
      <c r="AC200" s="43">
        <f>IF(OR(L200="",L200=0),"",K200/L200)</f>
        <v/>
      </c>
      <c r="AD200" s="43">
        <f>IF(OR(T200="",T200=0),"",S200/T200)</f>
        <v/>
      </c>
    </row>
    <row r="201">
      <c r="A201" s="37" t="n"/>
      <c r="B201" s="38" t="n"/>
      <c r="C201" s="39"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1" t="n"/>
      <c r="Y201" s="40" t="n"/>
      <c r="Z201" s="40" t="n"/>
      <c r="AA201" s="42">
        <f>IF(OR(D201="",D201=0),"",E201/D201)</f>
        <v/>
      </c>
      <c r="AB201" s="42">
        <f>IF(OR(F201="",F201=0),"",G201/F201)</f>
        <v/>
      </c>
      <c r="AC201" s="43">
        <f>IF(OR(L201="",L201=0),"",K201/L201)</f>
        <v/>
      </c>
      <c r="AD201" s="43">
        <f>IF(OR(T201="",T201=0),"",S201/T201)</f>
        <v/>
      </c>
    </row>
    <row r="202">
      <c r="A202" s="37" t="n"/>
      <c r="B202" s="38" t="n"/>
      <c r="C202" s="39"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1" t="n"/>
      <c r="Y202" s="40" t="n"/>
      <c r="Z202" s="40" t="n"/>
      <c r="AA202" s="42">
        <f>IF(OR(D202="",D202=0),"",E202/D202)</f>
        <v/>
      </c>
      <c r="AB202" s="42">
        <f>IF(OR(F202="",F202=0),"",G202/F202)</f>
        <v/>
      </c>
      <c r="AC202" s="43">
        <f>IF(OR(L202="",L202=0),"",K202/L202)</f>
        <v/>
      </c>
      <c r="AD202" s="43">
        <f>IF(OR(T202="",T202=0),"",S202/T202)</f>
        <v/>
      </c>
    </row>
    <row r="203">
      <c r="A203" s="37" t="n"/>
      <c r="B203" s="38" t="n"/>
      <c r="C203" s="39"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1" t="n"/>
      <c r="Y203" s="40" t="n"/>
      <c r="Z203" s="40" t="n"/>
      <c r="AA203" s="42">
        <f>IF(OR(D203="",D203=0),"",E203/D203)</f>
        <v/>
      </c>
      <c r="AB203" s="42">
        <f>IF(OR(F203="",F203=0),"",G203/F203)</f>
        <v/>
      </c>
      <c r="AC203" s="43">
        <f>IF(OR(L203="",L203=0),"",K203/L203)</f>
        <v/>
      </c>
      <c r="AD203" s="43">
        <f>IF(OR(T203="",T203=0),"",S203/T203)</f>
        <v/>
      </c>
    </row>
    <row r="204">
      <c r="A204" s="37" t="n"/>
      <c r="B204" s="38" t="n"/>
      <c r="C204" s="39"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1" t="n"/>
      <c r="Y204" s="40" t="n"/>
      <c r="Z204" s="40" t="n"/>
      <c r="AA204" s="42">
        <f>IF(OR(D204="",D204=0),"",E204/D204)</f>
        <v/>
      </c>
      <c r="AB204" s="42">
        <f>IF(OR(F204="",F204=0),"",G204/F204)</f>
        <v/>
      </c>
      <c r="AC204" s="43">
        <f>IF(OR(L204="",L204=0),"",K204/L204)</f>
        <v/>
      </c>
      <c r="AD204" s="43">
        <f>IF(OR(T204="",T204=0),"",S204/T204)</f>
        <v/>
      </c>
    </row>
    <row r="205">
      <c r="A205" s="37" t="n"/>
      <c r="B205" s="38" t="n"/>
      <c r="C205" s="39"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1" t="n"/>
      <c r="Y205" s="40" t="n"/>
      <c r="Z205" s="40" t="n"/>
      <c r="AA205" s="42">
        <f>IF(OR(D205="",D205=0),"",E205/D205)</f>
        <v/>
      </c>
      <c r="AB205" s="42">
        <f>IF(OR(F205="",F205=0),"",G205/F205)</f>
        <v/>
      </c>
      <c r="AC205" s="43">
        <f>IF(OR(L205="",L205=0),"",K205/L205)</f>
        <v/>
      </c>
      <c r="AD205" s="43">
        <f>IF(OR(T205="",T205=0),"",S205/T205)</f>
        <v/>
      </c>
    </row>
    <row r="206">
      <c r="A206" s="37" t="n"/>
      <c r="B206" s="38" t="n"/>
      <c r="C206" s="39"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1" t="n"/>
      <c r="Y206" s="40" t="n"/>
      <c r="Z206" s="40" t="n"/>
      <c r="AA206" s="42">
        <f>IF(OR(D206="",D206=0),"",E206/D206)</f>
        <v/>
      </c>
      <c r="AB206" s="42">
        <f>IF(OR(F206="",F206=0),"",G206/F206)</f>
        <v/>
      </c>
      <c r="AC206" s="43">
        <f>IF(OR(L206="",L206=0),"",K206/L206)</f>
        <v/>
      </c>
      <c r="AD206" s="43">
        <f>IF(OR(T206="",T206=0),"",S206/T206)</f>
        <v/>
      </c>
    </row>
    <row r="207">
      <c r="A207" s="37" t="n"/>
      <c r="B207" s="38" t="n"/>
      <c r="C207" s="39"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1" t="n"/>
      <c r="Y207" s="40" t="n"/>
      <c r="Z207" s="40" t="n"/>
      <c r="AA207" s="42">
        <f>IF(OR(D207="",D207=0),"",E207/D207)</f>
        <v/>
      </c>
      <c r="AB207" s="42">
        <f>IF(OR(F207="",F207=0),"",G207/F207)</f>
        <v/>
      </c>
      <c r="AC207" s="43">
        <f>IF(OR(L207="",L207=0),"",K207/L207)</f>
        <v/>
      </c>
      <c r="AD207" s="43">
        <f>IF(OR(T207="",T207=0),"",S207/T207)</f>
        <v/>
      </c>
    </row>
    <row r="208">
      <c r="A208" s="37" t="n"/>
      <c r="B208" s="38" t="n"/>
      <c r="C208" s="39"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1" t="n"/>
      <c r="Y208" s="40" t="n"/>
      <c r="Z208" s="40" t="n"/>
      <c r="AA208" s="42">
        <f>IF(OR(D208="",D208=0),"",E208/D208)</f>
        <v/>
      </c>
      <c r="AB208" s="42">
        <f>IF(OR(F208="",F208=0),"",G208/F208)</f>
        <v/>
      </c>
      <c r="AC208" s="43">
        <f>IF(OR(L208="",L208=0),"",K208/L208)</f>
        <v/>
      </c>
      <c r="AD208" s="43">
        <f>IF(OR(T208="",T208=0),"",S208/T208)</f>
        <v/>
      </c>
    </row>
    <row r="209">
      <c r="A209" s="37" t="n"/>
      <c r="B209" s="38" t="n"/>
      <c r="C209" s="39"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1" t="n"/>
      <c r="Y209" s="40" t="n"/>
      <c r="Z209" s="40" t="n"/>
      <c r="AA209" s="42">
        <f>IF(OR(D209="",D209=0),"",E209/D209)</f>
        <v/>
      </c>
      <c r="AB209" s="42">
        <f>IF(OR(F209="",F209=0),"",G209/F209)</f>
        <v/>
      </c>
      <c r="AC209" s="43">
        <f>IF(OR(L209="",L209=0),"",K209/L209)</f>
        <v/>
      </c>
      <c r="AD209" s="43">
        <f>IF(OR(T209="",T209=0),"",S209/T209)</f>
        <v/>
      </c>
    </row>
    <row r="210">
      <c r="A210" s="37" t="n"/>
      <c r="B210" s="38" t="n"/>
      <c r="C210" s="39"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1" t="n"/>
      <c r="Y210" s="40" t="n"/>
      <c r="Z210" s="40" t="n"/>
      <c r="AA210" s="42">
        <f>IF(OR(D210="",D210=0),"",E210/D210)</f>
        <v/>
      </c>
      <c r="AB210" s="42">
        <f>IF(OR(F210="",F210=0),"",G210/F210)</f>
        <v/>
      </c>
      <c r="AC210" s="43">
        <f>IF(OR(L210="",L210=0),"",K210/L210)</f>
        <v/>
      </c>
      <c r="AD210" s="43">
        <f>IF(OR(T210="",T210=0),"",S210/T210)</f>
        <v/>
      </c>
    </row>
    <row r="211">
      <c r="A211" s="37" t="n"/>
      <c r="B211" s="38" t="n"/>
      <c r="C211" s="39"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1" t="n"/>
      <c r="Y211" s="40" t="n"/>
      <c r="Z211" s="40" t="n"/>
      <c r="AA211" s="42">
        <f>IF(OR(D211="",D211=0),"",E211/D211)</f>
        <v/>
      </c>
      <c r="AB211" s="42">
        <f>IF(OR(F211="",F211=0),"",G211/F211)</f>
        <v/>
      </c>
      <c r="AC211" s="43">
        <f>IF(OR(L211="",L211=0),"",K211/L211)</f>
        <v/>
      </c>
      <c r="AD211" s="43">
        <f>IF(OR(T211="",T211=0),"",S211/T211)</f>
        <v/>
      </c>
    </row>
    <row r="212">
      <c r="A212" s="37" t="n"/>
      <c r="B212" s="38" t="n"/>
      <c r="C212" s="39"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1" t="n"/>
      <c r="Y212" s="40" t="n"/>
      <c r="Z212" s="40" t="n"/>
      <c r="AA212" s="42">
        <f>IF(OR(D212="",D212=0),"",E212/D212)</f>
        <v/>
      </c>
      <c r="AB212" s="42">
        <f>IF(OR(F212="",F212=0),"",G212/F212)</f>
        <v/>
      </c>
      <c r="AC212" s="43">
        <f>IF(OR(L212="",L212=0),"",K212/L212)</f>
        <v/>
      </c>
      <c r="AD212" s="43">
        <f>IF(OR(T212="",T212=0),"",S212/T212)</f>
        <v/>
      </c>
    </row>
    <row r="213">
      <c r="A213" s="37" t="n"/>
      <c r="B213" s="38" t="n"/>
      <c r="C213" s="39"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1" t="n"/>
      <c r="Y213" s="40" t="n"/>
      <c r="Z213" s="40" t="n"/>
      <c r="AA213" s="42">
        <f>IF(OR(D213="",D213=0),"",E213/D213)</f>
        <v/>
      </c>
      <c r="AB213" s="42">
        <f>IF(OR(F213="",F213=0),"",G213/F213)</f>
        <v/>
      </c>
      <c r="AC213" s="43">
        <f>IF(OR(L213="",L213=0),"",K213/L213)</f>
        <v/>
      </c>
      <c r="AD213" s="43">
        <f>IF(OR(T213="",T213=0),"",S213/T213)</f>
        <v/>
      </c>
    </row>
    <row r="214">
      <c r="A214" s="37" t="n"/>
      <c r="B214" s="38" t="n"/>
      <c r="C214" s="39"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1" t="n"/>
      <c r="Y214" s="40" t="n"/>
      <c r="Z214" s="40" t="n"/>
      <c r="AA214" s="42">
        <f>IF(OR(D214="",D214=0),"",E214/D214)</f>
        <v/>
      </c>
      <c r="AB214" s="42">
        <f>IF(OR(F214="",F214=0),"",G214/F214)</f>
        <v/>
      </c>
      <c r="AC214" s="43">
        <f>IF(OR(L214="",L214=0),"",K214/L214)</f>
        <v/>
      </c>
      <c r="AD214" s="43">
        <f>IF(OR(T214="",T214=0),"",S214/T214)</f>
        <v/>
      </c>
    </row>
    <row r="215">
      <c r="A215" s="37" t="n"/>
      <c r="B215" s="38" t="n"/>
      <c r="C215" s="39"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1" t="n"/>
      <c r="Y215" s="40" t="n"/>
      <c r="Z215" s="40" t="n"/>
      <c r="AA215" s="42">
        <f>IF(OR(D215="",D215=0),"",E215/D215)</f>
        <v/>
      </c>
      <c r="AB215" s="42">
        <f>IF(OR(F215="",F215=0),"",G215/F215)</f>
        <v/>
      </c>
      <c r="AC215" s="43">
        <f>IF(OR(L215="",L215=0),"",K215/L215)</f>
        <v/>
      </c>
      <c r="AD215" s="43">
        <f>IF(OR(T215="",T215=0),"",S215/T215)</f>
        <v/>
      </c>
    </row>
    <row r="216">
      <c r="A216" s="37" t="n"/>
      <c r="B216" s="38" t="n"/>
      <c r="C216" s="39"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1" t="n"/>
      <c r="Y216" s="40" t="n"/>
      <c r="Z216" s="40" t="n"/>
      <c r="AA216" s="42">
        <f>IF(OR(D216="",D216=0),"",E216/D216)</f>
        <v/>
      </c>
      <c r="AB216" s="42">
        <f>IF(OR(F216="",F216=0),"",G216/F216)</f>
        <v/>
      </c>
      <c r="AC216" s="43">
        <f>IF(OR(L216="",L216=0),"",K216/L216)</f>
        <v/>
      </c>
      <c r="AD216" s="43">
        <f>IF(OR(T216="",T216=0),"",S216/T216)</f>
        <v/>
      </c>
    </row>
    <row r="217">
      <c r="A217" s="37" t="n"/>
      <c r="B217" s="38" t="n"/>
      <c r="C217" s="39"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1" t="n"/>
      <c r="Y217" s="40" t="n"/>
      <c r="Z217" s="40" t="n"/>
      <c r="AA217" s="42">
        <f>IF(OR(D217="",D217=0),"",E217/D217)</f>
        <v/>
      </c>
      <c r="AB217" s="42">
        <f>IF(OR(F217="",F217=0),"",G217/F217)</f>
        <v/>
      </c>
      <c r="AC217" s="43">
        <f>IF(OR(L217="",L217=0),"",K217/L217)</f>
        <v/>
      </c>
      <c r="AD217" s="43">
        <f>IF(OR(T217="",T217=0),"",S217/T217)</f>
        <v/>
      </c>
    </row>
    <row r="218">
      <c r="A218" s="37" t="n"/>
      <c r="B218" s="38" t="n"/>
      <c r="C218" s="39"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1" t="n"/>
      <c r="Y218" s="40" t="n"/>
      <c r="Z218" s="40" t="n"/>
      <c r="AA218" s="42">
        <f>IF(OR(D218="",D218=0),"",E218/D218)</f>
        <v/>
      </c>
      <c r="AB218" s="42">
        <f>IF(OR(F218="",F218=0),"",G218/F218)</f>
        <v/>
      </c>
      <c r="AC218" s="43">
        <f>IF(OR(L218="",L218=0),"",K218/L218)</f>
        <v/>
      </c>
      <c r="AD218" s="43">
        <f>IF(OR(T218="",T218=0),"",S218/T218)</f>
        <v/>
      </c>
    </row>
    <row r="219">
      <c r="A219" s="37" t="n"/>
      <c r="B219" s="38" t="n"/>
      <c r="C219" s="39"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1" t="n"/>
      <c r="Y219" s="40" t="n"/>
      <c r="Z219" s="40" t="n"/>
      <c r="AA219" s="42">
        <f>IF(OR(D219="",D219=0),"",E219/D219)</f>
        <v/>
      </c>
      <c r="AB219" s="42">
        <f>IF(OR(F219="",F219=0),"",G219/F219)</f>
        <v/>
      </c>
      <c r="AC219" s="43">
        <f>IF(OR(L219="",L219=0),"",K219/L219)</f>
        <v/>
      </c>
      <c r="AD219" s="43">
        <f>IF(OR(T219="",T219=0),"",S219/T219)</f>
        <v/>
      </c>
    </row>
    <row r="220">
      <c r="A220" s="37" t="n"/>
      <c r="B220" s="38" t="n"/>
      <c r="C220" s="39"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1" t="n"/>
      <c r="Y220" s="40" t="n"/>
      <c r="Z220" s="40" t="n"/>
      <c r="AA220" s="42">
        <f>IF(OR(D220="",D220=0),"",E220/D220)</f>
        <v/>
      </c>
      <c r="AB220" s="42">
        <f>IF(OR(F220="",F220=0),"",G220/F220)</f>
        <v/>
      </c>
      <c r="AC220" s="43">
        <f>IF(OR(L220="",L220=0),"",K220/L220)</f>
        <v/>
      </c>
      <c r="AD220" s="43">
        <f>IF(OR(T220="",T220=0),"",S220/T220)</f>
        <v/>
      </c>
    </row>
    <row r="221">
      <c r="A221" s="37" t="n"/>
      <c r="B221" s="38" t="n"/>
      <c r="C221" s="39"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1" t="n"/>
      <c r="Y221" s="40" t="n"/>
      <c r="Z221" s="40" t="n"/>
      <c r="AA221" s="42">
        <f>IF(OR(D221="",D221=0),"",E221/D221)</f>
        <v/>
      </c>
      <c r="AB221" s="42">
        <f>IF(OR(F221="",F221=0),"",G221/F221)</f>
        <v/>
      </c>
      <c r="AC221" s="43">
        <f>IF(OR(L221="",L221=0),"",K221/L221)</f>
        <v/>
      </c>
      <c r="AD221" s="43">
        <f>IF(OR(T221="",T221=0),"",S221/T221)</f>
        <v/>
      </c>
    </row>
    <row r="222">
      <c r="A222" s="37" t="n"/>
      <c r="B222" s="38" t="n"/>
      <c r="C222" s="39"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1" t="n"/>
      <c r="Y222" s="40" t="n"/>
      <c r="Z222" s="40" t="n"/>
      <c r="AA222" s="42">
        <f>IF(OR(D222="",D222=0),"",E222/D222)</f>
        <v/>
      </c>
      <c r="AB222" s="42">
        <f>IF(OR(F222="",F222=0),"",G222/F222)</f>
        <v/>
      </c>
      <c r="AC222" s="43">
        <f>IF(OR(L222="",L222=0),"",K222/L222)</f>
        <v/>
      </c>
      <c r="AD222" s="43">
        <f>IF(OR(T222="",T222=0),"",S222/T222)</f>
        <v/>
      </c>
    </row>
    <row r="223">
      <c r="A223" s="37" t="n"/>
      <c r="B223" s="38" t="n"/>
      <c r="C223" s="39"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1" t="n"/>
      <c r="Y223" s="40" t="n"/>
      <c r="Z223" s="40" t="n"/>
      <c r="AA223" s="42">
        <f>IF(OR(D223="",D223=0),"",E223/D223)</f>
        <v/>
      </c>
      <c r="AB223" s="42">
        <f>IF(OR(F223="",F223=0),"",G223/F223)</f>
        <v/>
      </c>
      <c r="AC223" s="43">
        <f>IF(OR(L223="",L223=0),"",K223/L223)</f>
        <v/>
      </c>
      <c r="AD223" s="43">
        <f>IF(OR(T223="",T223=0),"",S223/T223)</f>
        <v/>
      </c>
    </row>
    <row r="224">
      <c r="A224" s="37" t="n"/>
      <c r="B224" s="38" t="n"/>
      <c r="C224" s="39"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1" t="n"/>
      <c r="Y224" s="40" t="n"/>
      <c r="Z224" s="40" t="n"/>
      <c r="AA224" s="42">
        <f>IF(OR(D224="",D224=0),"",E224/D224)</f>
        <v/>
      </c>
      <c r="AB224" s="42">
        <f>IF(OR(F224="",F224=0),"",G224/F224)</f>
        <v/>
      </c>
      <c r="AC224" s="43">
        <f>IF(OR(L224="",L224=0),"",K224/L224)</f>
        <v/>
      </c>
      <c r="AD224" s="43">
        <f>IF(OR(T224="",T224=0),"",S224/T224)</f>
        <v/>
      </c>
    </row>
    <row r="225">
      <c r="A225" s="37" t="n"/>
      <c r="B225" s="38" t="n"/>
      <c r="C225" s="39"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1" t="n"/>
      <c r="Y225" s="40" t="n"/>
      <c r="Z225" s="40" t="n"/>
      <c r="AA225" s="42">
        <f>IF(OR(D225="",D225=0),"",E225/D225)</f>
        <v/>
      </c>
      <c r="AB225" s="42">
        <f>IF(OR(F225="",F225=0),"",G225/F225)</f>
        <v/>
      </c>
      <c r="AC225" s="43">
        <f>IF(OR(L225="",L225=0),"",K225/L225)</f>
        <v/>
      </c>
      <c r="AD225" s="43">
        <f>IF(OR(T225="",T225=0),"",S225/T225)</f>
        <v/>
      </c>
    </row>
    <row r="226">
      <c r="A226" s="37" t="n"/>
      <c r="B226" s="38" t="n"/>
      <c r="C226" s="39"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1" t="n"/>
      <c r="Y226" s="40" t="n"/>
      <c r="Z226" s="40" t="n"/>
      <c r="AA226" s="42">
        <f>IF(OR(D226="",D226=0),"",E226/D226)</f>
        <v/>
      </c>
      <c r="AB226" s="42">
        <f>IF(OR(F226="",F226=0),"",G226/F226)</f>
        <v/>
      </c>
      <c r="AC226" s="43">
        <f>IF(OR(L226="",L226=0),"",K226/L226)</f>
        <v/>
      </c>
      <c r="AD226" s="43">
        <f>IF(OR(T226="",T226=0),"",S226/T226)</f>
        <v/>
      </c>
    </row>
    <row r="227">
      <c r="A227" s="37" t="n"/>
      <c r="B227" s="38" t="n"/>
      <c r="C227" s="39"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1" t="n"/>
      <c r="Y227" s="40" t="n"/>
      <c r="Z227" s="40" t="n"/>
      <c r="AA227" s="42">
        <f>IF(OR(D227="",D227=0),"",E227/D227)</f>
        <v/>
      </c>
      <c r="AB227" s="42">
        <f>IF(OR(F227="",F227=0),"",G227/F227)</f>
        <v/>
      </c>
      <c r="AC227" s="43">
        <f>IF(OR(L227="",L227=0),"",K227/L227)</f>
        <v/>
      </c>
      <c r="AD227" s="43">
        <f>IF(OR(T227="",T227=0),"",S227/T227)</f>
        <v/>
      </c>
    </row>
    <row r="228">
      <c r="A228" s="37" t="n"/>
      <c r="B228" s="38" t="n"/>
      <c r="C228" s="39"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1" t="n"/>
      <c r="Y228" s="40" t="n"/>
      <c r="Z228" s="40" t="n"/>
      <c r="AA228" s="42">
        <f>IF(OR(D228="",D228=0),"",E228/D228)</f>
        <v/>
      </c>
      <c r="AB228" s="42">
        <f>IF(OR(F228="",F228=0),"",G228/F228)</f>
        <v/>
      </c>
      <c r="AC228" s="43">
        <f>IF(OR(L228="",L228=0),"",K228/L228)</f>
        <v/>
      </c>
      <c r="AD228" s="43">
        <f>IF(OR(T228="",T228=0),"",S228/T228)</f>
        <v/>
      </c>
    </row>
    <row r="229">
      <c r="A229" s="37" t="n"/>
      <c r="B229" s="38" t="n"/>
      <c r="C229" s="39"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1" t="n"/>
      <c r="Y229" s="40" t="n"/>
      <c r="Z229" s="40" t="n"/>
      <c r="AA229" s="42">
        <f>IF(OR(D229="",D229=0),"",E229/D229)</f>
        <v/>
      </c>
      <c r="AB229" s="42">
        <f>IF(OR(F229="",F229=0),"",G229/F229)</f>
        <v/>
      </c>
      <c r="AC229" s="43">
        <f>IF(OR(L229="",L229=0),"",K229/L229)</f>
        <v/>
      </c>
      <c r="AD229" s="43">
        <f>IF(OR(T229="",T229=0),"",S229/T229)</f>
        <v/>
      </c>
    </row>
    <row r="230">
      <c r="A230" s="37" t="n"/>
      <c r="B230" s="38" t="n"/>
      <c r="C230" s="39"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1" t="n"/>
      <c r="Y230" s="40" t="n"/>
      <c r="Z230" s="40" t="n"/>
      <c r="AA230" s="42">
        <f>IF(OR(D230="",D230=0),"",E230/D230)</f>
        <v/>
      </c>
      <c r="AB230" s="42">
        <f>IF(OR(F230="",F230=0),"",G230/F230)</f>
        <v/>
      </c>
      <c r="AC230" s="43">
        <f>IF(OR(L230="",L230=0),"",K230/L230)</f>
        <v/>
      </c>
      <c r="AD230" s="43">
        <f>IF(OR(T230="",T230=0),"",S230/T230)</f>
        <v/>
      </c>
    </row>
    <row r="231">
      <c r="A231" s="37" t="n"/>
      <c r="B231" s="38" t="n"/>
      <c r="C231" s="39"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1" t="n"/>
      <c r="Y231" s="40" t="n"/>
      <c r="Z231" s="40" t="n"/>
      <c r="AA231" s="42">
        <f>IF(OR(D231="",D231=0),"",E231/D231)</f>
        <v/>
      </c>
      <c r="AB231" s="42">
        <f>IF(OR(F231="",F231=0),"",G231/F231)</f>
        <v/>
      </c>
      <c r="AC231" s="43">
        <f>IF(OR(L231="",L231=0),"",K231/L231)</f>
        <v/>
      </c>
      <c r="AD231" s="43">
        <f>IF(OR(T231="",T231=0),"",S231/T231)</f>
        <v/>
      </c>
    </row>
    <row r="232">
      <c r="A232" s="37" t="n"/>
      <c r="B232" s="38" t="n"/>
      <c r="C232" s="39"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1" t="n"/>
      <c r="Y232" s="40" t="n"/>
      <c r="Z232" s="40" t="n"/>
      <c r="AA232" s="42">
        <f>IF(OR(D232="",D232=0),"",E232/D232)</f>
        <v/>
      </c>
      <c r="AB232" s="42">
        <f>IF(OR(F232="",F232=0),"",G232/F232)</f>
        <v/>
      </c>
      <c r="AC232" s="43">
        <f>IF(OR(L232="",L232=0),"",K232/L232)</f>
        <v/>
      </c>
      <c r="AD232" s="43">
        <f>IF(OR(T232="",T232=0),"",S232/T232)</f>
        <v/>
      </c>
    </row>
    <row r="233">
      <c r="A233" s="37" t="n"/>
      <c r="B233" s="38" t="n"/>
      <c r="C233" s="39"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1" t="n"/>
      <c r="Y233" s="40" t="n"/>
      <c r="Z233" s="40" t="n"/>
      <c r="AA233" s="42">
        <f>IF(OR(D233="",D233=0),"",E233/D233)</f>
        <v/>
      </c>
      <c r="AB233" s="42">
        <f>IF(OR(F233="",F233=0),"",G233/F233)</f>
        <v/>
      </c>
      <c r="AC233" s="43">
        <f>IF(OR(L233="",L233=0),"",K233/L233)</f>
        <v/>
      </c>
      <c r="AD233" s="43">
        <f>IF(OR(T233="",T233=0),"",S233/T233)</f>
        <v/>
      </c>
    </row>
    <row r="234">
      <c r="A234" s="37" t="n"/>
      <c r="B234" s="38" t="n"/>
      <c r="C234" s="39"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1" t="n"/>
      <c r="Y234" s="40" t="n"/>
      <c r="Z234" s="40" t="n"/>
      <c r="AA234" s="42">
        <f>IF(OR(D234="",D234=0),"",E234/D234)</f>
        <v/>
      </c>
      <c r="AB234" s="42">
        <f>IF(OR(F234="",F234=0),"",G234/F234)</f>
        <v/>
      </c>
      <c r="AC234" s="43">
        <f>IF(OR(L234="",L234=0),"",K234/L234)</f>
        <v/>
      </c>
      <c r="AD234" s="43">
        <f>IF(OR(T234="",T234=0),"",S234/T234)</f>
        <v/>
      </c>
    </row>
    <row r="235">
      <c r="A235" s="37" t="n"/>
      <c r="B235" s="38" t="n"/>
      <c r="C235" s="39"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1" t="n"/>
      <c r="Y235" s="40" t="n"/>
      <c r="Z235" s="40" t="n"/>
      <c r="AA235" s="42">
        <f>IF(OR(D235="",D235=0),"",E235/D235)</f>
        <v/>
      </c>
      <c r="AB235" s="42">
        <f>IF(OR(F235="",F235=0),"",G235/F235)</f>
        <v/>
      </c>
      <c r="AC235" s="43">
        <f>IF(OR(L235="",L235=0),"",K235/L235)</f>
        <v/>
      </c>
      <c r="AD235" s="43">
        <f>IF(OR(T235="",T235=0),"",S235/T235)</f>
        <v/>
      </c>
    </row>
    <row r="236">
      <c r="A236" s="37" t="n"/>
      <c r="B236" s="38" t="n"/>
      <c r="C236" s="39"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1" t="n"/>
      <c r="Y236" s="40" t="n"/>
      <c r="Z236" s="40" t="n"/>
      <c r="AA236" s="42">
        <f>IF(OR(D236="",D236=0),"",E236/D236)</f>
        <v/>
      </c>
      <c r="AB236" s="42">
        <f>IF(OR(F236="",F236=0),"",G236/F236)</f>
        <v/>
      </c>
      <c r="AC236" s="43">
        <f>IF(OR(L236="",L236=0),"",K236/L236)</f>
        <v/>
      </c>
      <c r="AD236" s="43">
        <f>IF(OR(T236="",T236=0),"",S236/T236)</f>
        <v/>
      </c>
    </row>
    <row r="237">
      <c r="A237" s="37" t="n"/>
      <c r="B237" s="38" t="n"/>
      <c r="C237" s="39"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1" t="n"/>
      <c r="Y237" s="40" t="n"/>
      <c r="Z237" s="40" t="n"/>
      <c r="AA237" s="42">
        <f>IF(OR(D237="",D237=0),"",E237/D237)</f>
        <v/>
      </c>
      <c r="AB237" s="42">
        <f>IF(OR(F237="",F237=0),"",G237/F237)</f>
        <v/>
      </c>
      <c r="AC237" s="43">
        <f>IF(OR(L237="",L237=0),"",K237/L237)</f>
        <v/>
      </c>
      <c r="AD237" s="43">
        <f>IF(OR(T237="",T237=0),"",S237/T237)</f>
        <v/>
      </c>
    </row>
    <row r="238">
      <c r="A238" s="37" t="n"/>
      <c r="B238" s="38" t="n"/>
      <c r="C238" s="39"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1" t="n"/>
      <c r="Y238" s="40" t="n"/>
      <c r="Z238" s="40" t="n"/>
      <c r="AA238" s="42">
        <f>IF(OR(D238="",D238=0),"",E238/D238)</f>
        <v/>
      </c>
      <c r="AB238" s="42">
        <f>IF(OR(F238="",F238=0),"",G238/F238)</f>
        <v/>
      </c>
      <c r="AC238" s="43">
        <f>IF(OR(L238="",L238=0),"",K238/L238)</f>
        <v/>
      </c>
      <c r="AD238" s="43">
        <f>IF(OR(T238="",T238=0),"",S238/T238)</f>
        <v/>
      </c>
    </row>
    <row r="239">
      <c r="A239" s="37" t="n"/>
      <c r="B239" s="38" t="n"/>
      <c r="C239" s="39"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1" t="n"/>
      <c r="Y239" s="40" t="n"/>
      <c r="Z239" s="40" t="n"/>
      <c r="AA239" s="42">
        <f>IF(OR(D239="",D239=0),"",E239/D239)</f>
        <v/>
      </c>
      <c r="AB239" s="42">
        <f>IF(OR(F239="",F239=0),"",G239/F239)</f>
        <v/>
      </c>
      <c r="AC239" s="43">
        <f>IF(OR(L239="",L239=0),"",K239/L239)</f>
        <v/>
      </c>
      <c r="AD239" s="43">
        <f>IF(OR(T239="",T239=0),"",S239/T239)</f>
        <v/>
      </c>
    </row>
    <row r="240">
      <c r="A240" s="37" t="n"/>
      <c r="B240" s="38" t="n"/>
      <c r="C240" s="39"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1" t="n"/>
      <c r="Y240" s="40" t="n"/>
      <c r="Z240" s="40" t="n"/>
      <c r="AA240" s="42">
        <f>IF(OR(D240="",D240=0),"",E240/D240)</f>
        <v/>
      </c>
      <c r="AB240" s="42">
        <f>IF(OR(F240="",F240=0),"",G240/F240)</f>
        <v/>
      </c>
      <c r="AC240" s="43">
        <f>IF(OR(L240="",L240=0),"",K240/L240)</f>
        <v/>
      </c>
      <c r="AD240" s="43">
        <f>IF(OR(T240="",T240=0),"",S240/T240)</f>
        <v/>
      </c>
    </row>
    <row r="241">
      <c r="A241" s="37" t="n"/>
      <c r="B241" s="38" t="n"/>
      <c r="C241" s="39"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1" t="n"/>
      <c r="Y241" s="40" t="n"/>
      <c r="Z241" s="40" t="n"/>
      <c r="AA241" s="42">
        <f>IF(OR(D241="",D241=0),"",E241/D241)</f>
        <v/>
      </c>
      <c r="AB241" s="42">
        <f>IF(OR(F241="",F241=0),"",G241/F241)</f>
        <v/>
      </c>
      <c r="AC241" s="43">
        <f>IF(OR(L241="",L241=0),"",K241/L241)</f>
        <v/>
      </c>
      <c r="AD241" s="43">
        <f>IF(OR(T241="",T241=0),"",S241/T241)</f>
        <v/>
      </c>
    </row>
    <row r="242">
      <c r="A242" s="37" t="n"/>
      <c r="B242" s="38" t="n"/>
      <c r="C242" s="39"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1" t="n"/>
      <c r="Y242" s="40" t="n"/>
      <c r="Z242" s="40" t="n"/>
      <c r="AA242" s="42">
        <f>IF(OR(D242="",D242=0),"",E242/D242)</f>
        <v/>
      </c>
      <c r="AB242" s="42">
        <f>IF(OR(F242="",F242=0),"",G242/F242)</f>
        <v/>
      </c>
      <c r="AC242" s="43">
        <f>IF(OR(L242="",L242=0),"",K242/L242)</f>
        <v/>
      </c>
      <c r="AD242" s="43">
        <f>IF(OR(T242="",T242=0),"",S242/T242)</f>
        <v/>
      </c>
    </row>
    <row r="243">
      <c r="A243" s="37" t="n"/>
      <c r="B243" s="38" t="n"/>
      <c r="C243" s="39"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1" t="n"/>
      <c r="Y243" s="40" t="n"/>
      <c r="Z243" s="40" t="n"/>
      <c r="AA243" s="42">
        <f>IF(OR(D243="",D243=0),"",E243/D243)</f>
        <v/>
      </c>
      <c r="AB243" s="42">
        <f>IF(OR(F243="",F243=0),"",G243/F243)</f>
        <v/>
      </c>
      <c r="AC243" s="43">
        <f>IF(OR(L243="",L243=0),"",K243/L243)</f>
        <v/>
      </c>
      <c r="AD243" s="43">
        <f>IF(OR(T243="",T243=0),"",S243/T243)</f>
        <v/>
      </c>
    </row>
    <row r="244">
      <c r="A244" s="37" t="n"/>
      <c r="B244" s="38" t="n"/>
      <c r="C244" s="39"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1" t="n"/>
      <c r="Y244" s="40" t="n"/>
      <c r="Z244" s="40" t="n"/>
      <c r="AA244" s="42">
        <f>IF(OR(D244="",D244=0),"",E244/D244)</f>
        <v/>
      </c>
      <c r="AB244" s="42">
        <f>IF(OR(F244="",F244=0),"",G244/F244)</f>
        <v/>
      </c>
      <c r="AC244" s="43">
        <f>IF(OR(L244="",L244=0),"",K244/L244)</f>
        <v/>
      </c>
      <c r="AD244" s="43">
        <f>IF(OR(T244="",T244=0),"",S244/T244)</f>
        <v/>
      </c>
    </row>
    <row r="245">
      <c r="A245" s="37" t="n"/>
      <c r="B245" s="38" t="n"/>
      <c r="C245" s="39"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1" t="n"/>
      <c r="Y245" s="40" t="n"/>
      <c r="Z245" s="40" t="n"/>
      <c r="AA245" s="42">
        <f>IF(OR(D245="",D245=0),"",E245/D245)</f>
        <v/>
      </c>
      <c r="AB245" s="42">
        <f>IF(OR(F245="",F245=0),"",G245/F245)</f>
        <v/>
      </c>
      <c r="AC245" s="43">
        <f>IF(OR(L245="",L245=0),"",K245/L245)</f>
        <v/>
      </c>
      <c r="AD245" s="43">
        <f>IF(OR(T245="",T245=0),"",S245/T245)</f>
        <v/>
      </c>
    </row>
    <row r="246">
      <c r="A246" s="37" t="n"/>
      <c r="B246" s="38" t="n"/>
      <c r="C246" s="39"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1" t="n"/>
      <c r="Y246" s="40" t="n"/>
      <c r="Z246" s="40" t="n"/>
      <c r="AA246" s="42">
        <f>IF(OR(D246="",D246=0),"",E246/D246)</f>
        <v/>
      </c>
      <c r="AB246" s="42">
        <f>IF(OR(F246="",F246=0),"",G246/F246)</f>
        <v/>
      </c>
      <c r="AC246" s="43">
        <f>IF(OR(L246="",L246=0),"",K246/L246)</f>
        <v/>
      </c>
      <c r="AD246" s="43">
        <f>IF(OR(T246="",T246=0),"",S246/T246)</f>
        <v/>
      </c>
    </row>
    <row r="247">
      <c r="A247" s="37" t="n"/>
      <c r="B247" s="38" t="n"/>
      <c r="C247" s="39"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1" t="n"/>
      <c r="Y247" s="40" t="n"/>
      <c r="Z247" s="40" t="n"/>
      <c r="AA247" s="42">
        <f>IF(OR(D247="",D247=0),"",E247/D247)</f>
        <v/>
      </c>
      <c r="AB247" s="42">
        <f>IF(OR(F247="",F247=0),"",G247/F247)</f>
        <v/>
      </c>
      <c r="AC247" s="43">
        <f>IF(OR(L247="",L247=0),"",K247/L247)</f>
        <v/>
      </c>
      <c r="AD247" s="43">
        <f>IF(OR(T247="",T247=0),"",S247/T247)</f>
        <v/>
      </c>
    </row>
    <row r="248">
      <c r="A248" s="37" t="n"/>
      <c r="B248" s="38" t="n"/>
      <c r="C248" s="39"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1" t="n"/>
      <c r="Y248" s="40" t="n"/>
      <c r="Z248" s="40" t="n"/>
      <c r="AA248" s="42">
        <f>IF(OR(D248="",D248=0),"",E248/D248)</f>
        <v/>
      </c>
      <c r="AB248" s="42">
        <f>IF(OR(F248="",F248=0),"",G248/F248)</f>
        <v/>
      </c>
      <c r="AC248" s="43">
        <f>IF(OR(L248="",L248=0),"",K248/L248)</f>
        <v/>
      </c>
      <c r="AD248" s="43">
        <f>IF(OR(T248="",T248=0),"",S248/T248)</f>
        <v/>
      </c>
    </row>
    <row r="249">
      <c r="A249" s="37" t="n"/>
      <c r="B249" s="38" t="n"/>
      <c r="C249" s="39"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1" t="n"/>
      <c r="Y249" s="40" t="n"/>
      <c r="Z249" s="40" t="n"/>
      <c r="AA249" s="42">
        <f>IF(OR(D249="",D249=0),"",E249/D249)</f>
        <v/>
      </c>
      <c r="AB249" s="42">
        <f>IF(OR(F249="",F249=0),"",G249/F249)</f>
        <v/>
      </c>
      <c r="AC249" s="43">
        <f>IF(OR(L249="",L249=0),"",K249/L249)</f>
        <v/>
      </c>
      <c r="AD249" s="43">
        <f>IF(OR(T249="",T249=0),"",S249/T249)</f>
        <v/>
      </c>
    </row>
    <row r="250">
      <c r="A250" s="37" t="n"/>
      <c r="B250" s="38" t="n"/>
      <c r="C250" s="39"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1" t="n"/>
      <c r="Y250" s="40" t="n"/>
      <c r="Z250" s="40" t="n"/>
      <c r="AA250" s="42">
        <f>IF(OR(D250="",D250=0),"",E250/D250)</f>
        <v/>
      </c>
      <c r="AB250" s="42">
        <f>IF(OR(F250="",F250=0),"",G250/F250)</f>
        <v/>
      </c>
      <c r="AC250" s="43">
        <f>IF(OR(L250="",L250=0),"",K250/L250)</f>
        <v/>
      </c>
      <c r="AD250" s="43">
        <f>IF(OR(T250="",T250=0),"",S250/T250)</f>
        <v/>
      </c>
    </row>
    <row r="251">
      <c r="A251" s="37" t="n"/>
      <c r="B251" s="38" t="n"/>
      <c r="C251" s="39"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1" t="n"/>
      <c r="Y251" s="40" t="n"/>
      <c r="Z251" s="40" t="n"/>
      <c r="AA251" s="42">
        <f>IF(OR(D251="",D251=0),"",E251/D251)</f>
        <v/>
      </c>
      <c r="AB251" s="42">
        <f>IF(OR(F251="",F251=0),"",G251/F251)</f>
        <v/>
      </c>
      <c r="AC251" s="43">
        <f>IF(OR(L251="",L251=0),"",K251/L251)</f>
        <v/>
      </c>
      <c r="AD251" s="43">
        <f>IF(OR(T251="",T251=0),"",S251/T251)</f>
        <v/>
      </c>
    </row>
    <row r="252">
      <c r="A252" s="37" t="n"/>
      <c r="B252" s="38" t="n"/>
      <c r="C252" s="39"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1" t="n"/>
      <c r="Y252" s="40" t="n"/>
      <c r="Z252" s="40" t="n"/>
      <c r="AA252" s="42">
        <f>IF(OR(D252="",D252=0),"",E252/D252)</f>
        <v/>
      </c>
      <c r="AB252" s="42">
        <f>IF(OR(F252="",F252=0),"",G252/F252)</f>
        <v/>
      </c>
      <c r="AC252" s="43">
        <f>IF(OR(L252="",L252=0),"",K252/L252)</f>
        <v/>
      </c>
      <c r="AD252" s="43">
        <f>IF(OR(T252="",T252=0),"",S252/T252)</f>
        <v/>
      </c>
    </row>
    <row r="253">
      <c r="A253" s="37" t="n"/>
      <c r="B253" s="38" t="n"/>
      <c r="C253" s="39"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1" t="n"/>
      <c r="Y253" s="40" t="n"/>
      <c r="Z253" s="40" t="n"/>
      <c r="AA253" s="42">
        <f>IF(OR(D253="",D253=0),"",E253/D253)</f>
        <v/>
      </c>
      <c r="AB253" s="42">
        <f>IF(OR(F253="",F253=0),"",G253/F253)</f>
        <v/>
      </c>
      <c r="AC253" s="43">
        <f>IF(OR(L253="",L253=0),"",K253/L253)</f>
        <v/>
      </c>
      <c r="AD253" s="43">
        <f>IF(OR(T253="",T253=0),"",S253/T253)</f>
        <v/>
      </c>
    </row>
    <row r="254">
      <c r="A254" s="37" t="n"/>
      <c r="B254" s="38" t="n"/>
      <c r="C254" s="39"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1" t="n"/>
      <c r="Y254" s="40" t="n"/>
      <c r="Z254" s="40" t="n"/>
      <c r="AA254" s="42">
        <f>IF(OR(D254="",D254=0),"",E254/D254)</f>
        <v/>
      </c>
      <c r="AB254" s="42">
        <f>IF(OR(F254="",F254=0),"",G254/F254)</f>
        <v/>
      </c>
      <c r="AC254" s="43">
        <f>IF(OR(L254="",L254=0),"",K254/L254)</f>
        <v/>
      </c>
      <c r="AD254" s="43">
        <f>IF(OR(T254="",T254=0),"",S254/T254)</f>
        <v/>
      </c>
    </row>
    <row r="255">
      <c r="A255" s="37" t="n"/>
      <c r="B255" s="38" t="n"/>
      <c r="C255" s="39"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1" t="n"/>
      <c r="Y255" s="40" t="n"/>
      <c r="Z255" s="40" t="n"/>
      <c r="AA255" s="42">
        <f>IF(OR(D255="",D255=0),"",E255/D255)</f>
        <v/>
      </c>
      <c r="AB255" s="42">
        <f>IF(OR(F255="",F255=0),"",G255/F255)</f>
        <v/>
      </c>
      <c r="AC255" s="43">
        <f>IF(OR(L255="",L255=0),"",K255/L255)</f>
        <v/>
      </c>
      <c r="AD255" s="43">
        <f>IF(OR(T255="",T255=0),"",S255/T255)</f>
        <v/>
      </c>
    </row>
    <row r="256">
      <c r="A256" s="37" t="n"/>
      <c r="B256" s="38" t="n"/>
      <c r="C256" s="39"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1" t="n"/>
      <c r="Y256" s="40" t="n"/>
      <c r="Z256" s="40" t="n"/>
      <c r="AA256" s="42">
        <f>IF(OR(D256="",D256=0),"",E256/D256)</f>
        <v/>
      </c>
      <c r="AB256" s="42">
        <f>IF(OR(F256="",F256=0),"",G256/F256)</f>
        <v/>
      </c>
      <c r="AC256" s="43">
        <f>IF(OR(L256="",L256=0),"",K256/L256)</f>
        <v/>
      </c>
      <c r="AD256" s="43">
        <f>IF(OR(T256="",T256=0),"",S256/T256)</f>
        <v/>
      </c>
    </row>
    <row r="257">
      <c r="A257" s="37" t="n"/>
      <c r="B257" s="38" t="n"/>
      <c r="C257" s="39"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1" t="n"/>
      <c r="Y257" s="40" t="n"/>
      <c r="Z257" s="40" t="n"/>
      <c r="AA257" s="42">
        <f>IF(OR(D257="",D257=0),"",E257/D257)</f>
        <v/>
      </c>
      <c r="AB257" s="42">
        <f>IF(OR(F257="",F257=0),"",G257/F257)</f>
        <v/>
      </c>
      <c r="AC257" s="43">
        <f>IF(OR(L257="",L257=0),"",K257/L257)</f>
        <v/>
      </c>
      <c r="AD257" s="43">
        <f>IF(OR(T257="",T257=0),"",S257/T257)</f>
        <v/>
      </c>
    </row>
    <row r="258">
      <c r="A258" s="37" t="n"/>
      <c r="B258" s="38" t="n"/>
      <c r="C258" s="39"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1" t="n"/>
      <c r="Y258" s="40" t="n"/>
      <c r="Z258" s="40" t="n"/>
      <c r="AA258" s="42">
        <f>IF(OR(D258="",D258=0),"",E258/D258)</f>
        <v/>
      </c>
      <c r="AB258" s="42">
        <f>IF(OR(F258="",F258=0),"",G258/F258)</f>
        <v/>
      </c>
      <c r="AC258" s="43">
        <f>IF(OR(L258="",L258=0),"",K258/L258)</f>
        <v/>
      </c>
      <c r="AD258" s="43">
        <f>IF(OR(T258="",T258=0),"",S258/T258)</f>
        <v/>
      </c>
    </row>
    <row r="259">
      <c r="A259" s="37" t="n"/>
      <c r="B259" s="38" t="n"/>
      <c r="C259" s="39"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1" t="n"/>
      <c r="Y259" s="40" t="n"/>
      <c r="Z259" s="40" t="n"/>
      <c r="AA259" s="42">
        <f>IF(OR(D259="",D259=0),"",E259/D259)</f>
        <v/>
      </c>
      <c r="AB259" s="42">
        <f>IF(OR(F259="",F259=0),"",G259/F259)</f>
        <v/>
      </c>
      <c r="AC259" s="43">
        <f>IF(OR(L259="",L259=0),"",K259/L259)</f>
        <v/>
      </c>
      <c r="AD259" s="43">
        <f>IF(OR(T259="",T259=0),"",S259/T259)</f>
        <v/>
      </c>
    </row>
    <row r="260">
      <c r="A260" s="37" t="n"/>
      <c r="B260" s="38" t="n"/>
      <c r="C260" s="39"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1" t="n"/>
      <c r="Y260" s="40" t="n"/>
      <c r="Z260" s="40" t="n"/>
      <c r="AA260" s="42">
        <f>IF(OR(D260="",D260=0),"",E260/D260)</f>
        <v/>
      </c>
      <c r="AB260" s="42">
        <f>IF(OR(F260="",F260=0),"",G260/F260)</f>
        <v/>
      </c>
      <c r="AC260" s="43">
        <f>IF(OR(L260="",L260=0),"",K260/L260)</f>
        <v/>
      </c>
      <c r="AD260" s="43">
        <f>IF(OR(T260="",T260=0),"",S260/T260)</f>
        <v/>
      </c>
    </row>
    <row r="261">
      <c r="A261" s="37" t="n"/>
      <c r="B261" s="38" t="n"/>
      <c r="C261" s="39"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1" t="n"/>
      <c r="Y261" s="40" t="n"/>
      <c r="Z261" s="40" t="n"/>
      <c r="AA261" s="42">
        <f>IF(OR(D261="",D261=0),"",E261/D261)</f>
        <v/>
      </c>
      <c r="AB261" s="42">
        <f>IF(OR(F261="",F261=0),"",G261/F261)</f>
        <v/>
      </c>
      <c r="AC261" s="43">
        <f>IF(OR(L261="",L261=0),"",K261/L261)</f>
        <v/>
      </c>
      <c r="AD261" s="43">
        <f>IF(OR(T261="",T261=0),"",S261/T261)</f>
        <v/>
      </c>
    </row>
    <row r="262">
      <c r="A262" s="37" t="n"/>
      <c r="B262" s="38" t="n"/>
      <c r="C262" s="39"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1" t="n"/>
      <c r="Y262" s="40" t="n"/>
      <c r="Z262" s="40" t="n"/>
      <c r="AA262" s="42">
        <f>IF(OR(D262="",D262=0),"",E262/D262)</f>
        <v/>
      </c>
      <c r="AB262" s="42">
        <f>IF(OR(F262="",F262=0),"",G262/F262)</f>
        <v/>
      </c>
      <c r="AC262" s="43">
        <f>IF(OR(L262="",L262=0),"",K262/L262)</f>
        <v/>
      </c>
      <c r="AD262" s="43">
        <f>IF(OR(T262="",T262=0),"",S262/T262)</f>
        <v/>
      </c>
    </row>
    <row r="263">
      <c r="A263" s="37" t="n"/>
      <c r="B263" s="38" t="n"/>
      <c r="C263" s="39"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1" t="n"/>
      <c r="Y263" s="40" t="n"/>
      <c r="Z263" s="40" t="n"/>
      <c r="AA263" s="42">
        <f>IF(OR(D263="",D263=0),"",E263/D263)</f>
        <v/>
      </c>
      <c r="AB263" s="42">
        <f>IF(OR(F263="",F263=0),"",G263/F263)</f>
        <v/>
      </c>
      <c r="AC263" s="43">
        <f>IF(OR(L263="",L263=0),"",K263/L263)</f>
        <v/>
      </c>
      <c r="AD263" s="43">
        <f>IF(OR(T263="",T263=0),"",S263/T263)</f>
        <v/>
      </c>
    </row>
    <row r="264">
      <c r="A264" s="37" t="n"/>
      <c r="B264" s="38" t="n"/>
      <c r="C264" s="39"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1" t="n"/>
      <c r="Y264" s="40" t="n"/>
      <c r="Z264" s="40" t="n"/>
      <c r="AA264" s="42">
        <f>IF(OR(D264="",D264=0),"",E264/D264)</f>
        <v/>
      </c>
      <c r="AB264" s="42">
        <f>IF(OR(F264="",F264=0),"",G264/F264)</f>
        <v/>
      </c>
      <c r="AC264" s="43">
        <f>IF(OR(L264="",L264=0),"",K264/L264)</f>
        <v/>
      </c>
      <c r="AD264" s="43">
        <f>IF(OR(T264="",T264=0),"",S264/T264)</f>
        <v/>
      </c>
    </row>
    <row r="265">
      <c r="A265" s="37" t="n"/>
      <c r="B265" s="38" t="n"/>
      <c r="C265" s="39"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1" t="n"/>
      <c r="Y265" s="40" t="n"/>
      <c r="Z265" s="40" t="n"/>
      <c r="AA265" s="42">
        <f>IF(OR(D265="",D265=0),"",E265/D265)</f>
        <v/>
      </c>
      <c r="AB265" s="42">
        <f>IF(OR(F265="",F265=0),"",G265/F265)</f>
        <v/>
      </c>
      <c r="AC265" s="43">
        <f>IF(OR(L265="",L265=0),"",K265/L265)</f>
        <v/>
      </c>
      <c r="AD265" s="43">
        <f>IF(OR(T265="",T265=0),"",S265/T265)</f>
        <v/>
      </c>
    </row>
    <row r="266">
      <c r="A266" s="37" t="n"/>
      <c r="B266" s="38" t="n"/>
      <c r="C266" s="39"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1" t="n"/>
      <c r="Y266" s="40" t="n"/>
      <c r="Z266" s="40" t="n"/>
      <c r="AA266" s="42">
        <f>IF(OR(D266="",D266=0),"",E266/D266)</f>
        <v/>
      </c>
      <c r="AB266" s="42">
        <f>IF(OR(F266="",F266=0),"",G266/F266)</f>
        <v/>
      </c>
      <c r="AC266" s="43">
        <f>IF(OR(L266="",L266=0),"",K266/L266)</f>
        <v/>
      </c>
      <c r="AD266" s="43">
        <f>IF(OR(T266="",T266=0),"",S266/T266)</f>
        <v/>
      </c>
    </row>
    <row r="267">
      <c r="A267" s="37" t="n"/>
      <c r="B267" s="38" t="n"/>
      <c r="C267" s="39"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1" t="n"/>
      <c r="Y267" s="40" t="n"/>
      <c r="Z267" s="40" t="n"/>
      <c r="AA267" s="42">
        <f>IF(OR(D267="",D267=0),"",E267/D267)</f>
        <v/>
      </c>
      <c r="AB267" s="42">
        <f>IF(OR(F267="",F267=0),"",G267/F267)</f>
        <v/>
      </c>
      <c r="AC267" s="43">
        <f>IF(OR(L267="",L267=0),"",K267/L267)</f>
        <v/>
      </c>
      <c r="AD267" s="43">
        <f>IF(OR(T267="",T267=0),"",S267/T267)</f>
        <v/>
      </c>
    </row>
    <row r="268">
      <c r="A268" s="37" t="n"/>
      <c r="B268" s="38" t="n"/>
      <c r="C268" s="39"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1" t="n"/>
      <c r="Y268" s="40" t="n"/>
      <c r="Z268" s="40" t="n"/>
      <c r="AA268" s="42">
        <f>IF(OR(D268="",D268=0),"",E268/D268)</f>
        <v/>
      </c>
      <c r="AB268" s="42">
        <f>IF(OR(F268="",F268=0),"",G268/F268)</f>
        <v/>
      </c>
      <c r="AC268" s="43">
        <f>IF(OR(L268="",L268=0),"",K268/L268)</f>
        <v/>
      </c>
      <c r="AD268" s="43">
        <f>IF(OR(T268="",T268=0),"",S268/T268)</f>
        <v/>
      </c>
    </row>
    <row r="269">
      <c r="A269" s="37" t="n"/>
      <c r="B269" s="38" t="n"/>
      <c r="C269" s="39"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1" t="n"/>
      <c r="Y269" s="40" t="n"/>
      <c r="Z269" s="40" t="n"/>
      <c r="AA269" s="42">
        <f>IF(OR(D269="",D269=0),"",E269/D269)</f>
        <v/>
      </c>
      <c r="AB269" s="42">
        <f>IF(OR(F269="",F269=0),"",G269/F269)</f>
        <v/>
      </c>
      <c r="AC269" s="43">
        <f>IF(OR(L269="",L269=0),"",K269/L269)</f>
        <v/>
      </c>
      <c r="AD269" s="43">
        <f>IF(OR(T269="",T269=0),"",S269/T269)</f>
        <v/>
      </c>
    </row>
    <row r="270">
      <c r="A270" s="37" t="n"/>
      <c r="B270" s="38" t="n"/>
      <c r="C270" s="39"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1" t="n"/>
      <c r="Y270" s="40" t="n"/>
      <c r="Z270" s="40" t="n"/>
      <c r="AA270" s="42">
        <f>IF(OR(D270="",D270=0),"",E270/D270)</f>
        <v/>
      </c>
      <c r="AB270" s="42">
        <f>IF(OR(F270="",F270=0),"",G270/F270)</f>
        <v/>
      </c>
      <c r="AC270" s="43">
        <f>IF(OR(L270="",L270=0),"",K270/L270)</f>
        <v/>
      </c>
      <c r="AD270" s="43">
        <f>IF(OR(T270="",T270=0),"",S270/T270)</f>
        <v/>
      </c>
    </row>
    <row r="271">
      <c r="A271" s="37" t="n"/>
      <c r="B271" s="38" t="n"/>
      <c r="C271" s="39"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1" t="n"/>
      <c r="Y271" s="40" t="n"/>
      <c r="Z271" s="40" t="n"/>
      <c r="AA271" s="42">
        <f>IF(OR(D271="",D271=0),"",E271/D271)</f>
        <v/>
      </c>
      <c r="AB271" s="42">
        <f>IF(OR(F271="",F271=0),"",G271/F271)</f>
        <v/>
      </c>
      <c r="AC271" s="43">
        <f>IF(OR(L271="",L271=0),"",K271/L271)</f>
        <v/>
      </c>
      <c r="AD271" s="43">
        <f>IF(OR(T271="",T271=0),"",S271/T271)</f>
        <v/>
      </c>
    </row>
    <row r="272">
      <c r="A272" s="37" t="n"/>
      <c r="B272" s="38" t="n"/>
      <c r="C272" s="39"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1" t="n"/>
      <c r="Y272" s="40" t="n"/>
      <c r="Z272" s="40" t="n"/>
      <c r="AA272" s="42">
        <f>IF(OR(D272="",D272=0),"",E272/D272)</f>
        <v/>
      </c>
      <c r="AB272" s="42">
        <f>IF(OR(F272="",F272=0),"",G272/F272)</f>
        <v/>
      </c>
      <c r="AC272" s="43">
        <f>IF(OR(L272="",L272=0),"",K272/L272)</f>
        <v/>
      </c>
      <c r="AD272" s="43">
        <f>IF(OR(T272="",T272=0),"",S272/T272)</f>
        <v/>
      </c>
    </row>
    <row r="273">
      <c r="A273" s="37" t="n"/>
      <c r="B273" s="38" t="n"/>
      <c r="C273" s="39"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1" t="n"/>
      <c r="Y273" s="40" t="n"/>
      <c r="Z273" s="40" t="n"/>
      <c r="AA273" s="42">
        <f>IF(OR(D273="",D273=0),"",E273/D273)</f>
        <v/>
      </c>
      <c r="AB273" s="42">
        <f>IF(OR(F273="",F273=0),"",G273/F273)</f>
        <v/>
      </c>
      <c r="AC273" s="43">
        <f>IF(OR(L273="",L273=0),"",K273/L273)</f>
        <v/>
      </c>
      <c r="AD273" s="43">
        <f>IF(OR(T273="",T273=0),"",S273/T273)</f>
        <v/>
      </c>
    </row>
    <row r="274">
      <c r="A274" s="37" t="n"/>
      <c r="B274" s="38" t="n"/>
      <c r="C274" s="39"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1" t="n"/>
      <c r="Y274" s="40" t="n"/>
      <c r="Z274" s="40" t="n"/>
      <c r="AA274" s="42">
        <f>IF(OR(D274="",D274=0),"",E274/D274)</f>
        <v/>
      </c>
      <c r="AB274" s="42">
        <f>IF(OR(F274="",F274=0),"",G274/F274)</f>
        <v/>
      </c>
      <c r="AC274" s="43">
        <f>IF(OR(L274="",L274=0),"",K274/L274)</f>
        <v/>
      </c>
      <c r="AD274" s="43">
        <f>IF(OR(T274="",T274=0),"",S274/T274)</f>
        <v/>
      </c>
    </row>
    <row r="275">
      <c r="A275" s="37" t="n"/>
      <c r="B275" s="38" t="n"/>
      <c r="C275" s="39"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1" t="n"/>
      <c r="Y275" s="40" t="n"/>
      <c r="Z275" s="40" t="n"/>
      <c r="AA275" s="42">
        <f>IF(OR(D275="",D275=0),"",E275/D275)</f>
        <v/>
      </c>
      <c r="AB275" s="42">
        <f>IF(OR(F275="",F275=0),"",G275/F275)</f>
        <v/>
      </c>
      <c r="AC275" s="43">
        <f>IF(OR(L275="",L275=0),"",K275/L275)</f>
        <v/>
      </c>
      <c r="AD275" s="43">
        <f>IF(OR(T275="",T275=0),"",S275/T275)</f>
        <v/>
      </c>
    </row>
    <row r="276">
      <c r="A276" s="37" t="n"/>
      <c r="B276" s="38" t="n"/>
      <c r="C276" s="39"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1" t="n"/>
      <c r="Y276" s="40" t="n"/>
      <c r="Z276" s="40" t="n"/>
      <c r="AA276" s="42">
        <f>IF(OR(D276="",D276=0),"",E276/D276)</f>
        <v/>
      </c>
      <c r="AB276" s="42">
        <f>IF(OR(F276="",F276=0),"",G276/F276)</f>
        <v/>
      </c>
      <c r="AC276" s="43">
        <f>IF(OR(L276="",L276=0),"",K276/L276)</f>
        <v/>
      </c>
      <c r="AD276" s="43">
        <f>IF(OR(T276="",T276=0),"",S276/T276)</f>
        <v/>
      </c>
    </row>
    <row r="277">
      <c r="A277" s="37" t="n"/>
      <c r="B277" s="38" t="n"/>
      <c r="C277" s="39"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1" t="n"/>
      <c r="Y277" s="40" t="n"/>
      <c r="Z277" s="40" t="n"/>
      <c r="AA277" s="42">
        <f>IF(OR(D277="",D277=0),"",E277/D277)</f>
        <v/>
      </c>
      <c r="AB277" s="42">
        <f>IF(OR(F277="",F277=0),"",G277/F277)</f>
        <v/>
      </c>
      <c r="AC277" s="43">
        <f>IF(OR(L277="",L277=0),"",K277/L277)</f>
        <v/>
      </c>
      <c r="AD277" s="43">
        <f>IF(OR(T277="",T277=0),"",S277/T277)</f>
        <v/>
      </c>
    </row>
    <row r="278">
      <c r="A278" s="37" t="n"/>
      <c r="B278" s="38" t="n"/>
      <c r="C278" s="39"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1" t="n"/>
      <c r="Y278" s="40" t="n"/>
      <c r="Z278" s="40" t="n"/>
      <c r="AA278" s="42">
        <f>IF(OR(D278="",D278=0),"",E278/D278)</f>
        <v/>
      </c>
      <c r="AB278" s="42">
        <f>IF(OR(F278="",F278=0),"",G278/F278)</f>
        <v/>
      </c>
      <c r="AC278" s="43">
        <f>IF(OR(L278="",L278=0),"",K278/L278)</f>
        <v/>
      </c>
      <c r="AD278" s="43">
        <f>IF(OR(T278="",T278=0),"",S278/T278)</f>
        <v/>
      </c>
    </row>
    <row r="279">
      <c r="A279" s="37" t="n"/>
      <c r="B279" s="38" t="n"/>
      <c r="C279" s="39"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1" t="n"/>
      <c r="Y279" s="40" t="n"/>
      <c r="Z279" s="40" t="n"/>
      <c r="AA279" s="42">
        <f>IF(OR(D279="",D279=0),"",E279/D279)</f>
        <v/>
      </c>
      <c r="AB279" s="42">
        <f>IF(OR(F279="",F279=0),"",G279/F279)</f>
        <v/>
      </c>
      <c r="AC279" s="43">
        <f>IF(OR(L279="",L279=0),"",K279/L279)</f>
        <v/>
      </c>
      <c r="AD279" s="43">
        <f>IF(OR(T279="",T279=0),"",S279/T279)</f>
        <v/>
      </c>
    </row>
    <row r="280">
      <c r="A280" s="37" t="n"/>
      <c r="B280" s="38" t="n"/>
      <c r="C280" s="39"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1" t="n"/>
      <c r="Y280" s="40" t="n"/>
      <c r="Z280" s="40" t="n"/>
      <c r="AA280" s="42">
        <f>IF(OR(D280="",D280=0),"",E280/D280)</f>
        <v/>
      </c>
      <c r="AB280" s="42">
        <f>IF(OR(F280="",F280=0),"",G280/F280)</f>
        <v/>
      </c>
      <c r="AC280" s="43">
        <f>IF(OR(L280="",L280=0),"",K280/L280)</f>
        <v/>
      </c>
      <c r="AD280" s="43">
        <f>IF(OR(T280="",T280=0),"",S280/T280)</f>
        <v/>
      </c>
    </row>
    <row r="281">
      <c r="A281" s="37" t="n"/>
      <c r="B281" s="38" t="n"/>
      <c r="C281" s="39"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1" t="n"/>
      <c r="Y281" s="40" t="n"/>
      <c r="Z281" s="40" t="n"/>
      <c r="AA281" s="42">
        <f>IF(OR(D281="",D281=0),"",E281/D281)</f>
        <v/>
      </c>
      <c r="AB281" s="42">
        <f>IF(OR(F281="",F281=0),"",G281/F281)</f>
        <v/>
      </c>
      <c r="AC281" s="43">
        <f>IF(OR(L281="",L281=0),"",K281/L281)</f>
        <v/>
      </c>
      <c r="AD281" s="43">
        <f>IF(OR(T281="",T281=0),"",S281/T281)</f>
        <v/>
      </c>
    </row>
    <row r="282">
      <c r="A282" s="37" t="n"/>
      <c r="B282" s="38" t="n"/>
      <c r="C282" s="39"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1" t="n"/>
      <c r="Y282" s="40" t="n"/>
      <c r="Z282" s="40" t="n"/>
      <c r="AA282" s="42">
        <f>IF(OR(D282="",D282=0),"",E282/D282)</f>
        <v/>
      </c>
      <c r="AB282" s="42">
        <f>IF(OR(F282="",F282=0),"",G282/F282)</f>
        <v/>
      </c>
      <c r="AC282" s="43">
        <f>IF(OR(L282="",L282=0),"",K282/L282)</f>
        <v/>
      </c>
      <c r="AD282" s="43">
        <f>IF(OR(T282="",T282=0),"",S282/T282)</f>
        <v/>
      </c>
    </row>
    <row r="283">
      <c r="A283" s="37" t="n"/>
      <c r="B283" s="38" t="n"/>
      <c r="C283" s="39"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1" t="n"/>
      <c r="Y283" s="40" t="n"/>
      <c r="Z283" s="40" t="n"/>
      <c r="AA283" s="42">
        <f>IF(OR(D283="",D283=0),"",E283/D283)</f>
        <v/>
      </c>
      <c r="AB283" s="42">
        <f>IF(OR(F283="",F283=0),"",G283/F283)</f>
        <v/>
      </c>
      <c r="AC283" s="43">
        <f>IF(OR(L283="",L283=0),"",K283/L283)</f>
        <v/>
      </c>
      <c r="AD283" s="43">
        <f>IF(OR(T283="",T283=0),"",S283/T283)</f>
        <v/>
      </c>
    </row>
    <row r="284">
      <c r="A284" s="37" t="n"/>
      <c r="B284" s="38" t="n"/>
      <c r="C284" s="39"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1" t="n"/>
      <c r="Y284" s="40" t="n"/>
      <c r="Z284" s="40" t="n"/>
      <c r="AA284" s="42">
        <f>IF(OR(D284="",D284=0),"",E284/D284)</f>
        <v/>
      </c>
      <c r="AB284" s="42">
        <f>IF(OR(F284="",F284=0),"",G284/F284)</f>
        <v/>
      </c>
      <c r="AC284" s="43">
        <f>IF(OR(L284="",L284=0),"",K284/L284)</f>
        <v/>
      </c>
      <c r="AD284" s="43">
        <f>IF(OR(T284="",T284=0),"",S284/T284)</f>
        <v/>
      </c>
    </row>
    <row r="285">
      <c r="A285" s="37" t="n"/>
      <c r="B285" s="38" t="n"/>
      <c r="C285" s="39"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1" t="n"/>
      <c r="Y285" s="40" t="n"/>
      <c r="Z285" s="40" t="n"/>
      <c r="AA285" s="42">
        <f>IF(OR(D285="",D285=0),"",E285/D285)</f>
        <v/>
      </c>
      <c r="AB285" s="42">
        <f>IF(OR(F285="",F285=0),"",G285/F285)</f>
        <v/>
      </c>
      <c r="AC285" s="43">
        <f>IF(OR(L285="",L285=0),"",K285/L285)</f>
        <v/>
      </c>
      <c r="AD285" s="43">
        <f>IF(OR(T285="",T285=0),"",S285/T285)</f>
        <v/>
      </c>
    </row>
    <row r="286">
      <c r="A286" s="37" t="n"/>
      <c r="B286" s="38" t="n"/>
      <c r="C286" s="39"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1" t="n"/>
      <c r="Y286" s="40" t="n"/>
      <c r="Z286" s="40" t="n"/>
      <c r="AA286" s="42">
        <f>IF(OR(D286="",D286=0),"",E286/D286)</f>
        <v/>
      </c>
      <c r="AB286" s="42">
        <f>IF(OR(F286="",F286=0),"",G286/F286)</f>
        <v/>
      </c>
      <c r="AC286" s="43">
        <f>IF(OR(L286="",L286=0),"",K286/L286)</f>
        <v/>
      </c>
      <c r="AD286" s="43">
        <f>IF(OR(T286="",T286=0),"",S286/T286)</f>
        <v/>
      </c>
    </row>
    <row r="287">
      <c r="A287" s="37" t="n"/>
      <c r="B287" s="38" t="n"/>
      <c r="C287" s="39"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1" t="n"/>
      <c r="Y287" s="40" t="n"/>
      <c r="Z287" s="40" t="n"/>
      <c r="AA287" s="42">
        <f>IF(OR(D287="",D287=0),"",E287/D287)</f>
        <v/>
      </c>
      <c r="AB287" s="42">
        <f>IF(OR(F287="",F287=0),"",G287/F287)</f>
        <v/>
      </c>
      <c r="AC287" s="43">
        <f>IF(OR(L287="",L287=0),"",K287/L287)</f>
        <v/>
      </c>
      <c r="AD287" s="43">
        <f>IF(OR(T287="",T287=0),"",S287/T287)</f>
        <v/>
      </c>
    </row>
    <row r="288">
      <c r="A288" s="37" t="n"/>
      <c r="B288" s="38" t="n"/>
      <c r="C288" s="39"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1" t="n"/>
      <c r="Y288" s="40" t="n"/>
      <c r="Z288" s="40" t="n"/>
      <c r="AA288" s="42">
        <f>IF(OR(D288="",D288=0),"",E288/D288)</f>
        <v/>
      </c>
      <c r="AB288" s="42">
        <f>IF(OR(F288="",F288=0),"",G288/F288)</f>
        <v/>
      </c>
      <c r="AC288" s="43">
        <f>IF(OR(L288="",L288=0),"",K288/L288)</f>
        <v/>
      </c>
      <c r="AD288" s="43">
        <f>IF(OR(T288="",T288=0),"",S288/T288)</f>
        <v/>
      </c>
    </row>
    <row r="289">
      <c r="A289" s="37" t="n"/>
      <c r="B289" s="38" t="n"/>
      <c r="C289" s="39"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1" t="n"/>
      <c r="Y289" s="40" t="n"/>
      <c r="Z289" s="40" t="n"/>
      <c r="AA289" s="42">
        <f>IF(OR(D289="",D289=0),"",E289/D289)</f>
        <v/>
      </c>
      <c r="AB289" s="42">
        <f>IF(OR(F289="",F289=0),"",G289/F289)</f>
        <v/>
      </c>
      <c r="AC289" s="43">
        <f>IF(OR(L289="",L289=0),"",K289/L289)</f>
        <v/>
      </c>
      <c r="AD289" s="43">
        <f>IF(OR(T289="",T289=0),"",S289/T289)</f>
        <v/>
      </c>
    </row>
    <row r="290">
      <c r="A290" s="37" t="n"/>
      <c r="B290" s="38" t="n"/>
      <c r="C290" s="39"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1" t="n"/>
      <c r="Y290" s="40" t="n"/>
      <c r="Z290" s="40" t="n"/>
      <c r="AA290" s="42">
        <f>IF(OR(D290="",D290=0),"",E290/D290)</f>
        <v/>
      </c>
      <c r="AB290" s="42">
        <f>IF(OR(F290="",F290=0),"",G290/F290)</f>
        <v/>
      </c>
      <c r="AC290" s="43">
        <f>IF(OR(L290="",L290=0),"",K290/L290)</f>
        <v/>
      </c>
      <c r="AD290" s="43">
        <f>IF(OR(T290="",T290=0),"",S290/T290)</f>
        <v/>
      </c>
    </row>
    <row r="291">
      <c r="A291" s="37" t="n"/>
      <c r="B291" s="38" t="n"/>
      <c r="C291" s="39"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1" t="n"/>
      <c r="Y291" s="40" t="n"/>
      <c r="Z291" s="40" t="n"/>
      <c r="AA291" s="42">
        <f>IF(OR(D291="",D291=0),"",E291/D291)</f>
        <v/>
      </c>
      <c r="AB291" s="42">
        <f>IF(OR(F291="",F291=0),"",G291/F291)</f>
        <v/>
      </c>
      <c r="AC291" s="43">
        <f>IF(OR(L291="",L291=0),"",K291/L291)</f>
        <v/>
      </c>
      <c r="AD291" s="43">
        <f>IF(OR(T291="",T291=0),"",S291/T291)</f>
        <v/>
      </c>
    </row>
    <row r="292">
      <c r="A292" s="37" t="n"/>
      <c r="B292" s="38" t="n"/>
      <c r="C292" s="39"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1" t="n"/>
      <c r="Y292" s="40" t="n"/>
      <c r="Z292" s="40" t="n"/>
      <c r="AA292" s="42">
        <f>IF(OR(D292="",D292=0),"",E292/D292)</f>
        <v/>
      </c>
      <c r="AB292" s="42">
        <f>IF(OR(F292="",F292=0),"",G292/F292)</f>
        <v/>
      </c>
      <c r="AC292" s="43">
        <f>IF(OR(L292="",L292=0),"",K292/L292)</f>
        <v/>
      </c>
      <c r="AD292" s="43">
        <f>IF(OR(T292="",T292=0),"",S292/T292)</f>
        <v/>
      </c>
    </row>
    <row r="293">
      <c r="A293" s="37" t="n"/>
      <c r="B293" s="38" t="n"/>
      <c r="C293" s="39"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1" t="n"/>
      <c r="Y293" s="40" t="n"/>
      <c r="Z293" s="40" t="n"/>
      <c r="AA293" s="42">
        <f>IF(OR(D293="",D293=0),"",E293/D293)</f>
        <v/>
      </c>
      <c r="AB293" s="42">
        <f>IF(OR(F293="",F293=0),"",G293/F293)</f>
        <v/>
      </c>
      <c r="AC293" s="43">
        <f>IF(OR(L293="",L293=0),"",K293/L293)</f>
        <v/>
      </c>
      <c r="AD293" s="43">
        <f>IF(OR(T293="",T293=0),"",S293/T293)</f>
        <v/>
      </c>
    </row>
    <row r="294">
      <c r="A294" s="37" t="n"/>
      <c r="B294" s="38" t="n"/>
      <c r="C294" s="39"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1" t="n"/>
      <c r="Y294" s="40" t="n"/>
      <c r="Z294" s="40" t="n"/>
      <c r="AA294" s="42">
        <f>IF(OR(D294="",D294=0),"",E294/D294)</f>
        <v/>
      </c>
      <c r="AB294" s="42">
        <f>IF(OR(F294="",F294=0),"",G294/F294)</f>
        <v/>
      </c>
      <c r="AC294" s="43">
        <f>IF(OR(L294="",L294=0),"",K294/L294)</f>
        <v/>
      </c>
      <c r="AD294" s="43">
        <f>IF(OR(T294="",T294=0),"",S294/T294)</f>
        <v/>
      </c>
    </row>
    <row r="295">
      <c r="A295" s="37" t="n"/>
      <c r="B295" s="38" t="n"/>
      <c r="C295" s="39"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1" t="n"/>
      <c r="Y295" s="40" t="n"/>
      <c r="Z295" s="40" t="n"/>
      <c r="AA295" s="42">
        <f>IF(OR(D295="",D295=0),"",E295/D295)</f>
        <v/>
      </c>
      <c r="AB295" s="42">
        <f>IF(OR(F295="",F295=0),"",G295/F295)</f>
        <v/>
      </c>
      <c r="AC295" s="43">
        <f>IF(OR(L295="",L295=0),"",K295/L295)</f>
        <v/>
      </c>
      <c r="AD295" s="43">
        <f>IF(OR(T295="",T295=0),"",S295/T295)</f>
        <v/>
      </c>
    </row>
    <row r="296">
      <c r="A296" s="37" t="n"/>
      <c r="B296" s="38" t="n"/>
      <c r="C296" s="39"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1" t="n"/>
      <c r="Y296" s="40" t="n"/>
      <c r="Z296" s="40" t="n"/>
      <c r="AA296" s="42">
        <f>IF(OR(D296="",D296=0),"",E296/D296)</f>
        <v/>
      </c>
      <c r="AB296" s="42">
        <f>IF(OR(F296="",F296=0),"",G296/F296)</f>
        <v/>
      </c>
      <c r="AC296" s="43">
        <f>IF(OR(L296="",L296=0),"",K296/L296)</f>
        <v/>
      </c>
      <c r="AD296" s="43">
        <f>IF(OR(T296="",T296=0),"",S296/T296)</f>
        <v/>
      </c>
    </row>
    <row r="297">
      <c r="A297" s="37" t="n"/>
      <c r="B297" s="38" t="n"/>
      <c r="C297" s="39"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1" t="n"/>
      <c r="Y297" s="40" t="n"/>
      <c r="Z297" s="40" t="n"/>
      <c r="AA297" s="42">
        <f>IF(OR(D297="",D297=0),"",E297/D297)</f>
        <v/>
      </c>
      <c r="AB297" s="42">
        <f>IF(OR(F297="",F297=0),"",G297/F297)</f>
        <v/>
      </c>
      <c r="AC297" s="43">
        <f>IF(OR(L297="",L297=0),"",K297/L297)</f>
        <v/>
      </c>
      <c r="AD297" s="43">
        <f>IF(OR(T297="",T297=0),"",S297/T297)</f>
        <v/>
      </c>
    </row>
    <row r="298">
      <c r="A298" s="37" t="n"/>
      <c r="B298" s="38" t="n"/>
      <c r="C298" s="39"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1" t="n"/>
      <c r="Y298" s="40" t="n"/>
      <c r="Z298" s="40" t="n"/>
      <c r="AA298" s="42">
        <f>IF(OR(D298="",D298=0),"",E298/D298)</f>
        <v/>
      </c>
      <c r="AB298" s="42">
        <f>IF(OR(F298="",F298=0),"",G298/F298)</f>
        <v/>
      </c>
      <c r="AC298" s="43">
        <f>IF(OR(L298="",L298=0),"",K298/L298)</f>
        <v/>
      </c>
      <c r="AD298" s="43">
        <f>IF(OR(T298="",T298=0),"",S298/T298)</f>
        <v/>
      </c>
    </row>
    <row r="299">
      <c r="A299" s="37" t="n"/>
      <c r="B299" s="38" t="n"/>
      <c r="C299" s="39"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1" t="n"/>
      <c r="Y299" s="40" t="n"/>
      <c r="Z299" s="40" t="n"/>
      <c r="AA299" s="42">
        <f>IF(OR(D299="",D299=0),"",E299/D299)</f>
        <v/>
      </c>
      <c r="AB299" s="42">
        <f>IF(OR(F299="",F299=0),"",G299/F299)</f>
        <v/>
      </c>
      <c r="AC299" s="43">
        <f>IF(OR(L299="",L299=0),"",K299/L299)</f>
        <v/>
      </c>
      <c r="AD299" s="43">
        <f>IF(OR(T299="",T299=0),"",S299/T299)</f>
        <v/>
      </c>
    </row>
    <row r="300">
      <c r="A300" s="37" t="n"/>
      <c r="B300" s="38" t="n"/>
      <c r="C300" s="39"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1" t="n"/>
      <c r="Y300" s="40" t="n"/>
      <c r="Z300" s="40" t="n"/>
      <c r="AA300" s="42">
        <f>IF(OR(D300="",D300=0),"",E300/D300)</f>
        <v/>
      </c>
      <c r="AB300" s="42">
        <f>IF(OR(F300="",F300=0),"",G300/F300)</f>
        <v/>
      </c>
      <c r="AC300" s="43">
        <f>IF(OR(L300="",L300=0),"",K300/L300)</f>
        <v/>
      </c>
      <c r="AD300" s="43">
        <f>IF(OR(T300="",T300=0),"",S300/T300)</f>
        <v/>
      </c>
    </row>
    <row r="301">
      <c r="A301" s="37" t="n"/>
      <c r="B301" s="38" t="n"/>
      <c r="C301" s="39"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1" t="n"/>
      <c r="Y301" s="40" t="n"/>
      <c r="Z301" s="40" t="n"/>
      <c r="AA301" s="42">
        <f>IF(OR(D301="",D301=0),"",E301/D301)</f>
        <v/>
      </c>
      <c r="AB301" s="42">
        <f>IF(OR(F301="",F301=0),"",G301/F301)</f>
        <v/>
      </c>
      <c r="AC301" s="43">
        <f>IF(OR(L301="",L301=0),"",K301/L301)</f>
        <v/>
      </c>
      <c r="AD301" s="43">
        <f>IF(OR(T301="",T301=0),"",S301/T301)</f>
        <v/>
      </c>
    </row>
    <row r="302">
      <c r="A302" s="37" t="n"/>
      <c r="B302" s="38" t="n"/>
      <c r="C302" s="39"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1" t="n"/>
      <c r="Y302" s="40" t="n"/>
      <c r="Z302" s="40" t="n"/>
      <c r="AA302" s="42">
        <f>IF(OR(D302="",D302=0),"",E302/D302)</f>
        <v/>
      </c>
      <c r="AB302" s="42">
        <f>IF(OR(F302="",F302=0),"",G302/F302)</f>
        <v/>
      </c>
      <c r="AC302" s="43">
        <f>IF(OR(L302="",L302=0),"",K302/L302)</f>
        <v/>
      </c>
      <c r="AD302" s="43">
        <f>IF(OR(T302="",T302=0),"",S302/T302)</f>
        <v/>
      </c>
    </row>
    <row r="303">
      <c r="A303" s="37" t="n"/>
      <c r="B303" s="38" t="n"/>
      <c r="C303" s="39"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1" t="n"/>
      <c r="Y303" s="40" t="n"/>
      <c r="Z303" s="40" t="n"/>
      <c r="AA303" s="42">
        <f>IF(OR(D303="",D303=0),"",E303/D303)</f>
        <v/>
      </c>
      <c r="AB303" s="42">
        <f>IF(OR(F303="",F303=0),"",G303/F303)</f>
        <v/>
      </c>
      <c r="AC303" s="43">
        <f>IF(OR(L303="",L303=0),"",K303/L303)</f>
        <v/>
      </c>
      <c r="AD303" s="43">
        <f>IF(OR(T303="",T303=0),"",S303/T303)</f>
        <v/>
      </c>
    </row>
    <row r="304">
      <c r="A304" s="37" t="n"/>
      <c r="B304" s="38" t="n"/>
      <c r="C304" s="39"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1" t="n"/>
      <c r="Y304" s="40" t="n"/>
      <c r="Z304" s="40" t="n"/>
      <c r="AA304" s="42">
        <f>IF(OR(D304="",D304=0),"",E304/D304)</f>
        <v/>
      </c>
      <c r="AB304" s="42">
        <f>IF(OR(F304="",F304=0),"",G304/F304)</f>
        <v/>
      </c>
      <c r="AC304" s="43">
        <f>IF(OR(L304="",L304=0),"",K304/L304)</f>
        <v/>
      </c>
      <c r="AD304" s="43">
        <f>IF(OR(T304="",T304=0),"",S304/T304)</f>
        <v/>
      </c>
    </row>
    <row r="305">
      <c r="A305" s="37" t="n"/>
      <c r="B305" s="38" t="n"/>
      <c r="C305" s="39"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1" t="n"/>
      <c r="Y305" s="40" t="n"/>
      <c r="Z305" s="40" t="n"/>
      <c r="AA305" s="42">
        <f>IF(OR(D305="",D305=0),"",E305/D305)</f>
        <v/>
      </c>
      <c r="AB305" s="42">
        <f>IF(OR(F305="",F305=0),"",G305/F305)</f>
        <v/>
      </c>
      <c r="AC305" s="43">
        <f>IF(OR(L305="",L305=0),"",K305/L305)</f>
        <v/>
      </c>
      <c r="AD305" s="43">
        <f>IF(OR(T305="",T305=0),"",S305/T305)</f>
        <v/>
      </c>
    </row>
  </sheetData>
  <autoFilter ref="A5:AD305"/>
  <dataValidations count="1">
    <dataValidation sqref="C6:C305" showDropDown="0" showInputMessage="0" showErrorMessage="1" allowBlank="1" errorTitle="Valor no válido" error="Seleccione un valor de la lista." prompt="Seleccione fase del proyecto" type="list">
      <formula1>=Fases</formula1>
    </dataValidation>
  </dataValidations>
  <printOptions horizontalCentered="1"/>
  <pageMargins left="0.4" right="0.4" top="0.6" bottom="0.6" header="0.5" footer="0.5"/>
  <pageSetup orientation="landscape" paperSize="9" fitToHeight="0" fitToWidth="1"/>
  <headerFooter>
    <oddHeader>&amp;L&amp;8 Kit de implementación AWP&amp;R&amp;8 Datos semanales para el cálculo de KPI</oddHeader>
    <oddFooter>&amp;L&amp;8 Proyecto Tipo (PT) – Complejo de instalaciones en tres fases&amp;R&amp;8 Página &amp;P de &amp;N</oddFooter>
    <evenHeader/>
    <evenFooter/>
    <firstHeader/>
    <firstFooter/>
  </headerFooter>
</worksheet>
</file>

<file path=xl/worksheets/sheet5.xml><?xml version="1.0" encoding="utf-8"?>
<worksheet xmlns="http://schemas.openxmlformats.org/spreadsheetml/2006/main">
  <sheetPr>
    <tabColor rgb="007F7F7F"/>
    <outlinePr summaryBelow="1" summaryRight="1"/>
    <pageSetUpPr/>
  </sheetPr>
  <dimension ref="A1:A5"/>
  <sheetViews>
    <sheetView tabSelected="0" workbookViewId="0">
      <pane ySplit="2" topLeftCell="A3" activePane="bottomLeft" state="frozen"/>
      <selection pane="bottomLeft" activeCell="A1" sqref="A1"/>
    </sheetView>
  </sheetViews>
  <sheetFormatPr baseColWidth="8" defaultRowHeight="15"/>
  <cols>
    <col width="14" customWidth="1" min="1" max="1"/>
  </cols>
  <sheetData>
    <row r="1">
      <c r="A1" s="44" t="inlineStr">
        <is>
          <t>Valores de las listas desplegables. Puede ampliarlas agregando valores al final de cada columna y ajustando el rango con nombre (Fórmulas &gt; Administrador de nombres).</t>
        </is>
      </c>
    </row>
    <row r="2">
      <c r="A2" s="45" t="inlineStr">
        <is>
          <t>Fases</t>
        </is>
      </c>
    </row>
    <row r="3">
      <c r="A3" s="46" t="inlineStr">
        <is>
          <t>Fase 1</t>
        </is>
      </c>
    </row>
    <row r="4">
      <c r="A4" s="46" t="inlineStr">
        <is>
          <t>Fase 2</t>
        </is>
      </c>
    </row>
    <row r="5">
      <c r="A5" s="46" t="inlineStr">
        <is>
          <t>Fase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Tablero de KPI por fase</dc:title>
  <dc:subject xmlns:dc="http://purl.org/dc/elements/1.1/">Proyecto Tipo (PT) – Complejo de instalaciones en tres fases</dc:subject>
  <dcterms:created xmlns:dcterms="http://purl.org/dc/terms/" xmlns:xsi="http://www.w3.org/2001/XMLSchema-instance" xsi:type="dcterms:W3CDTF">2026-09-25T03:31:54Z</dcterms:created>
  <dcterms:modified xmlns:dcterms="http://purl.org/dc/terms/" xmlns:xsi="http://www.w3.org/2001/XMLSchema-instance" xsi:type="dcterms:W3CDTF">2026-09-25T03:31:55Z</dcterms:modified>
</cp:coreProperties>
</file>