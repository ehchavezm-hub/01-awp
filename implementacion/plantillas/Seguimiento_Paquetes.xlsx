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quetes" sheetId="2" state="visible" r:id="rId2"/>
    <sheet xmlns:r="http://schemas.openxmlformats.org/officeDocument/2006/relationships" name="Resumen por fase" sheetId="3" state="visible" r:id="rId3"/>
    <sheet xmlns:r="http://schemas.openxmlformats.org/officeDocument/2006/relationships" name="Restricciones" sheetId="4" state="visible" r:id="rId4"/>
    <sheet xmlns:r="http://schemas.openxmlformats.org/officeDocument/2006/relationships" name="Listas" sheetId="5" state="visible" r:id="rId5"/>
  </sheets>
  <definedNames>
    <definedName name="Fases">Listas!$A$3:$A$5</definedName>
    <definedName name="TiposPaquete">Listas!$B$3:$B$7</definedName>
    <definedName name="Disciplinas">Listas!$C$3:$C$10</definedName>
    <definedName name="EstadosPaquete">Listas!$D$3:$D$10</definedName>
    <definedName name="Roles">Listas!$E$3:$E$18</definedName>
    <definedName name="EstadosRestriccion">Listas!$F$3:$F$6</definedName>
    <definedName name="_xlnm.Print_Area" localSheetId="0">'Instrucciones'!$A$1:$C$46</definedName>
    <definedName name="_xlnm._FilterDatabase" localSheetId="1" hidden="1">'Paquetes'!$A$5:$U$505</definedName>
    <definedName name="_xlnm.Print_Titles" localSheetId="1">'Paquetes'!$5:$5</definedName>
    <definedName name="_xlnm.Print_Area" localSheetId="1">'Paquetes'!$A$1:$U$55</definedName>
    <definedName name="_xlnm.Print_Area" localSheetId="2">'Resumen por fase'!$A$1:$I$28</definedName>
    <definedName name="_xlnm._FilterDatabase" localSheetId="3" hidden="1">'Restricciones'!$A$5:$F$305</definedName>
    <definedName name="_xlnm.Print_Titles" localSheetId="3">'Restricciones'!$5:$5</definedName>
    <definedName name="_xlnm.Print_Area" localSheetId="3">'Restricciones'!$A$1:$F$55</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13">
    <font>
      <name val="Calibri"/>
      <family val="2"/>
      <color theme="1"/>
      <sz val="11"/>
      <scheme val="minor"/>
    </font>
    <font>
      <name val="Calibri"/>
      <b val="1"/>
      <color rgb="001F3864"/>
      <sz val="15"/>
    </font>
    <font>
      <name val="Calibri"/>
      <i val="1"/>
      <color rgb="00595959"/>
      <sz val="10"/>
    </font>
    <font>
      <name val="Calibri"/>
      <b val="1"/>
      <sz val="10"/>
    </font>
    <font>
      <name val="Calibri"/>
      <b val="1"/>
      <color rgb="00FFFFFF"/>
      <sz val="10"/>
    </font>
    <font>
      <name val="Calibri"/>
      <color rgb="00000000"/>
      <sz val="10"/>
    </font>
    <font>
      <name val="Calibri"/>
      <color rgb="00404040"/>
      <sz val="10"/>
    </font>
    <font>
      <name val="Calibri"/>
      <b val="1"/>
      <color rgb="001F3864"/>
      <sz val="12"/>
    </font>
    <font>
      <name val="Calibri"/>
      <sz val="10"/>
    </font>
    <font>
      <name val="Calibri"/>
      <b val="1"/>
      <color rgb="001F3864"/>
      <sz val="16"/>
    </font>
    <font>
      <name val="Calibri"/>
      <b val="1"/>
      <color rgb="001F3864"/>
      <sz val="11"/>
    </font>
    <font>
      <name val="Calibri"/>
      <b val="1"/>
      <color rgb="00FFFFFF"/>
    </font>
    <font>
      <name val="Calibri"/>
      <i val="1"/>
      <sz val="9"/>
    </font>
  </fonts>
  <fills count="7">
    <fill>
      <patternFill/>
    </fill>
    <fill>
      <patternFill patternType="gray125"/>
    </fill>
    <fill>
      <patternFill patternType="solid">
        <fgColor rgb="00DCE6F2"/>
        <bgColor rgb="00DCE6F2"/>
      </patternFill>
    </fill>
    <fill>
      <patternFill patternType="solid">
        <fgColor rgb="001F3864"/>
        <bgColor rgb="001F3864"/>
      </patternFill>
    </fill>
    <fill>
      <patternFill patternType="solid">
        <fgColor rgb="002F5597"/>
        <bgColor rgb="002F5597"/>
      </patternFill>
    </fill>
    <fill>
      <patternFill patternType="solid">
        <fgColor rgb="00FFF2CC"/>
        <bgColor rgb="00FFF2CC"/>
      </patternFill>
    </fill>
    <fill>
      <patternFill patternType="solid">
        <fgColor rgb="00F2F2F2"/>
        <b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8">
    <xf numFmtId="0" fontId="0" fillId="0" borderId="0" pivotButton="0" quotePrefix="0" xfId="0"/>
    <xf numFmtId="0" fontId="9" fillId="0" borderId="0" pivotButton="0" quotePrefix="0" xfId="0"/>
    <xf numFmtId="0" fontId="2" fillId="0" borderId="0" pivotButton="0" quotePrefix="0" xfId="0"/>
    <xf numFmtId="0" fontId="10" fillId="0" borderId="0" applyAlignment="1" pivotButton="0" quotePrefix="0" xfId="0">
      <alignment vertical="top"/>
    </xf>
    <xf numFmtId="0" fontId="8" fillId="0" borderId="0" applyAlignment="1" pivotButton="0" quotePrefix="0" xfId="0">
      <alignment vertical="top" wrapText="1"/>
    </xf>
    <xf numFmtId="0" fontId="7" fillId="0" borderId="0" pivotButton="0" quotePrefix="0" xfId="0"/>
    <xf numFmtId="0" fontId="11" fillId="3" borderId="1" pivotButton="0" quotePrefix="0" xfId="0"/>
    <xf numFmtId="0" fontId="3" fillId="0" borderId="1" applyAlignment="1" pivotButton="0" quotePrefix="0" xfId="0">
      <alignment vertical="top" wrapText="1"/>
    </xf>
    <xf numFmtId="0" fontId="8" fillId="0" borderId="1" applyAlignment="1" pivotButton="0" quotePrefix="0" xfId="0">
      <alignment vertical="top" wrapText="1"/>
    </xf>
    <xf numFmtId="0" fontId="3" fillId="6" borderId="1" applyAlignment="1" pivotButton="0" quotePrefix="0" xfId="0">
      <alignment vertical="top" wrapText="1"/>
    </xf>
    <xf numFmtId="0" fontId="8" fillId="6" borderId="1" applyAlignment="1" pivotButton="0" quotePrefix="0" xfId="0">
      <alignment vertical="top" wrapText="1"/>
    </xf>
    <xf numFmtId="0" fontId="1" fillId="0" borderId="0" pivotButton="0" quotePrefix="0" xfId="0"/>
    <xf numFmtId="0" fontId="3" fillId="0" borderId="0" applyAlignment="1" pivotButton="0" quotePrefix="0" xfId="0">
      <alignment horizontal="right"/>
    </xf>
    <xf numFmtId="165" fontId="3" fillId="2" borderId="1" pivotButton="0" quotePrefix="0" xfId="0"/>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5" borderId="1" applyAlignment="1" pivotButton="0" quotePrefix="0" xfId="0">
      <alignment horizontal="center" vertical="top"/>
    </xf>
    <xf numFmtId="0" fontId="5" fillId="5" borderId="1" applyAlignment="1" pivotButton="0" quotePrefix="0" xfId="0">
      <alignment vertical="top"/>
    </xf>
    <xf numFmtId="0" fontId="5" fillId="5" borderId="1" applyAlignment="1" pivotButton="0" quotePrefix="0" xfId="0">
      <alignment vertical="top" wrapText="1"/>
    </xf>
    <xf numFmtId="165" fontId="5" fillId="5" borderId="1" applyAlignment="1" pivotButton="0" quotePrefix="0" xfId="0">
      <alignment horizontal="center" vertical="top"/>
    </xf>
    <xf numFmtId="9" fontId="5" fillId="5" borderId="1" applyAlignment="1" pivotButton="0" quotePrefix="0" xfId="0">
      <alignment horizontal="center" vertical="top"/>
    </xf>
    <xf numFmtId="3" fontId="5" fillId="5" borderId="1" applyAlignment="1" pivotButton="0" quotePrefix="0" xfId="0">
      <alignment vertical="top"/>
    </xf>
    <xf numFmtId="3" fontId="6" fillId="5" borderId="1" applyAlignment="1" pivotButton="0" quotePrefix="0" xfId="0">
      <alignment vertical="top"/>
    </xf>
    <xf numFmtId="0" fontId="6" fillId="5" borderId="1" applyAlignment="1" pivotButton="0" quotePrefix="0" xfId="0">
      <alignment vertical="top"/>
    </xf>
    <xf numFmtId="0" fontId="5" fillId="0" borderId="1" applyAlignment="1" pivotButton="0" quotePrefix="0" xfId="0">
      <alignment horizontal="center" vertical="top"/>
    </xf>
    <xf numFmtId="0" fontId="5" fillId="0" borderId="1" applyAlignment="1" pivotButton="0" quotePrefix="0" xfId="0">
      <alignment vertical="top"/>
    </xf>
    <xf numFmtId="0" fontId="5" fillId="0" borderId="1" applyAlignment="1" pivotButton="0" quotePrefix="0" xfId="0">
      <alignment vertical="top" wrapText="1"/>
    </xf>
    <xf numFmtId="165" fontId="5" fillId="0" borderId="1" applyAlignment="1" pivotButton="0" quotePrefix="0" xfId="0">
      <alignment horizontal="center" vertical="top"/>
    </xf>
    <xf numFmtId="9" fontId="5" fillId="0" borderId="1" applyAlignment="1" pivotButton="0" quotePrefix="0" xfId="0">
      <alignment horizontal="center" vertical="top"/>
    </xf>
    <xf numFmtId="3" fontId="5" fillId="0" borderId="1" applyAlignment="1" pivotButton="0" quotePrefix="0" xfId="0">
      <alignment vertical="top"/>
    </xf>
    <xf numFmtId="3" fontId="6" fillId="6" borderId="1" applyAlignment="1" pivotButton="0" quotePrefix="0" xfId="0">
      <alignment vertical="top"/>
    </xf>
    <xf numFmtId="0" fontId="6" fillId="6" borderId="1" applyAlignment="1" pivotButton="0" quotePrefix="0" xfId="0">
      <alignment vertical="top"/>
    </xf>
    <xf numFmtId="0" fontId="3" fillId="2" borderId="1" pivotButton="0" quotePrefix="0" xfId="0"/>
    <xf numFmtId="1" fontId="8" fillId="0" borderId="1" applyAlignment="1" pivotButton="0" quotePrefix="0" xfId="0">
      <alignment horizontal="center"/>
    </xf>
    <xf numFmtId="9" fontId="8" fillId="0" borderId="1" applyAlignment="1" pivotButton="0" quotePrefix="0" xfId="0">
      <alignment horizontal="center"/>
    </xf>
    <xf numFmtId="0" fontId="12" fillId="0" borderId="0" pivotButton="0" quotePrefix="0" xfId="0"/>
    <xf numFmtId="0" fontId="11" fillId="3" borderId="0" pivotButton="0" quotePrefix="0" xfId="0"/>
    <xf numFmtId="0" fontId="8" fillId="0" borderId="0" pivotButton="0" quotePrefix="0" xfId="0"/>
  </cellXfs>
  <cellStyles count="1">
    <cellStyle name="Normal" xfId="0" builtinId="0" hidden="0"/>
  </cellStyles>
  <dxfs count="4">
    <dxf>
      <font>
        <color rgb="009C0006"/>
      </font>
      <fill>
        <patternFill patternType="solid">
          <fgColor rgb="00F8CBAD"/>
          <bgColor rgb="00F8CBAD"/>
        </patternFill>
      </fill>
    </dxf>
    <dxf>
      <fill>
        <patternFill patternType="solid">
          <fgColor rgb="00FFE699"/>
          <bgColor rgb="00FFE699"/>
        </patternFill>
      </fill>
    </dxf>
    <dxf>
      <font>
        <color rgb="00006100"/>
      </font>
      <fill>
        <patternFill patternType="solid">
          <fgColor rgb="00C6EFCE"/>
          <bgColor rgb="00C6EFCE"/>
        </patternFill>
      </fill>
    </dxf>
    <dxf>
      <font>
        <b val="1"/>
      </font>
      <fill>
        <patternFill patternType="solid">
          <fgColor rgb="00FFE699"/>
          <b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548235"/>
    <outlinePr summaryBelow="1" summaryRight="1"/>
    <pageSetUpPr fitToPage="1"/>
  </sheetPr>
  <dimension ref="A1:C44"/>
  <sheetViews>
    <sheetView tabSelected="1" workbookViewId="0">
      <pane ySplit="3" topLeftCell="A4" activePane="bottomLeft" state="frozen"/>
      <selection pane="bottomLeft" activeCell="A1" sqref="A1"/>
    </sheetView>
  </sheetViews>
  <sheetFormatPr baseColWidth="8" defaultRowHeight="15"/>
  <cols>
    <col width="30" customWidth="1" min="1" max="1"/>
    <col width="70" customWidth="1" min="2" max="2"/>
    <col width="14" customWidth="1" min="3" max="3"/>
  </cols>
  <sheetData>
    <row r="1">
      <c r="A1" s="1" t="inlineStr">
        <is>
          <t>Seguimiento de paquetes</t>
        </is>
      </c>
    </row>
    <row r="2">
      <c r="A2" s="2" t="inlineStr">
        <is>
          <t>Kit de implementación AWP · Proyecto Tipo (PT) – Complejo de instalaciones en tres fases</t>
        </is>
      </c>
    </row>
    <row r="4" ht="56" customHeight="1">
      <c r="A4" s="3" t="inlineStr">
        <is>
          <t>Propósito</t>
        </is>
      </c>
      <c r="B4" s="4" t="inlineStr">
        <is>
          <t>Registrar todos los paquetes AWP del proyecto (CWA, CWP, EWP, PWP e IWP) con su fase, sus relaciones, estado, fechas plan y real, avance y restricciones abiertas, para controlar que ingeniería y procura entreguen a tiempo lo que construcción necesita. Es el equivalente del «Pack Track» del procedimiento 3.0.</t>
        </is>
      </c>
    </row>
    <row r="5" ht="28" customHeight="1">
      <c r="A5" s="3" t="inlineStr">
        <is>
          <t>Cuándo se usa</t>
        </is>
      </c>
      <c r="B5" s="4" t="inlineStr">
        <is>
          <t>Desde la planificación temprana (cuando se define el plan de liberación CWP/EWP/PWP) hasta el cierre de cada fase. Se actualiza cada semana.</t>
        </is>
      </c>
    </row>
    <row r="6" ht="28" customHeight="1">
      <c r="A6" s="3" t="inlineStr">
        <is>
          <t>Quién la llena</t>
        </is>
      </c>
      <c r="B6" s="4" t="inlineStr">
        <is>
          <t>Controles del proyecto y el Líder de WFP. Ingeniería actualiza sus EWP, procura sus PWP y los planificadores sus IWP.</t>
        </is>
      </c>
    </row>
    <row r="7" ht="154" customHeight="1">
      <c r="A7" s="3" t="inlineStr">
        <is>
          <t>Cómo llenarla</t>
        </is>
      </c>
      <c r="B7" s="4" t="inlineStr">
        <is>
          <t>1. Actualice la fecha de corte (celda B3). Para que se actualice sola, escriba =HOY().
2. Borre las filas amarillas de ejemplo.
3. Registre primero las CWA, luego los CWP y, para cada CWP, su EWP y su PWP (mismo sufijo de código). Agregue los IWP a medida que se crean.
4. Complete siempre las columnas CWA y CWP asociado: son las que relacionan los paquetes entre sí.
5. Cargue fechas plan desde el Path of Construction y el programa de liberación de IWP; no cambie la línea base, registre las fechas reales.
6. Pegue en la hoja «Restricciones» las columnas del registro de restricciones para calcular las restricciones abiertas.
7. Revise la hoja «Resumen por fase» para comparar las fases.</t>
        </is>
      </c>
    </row>
    <row r="8" ht="42" customHeight="1">
      <c r="A8" s="3" t="inlineStr">
        <is>
          <t>Colores</t>
        </is>
      </c>
      <c r="B8" s="4" t="inlineStr">
        <is>
          <t>Amarillo: fila de ejemplo (bórrela o reemplácela). Encabezado azul oscuro: dato que se ingresa. Encabezado azul medio y celda gris: columna calculada con fórmula (no la sobrescriba). Rojo: vencido o fuera de meta. Ámbar: por vencer o cerca del límite. Verde: cumplido.</t>
        </is>
      </c>
    </row>
    <row r="9" ht="42" customHeight="1">
      <c r="A9" s="3" t="inlineStr">
        <is>
          <t>Impresión</t>
        </is>
      </c>
      <c r="B9" s="4" t="inlineStr">
        <is>
          <t>Cada hoja está configurada en A4, ajustada al ancho de la página, con el encabezado repetido en cada página. El área de impresión de las hojas de datos cubre las primeras 50 filas: si usa más, amplíela en Diseño de página &gt; Área de impresión.</t>
        </is>
      </c>
    </row>
    <row r="10" ht="154" customHeight="1">
      <c r="A10" s="3" t="inlineStr">
        <is>
          <t>Significado de los estados</t>
        </is>
      </c>
      <c r="B10" s="4" t="inlineStr">
        <is>
          <t>• Planificado: Identificado en el plan de liberación; aún no se trabaja en él.
• En desarrollo: Se está preparando (diseño, compra o armado del paquete).
• En revisión: Preparado y en revisión interna o del cliente.
• Aprobado: Aprobado: EWP emitido IFC, PWP con orden de compra, CWP aprobado, CWA/IWP aprobados.
• Liberado: IWP sin restricciones abiertas y con checklist firmado (en backlog); CWP emitido a construcción.
• En ejecución: Trabajo en campo en curso (CWA, CWP e IWP) o material en fabricación/entrega (PWP).
• Cerrado: Trabajo terminado y documentación cerrada (calidad, avance, materiales).
• Suspendido: Detenido o devuelto de campo; registrar la causa en observaciones.</t>
        </is>
      </c>
    </row>
    <row r="11" ht="42" customHeight="1">
      <c r="A11" s="3" t="inlineStr">
        <is>
          <t>Formato condicional</t>
        </is>
      </c>
      <c r="B11" s="4" t="inlineStr">
        <is>
          <t>Situación en rojo: paquete atrasado o con inicio atrasado. Ámbar: cerrado con atraso o con restricciones abiertas. Verde: en plazo o cerrado sin atraso. La barra azul muestra el % de avance.</t>
        </is>
      </c>
    </row>
    <row r="13">
      <c r="A13" s="5" t="inlineStr">
        <is>
          <t>Columnas de la hoja «Paquetes»</t>
        </is>
      </c>
    </row>
    <row r="14">
      <c r="A14" s="6" t="inlineStr">
        <is>
          <t>Columna</t>
        </is>
      </c>
      <c r="B14" s="6" t="inlineStr">
        <is>
          <t>Significado</t>
        </is>
      </c>
      <c r="C14" s="6" t="inlineStr">
        <is>
          <t>Tipo de dato</t>
        </is>
      </c>
    </row>
    <row r="15" ht="15" customHeight="1">
      <c r="A15" s="7" t="inlineStr">
        <is>
          <t>Ejemplo</t>
        </is>
      </c>
      <c r="B15" s="8" t="inlineStr">
        <is>
          <t>Contiene «EJEMPLO» en las filas de ejemplo. Déjela vacía en las filas reales.</t>
        </is>
      </c>
      <c r="C15" s="8" t="inlineStr">
        <is>
          <t>Manual</t>
        </is>
      </c>
    </row>
    <row r="16" ht="28" customHeight="1">
      <c r="A16" s="7" t="inlineStr">
        <is>
          <t>Código</t>
        </is>
      </c>
      <c r="B16" s="8" t="inlineStr">
        <is>
          <t>Código del paquete según la codificación del kit (CWA-2.01, CWP-2.01-EST-01, EWP-…, PWP-…, IWP-…-001).</t>
        </is>
      </c>
      <c r="C16" s="8" t="inlineStr">
        <is>
          <t>Manual</t>
        </is>
      </c>
    </row>
    <row r="17" ht="15" customHeight="1">
      <c r="A17" s="7" t="inlineStr">
        <is>
          <t>Tipo</t>
        </is>
      </c>
      <c r="B17" s="8" t="inlineStr">
        <is>
          <t>CWA, CWP, EWP, PWP o IWP.</t>
        </is>
      </c>
      <c r="C17" s="8" t="inlineStr">
        <is>
          <t>Lista</t>
        </is>
      </c>
    </row>
    <row r="18" ht="15" customHeight="1">
      <c r="A18" s="7" t="inlineStr">
        <is>
          <t>Fase del proyecto</t>
        </is>
      </c>
      <c r="B18" s="8" t="inlineStr">
        <is>
          <t>Fase del proyecto a la que pertenece el paquete.</t>
        </is>
      </c>
      <c r="C18" s="8" t="inlineStr">
        <is>
          <t>Lista</t>
        </is>
      </c>
    </row>
    <row r="19" ht="15" customHeight="1">
      <c r="A19" s="7" t="inlineStr">
        <is>
          <t>Descripción</t>
        </is>
      </c>
      <c r="B19" s="8" t="inlineStr">
        <is>
          <t>Nombre o alcance resumido del paquete.</t>
        </is>
      </c>
      <c r="C19" s="8" t="inlineStr">
        <is>
          <t>Manual</t>
        </is>
      </c>
    </row>
    <row r="20" ht="15" customHeight="1">
      <c r="A20" s="7" t="inlineStr">
        <is>
          <t>Disciplina</t>
        </is>
      </c>
      <c r="B20" s="8" t="inlineStr">
        <is>
          <t>Código de disciplina (VAR para CWA con varias disciplinas).</t>
        </is>
      </c>
      <c r="C20" s="8" t="inlineStr">
        <is>
          <t>Lista</t>
        </is>
      </c>
    </row>
    <row r="21" ht="15" customHeight="1">
      <c r="A21" s="7" t="inlineStr">
        <is>
          <t>CWA</t>
        </is>
      </c>
      <c r="B21" s="8" t="inlineStr">
        <is>
          <t>CWA a la que pertenece el paquete (relación jerárquica).</t>
        </is>
      </c>
      <c r="C21" s="8" t="inlineStr">
        <is>
          <t>Manual</t>
        </is>
      </c>
    </row>
    <row r="22" ht="28" customHeight="1">
      <c r="A22" s="7" t="inlineStr">
        <is>
          <t>CWP asociado</t>
        </is>
      </c>
      <c r="B22" s="8" t="inlineStr">
        <is>
          <t>CWP al que alimenta (EWP, PWP) o del que proviene (IWP). Para un CWP, su propio código. Vacío para una CWA.</t>
        </is>
      </c>
      <c r="C22" s="8" t="inlineStr">
        <is>
          <t>Manual</t>
        </is>
      </c>
    </row>
    <row r="23" ht="15" customHeight="1">
      <c r="A23" s="7" t="inlineStr">
        <is>
          <t>Sistema</t>
        </is>
      </c>
      <c r="B23" s="8" t="inlineStr">
        <is>
          <t>Sistema de comisionamiento al que pertenece (permite preparar los SWP).</t>
        </is>
      </c>
      <c r="C23" s="8" t="inlineStr">
        <is>
          <t>Manual</t>
        </is>
      </c>
    </row>
    <row r="24" ht="15" customHeight="1">
      <c r="A24" s="7" t="inlineStr">
        <is>
          <t>Responsable (rol)</t>
        </is>
      </c>
      <c r="B24" s="8" t="inlineStr">
        <is>
          <t>Rol responsable del paquete.</t>
        </is>
      </c>
      <c r="C24" s="8" t="inlineStr">
        <is>
          <t>Lista</t>
        </is>
      </c>
    </row>
    <row r="25" ht="15" customHeight="1">
      <c r="A25" s="7" t="inlineStr">
        <is>
          <t>Estado</t>
        </is>
      </c>
      <c r="B25" s="8" t="inlineStr">
        <is>
          <t>Estado del paquete (ver significado de cada estado más abajo).</t>
        </is>
      </c>
      <c r="C25" s="8" t="inlineStr">
        <is>
          <t>Lista</t>
        </is>
      </c>
    </row>
    <row r="26" ht="15" customHeight="1">
      <c r="A26" s="7" t="inlineStr">
        <is>
          <t>Inicio plan</t>
        </is>
      </c>
      <c r="B26" s="8" t="inlineStr">
        <is>
          <t>Fecha de inicio planificada (línea base).</t>
        </is>
      </c>
      <c r="C26" s="8" t="inlineStr">
        <is>
          <t>Manual</t>
        </is>
      </c>
    </row>
    <row r="27" ht="28" customHeight="1">
      <c r="A27" s="7" t="inlineStr">
        <is>
          <t>Fin plan</t>
        </is>
      </c>
      <c r="B27" s="8" t="inlineStr">
        <is>
          <t>Fecha de fin planificada (línea base). Para un EWP: emisión IFC; para un PWP: entrega en obra (RAS).</t>
        </is>
      </c>
      <c r="C27" s="8" t="inlineStr">
        <is>
          <t>Manual</t>
        </is>
      </c>
    </row>
    <row r="28" ht="15" customHeight="1">
      <c r="A28" s="7" t="inlineStr">
        <is>
          <t>Inicio real</t>
        </is>
      </c>
      <c r="B28" s="8" t="inlineStr">
        <is>
          <t>Fecha de inicio real.</t>
        </is>
      </c>
      <c r="C28" s="8" t="inlineStr">
        <is>
          <t>Manual</t>
        </is>
      </c>
    </row>
    <row r="29" ht="15" customHeight="1">
      <c r="A29" s="7" t="inlineStr">
        <is>
          <t>Fin real</t>
        </is>
      </c>
      <c r="B29" s="8" t="inlineStr">
        <is>
          <t>Fecha de fin real.</t>
        </is>
      </c>
      <c r="C29" s="8" t="inlineStr">
        <is>
          <t>Manual</t>
        </is>
      </c>
    </row>
    <row r="30" ht="15" customHeight="1">
      <c r="A30" s="7" t="inlineStr">
        <is>
          <t>% avance</t>
        </is>
      </c>
      <c r="B30" s="8" t="inlineStr">
        <is>
          <t>Avance físico del paquete (0 % a 100 %).</t>
        </is>
      </c>
      <c r="C30" s="8" t="inlineStr">
        <is>
          <t>Manual</t>
        </is>
      </c>
    </row>
    <row r="31" ht="15" customHeight="1">
      <c r="A31" s="7" t="inlineStr">
        <is>
          <t>HH estimadas</t>
        </is>
      </c>
      <c r="B31" s="8" t="inlineStr">
        <is>
          <t>Horas-hombre directas estimadas (CWA, CWP e IWP). 0 para EWP y PWP.</t>
        </is>
      </c>
      <c r="C31" s="8" t="inlineStr">
        <is>
          <t>Manual</t>
        </is>
      </c>
    </row>
    <row r="32" ht="28" customHeight="1">
      <c r="A32" s="9" t="inlineStr">
        <is>
          <t>Restricciones abiertas</t>
        </is>
      </c>
      <c r="B32" s="10" t="inlineStr">
        <is>
          <t>Calculado desde la hoja «Restricciones»: restricciones abiertas o en gestión del IWP, del CWP asociado o de todos los CWP de la CWA.</t>
        </is>
      </c>
      <c r="C32" s="10" t="inlineStr">
        <is>
          <t>Calculado</t>
        </is>
      </c>
    </row>
    <row r="33" ht="28" customHeight="1">
      <c r="A33" s="9" t="inlineStr">
        <is>
          <t>Días de atraso</t>
        </is>
      </c>
      <c r="B33" s="10" t="inlineStr">
        <is>
          <t>Calculado: días entre el fin plan y el fin real, o hasta la fecha de corte si el paquete no está cerrado y ya pasó su fin plan.</t>
        </is>
      </c>
      <c r="C33" s="10" t="inlineStr">
        <is>
          <t>Calculado</t>
        </is>
      </c>
    </row>
    <row r="34" ht="15" customHeight="1">
      <c r="A34" s="9" t="inlineStr">
        <is>
          <t>Situación</t>
        </is>
      </c>
      <c r="B34" s="10" t="inlineStr">
        <is>
          <t>Calculado: En plazo, Inicio atrasado, Atrasado, Cerrado o Cerrado con atraso.</t>
        </is>
      </c>
      <c r="C34" s="10" t="inlineStr">
        <is>
          <t>Calculado</t>
        </is>
      </c>
    </row>
    <row r="35" ht="15" customHeight="1">
      <c r="A35" s="7" t="inlineStr">
        <is>
          <t>Observaciones</t>
        </is>
      </c>
      <c r="B35" s="8" t="inlineStr">
        <is>
          <t>Comentarios.</t>
        </is>
      </c>
      <c r="C35" s="8" t="inlineStr">
        <is>
          <t>Manual</t>
        </is>
      </c>
    </row>
    <row r="37">
      <c r="A37" s="5" t="inlineStr">
        <is>
          <t>Columnas de la hoja «Restricciones»</t>
        </is>
      </c>
    </row>
    <row r="38">
      <c r="A38" s="6" t="inlineStr">
        <is>
          <t>Columna</t>
        </is>
      </c>
      <c r="B38" s="6" t="inlineStr">
        <is>
          <t>Significado</t>
        </is>
      </c>
      <c r="C38" s="6" t="inlineStr">
        <is>
          <t>Tipo de dato</t>
        </is>
      </c>
    </row>
    <row r="39" ht="15" customHeight="1">
      <c r="A39" s="7" t="inlineStr">
        <is>
          <t>ID</t>
        </is>
      </c>
      <c r="B39" s="8" t="inlineStr">
        <is>
          <t>ID de la restricción (igual que en Registro_Restricciones).</t>
        </is>
      </c>
      <c r="C39" s="8" t="inlineStr">
        <is>
          <t>Manual</t>
        </is>
      </c>
    </row>
    <row r="40" ht="15" customHeight="1">
      <c r="A40" s="7" t="inlineStr">
        <is>
          <t>Fase del proyecto</t>
        </is>
      </c>
      <c r="B40" s="8" t="inlineStr">
        <is>
          <t>Fase del proyecto.</t>
        </is>
      </c>
      <c r="C40" s="8" t="inlineStr">
        <is>
          <t>Lista</t>
        </is>
      </c>
    </row>
    <row r="41" ht="15" customHeight="1">
      <c r="A41" s="7" t="inlineStr">
        <is>
          <t>CWP relacionado</t>
        </is>
      </c>
      <c r="B41" s="8" t="inlineStr">
        <is>
          <t>Código del CWP.</t>
        </is>
      </c>
      <c r="C41" s="8" t="inlineStr">
        <is>
          <t>Manual</t>
        </is>
      </c>
    </row>
    <row r="42" ht="15" customHeight="1">
      <c r="A42" s="7" t="inlineStr">
        <is>
          <t>IWP relacionado</t>
        </is>
      </c>
      <c r="B42" s="8" t="inlineStr">
        <is>
          <t>Código del IWP.</t>
        </is>
      </c>
      <c r="C42" s="8" t="inlineStr">
        <is>
          <t>Manual</t>
        </is>
      </c>
    </row>
    <row r="43" ht="15" customHeight="1">
      <c r="A43" s="7" t="inlineStr">
        <is>
          <t>Tipo de restricción</t>
        </is>
      </c>
      <c r="B43" s="8" t="inlineStr">
        <is>
          <t>Tipo de restricción.</t>
        </is>
      </c>
      <c r="C43" s="8" t="inlineStr">
        <is>
          <t>Manual</t>
        </is>
      </c>
    </row>
    <row r="44" ht="15" customHeight="1">
      <c r="A44" s="7" t="inlineStr">
        <is>
          <t>Estado</t>
        </is>
      </c>
      <c r="B44" s="8" t="inlineStr">
        <is>
          <t>Estado actual.</t>
        </is>
      </c>
      <c r="C44" s="8" t="inlineStr">
        <is>
          <t>Lista</t>
        </is>
      </c>
    </row>
  </sheetData>
  <mergeCells count="8">
    <mergeCell ref="B6:C6"/>
    <mergeCell ref="B7:C7"/>
    <mergeCell ref="B11:C11"/>
    <mergeCell ref="B5:C5"/>
    <mergeCell ref="B10:C10"/>
    <mergeCell ref="B9:C9"/>
    <mergeCell ref="B8:C8"/>
    <mergeCell ref="B4:C4"/>
  </mergeCells>
  <printOptions horizontalCentered="1"/>
  <pageMargins left="0.4" right="0.4" top="0.6" bottom="0.6" header="0.5" footer="0.5"/>
  <pageSetup orientation="portrait" paperSize="9" fitToHeight="0" fitToWidth="1"/>
  <headerFooter>
    <oddHeader>&amp;L&amp;8 Kit de implementación AWP&amp;R&amp;8 Seguimiento de paquetes</oddHeader>
    <oddFooter>&amp;L&amp;8 Proyecto Tipo (PT) – Complejo de instalaciones en tres fases&amp;R&amp;8 Página &amp;P de &amp;N</oddFooter>
    <evenHeader/>
    <evenFooter/>
    <firstHeader/>
    <firstFooter/>
  </headerFooter>
</worksheet>
</file>

<file path=xl/worksheets/sheet2.xml><?xml version="1.0" encoding="utf-8"?>
<worksheet xmlns="http://schemas.openxmlformats.org/spreadsheetml/2006/main">
  <sheetPr>
    <tabColor rgb="001F3864"/>
    <outlinePr summaryBelow="1" summaryRight="1"/>
    <pageSetUpPr fitToPage="1"/>
  </sheetPr>
  <dimension ref="A1:U505"/>
  <sheetViews>
    <sheetView tabSelected="0" workbookViewId="0">
      <pane xSplit="2" ySplit="5" topLeftCell="C6" activePane="bottomRight" state="frozen"/>
      <selection pane="topRight"/>
      <selection pane="bottomLeft"/>
      <selection pane="bottomRight" activeCell="A1" sqref="A1"/>
    </sheetView>
  </sheetViews>
  <sheetFormatPr baseColWidth="8" defaultRowHeight="15"/>
  <cols>
    <col width="10" customWidth="1" min="1" max="1"/>
    <col width="21" customWidth="1" min="2" max="2"/>
    <col width="7" customWidth="1" min="3" max="3"/>
    <col width="11" customWidth="1" min="4" max="4"/>
    <col width="34" customWidth="1" min="5" max="5"/>
    <col width="9" customWidth="1" min="6" max="6"/>
    <col width="10" customWidth="1" min="7" max="7"/>
    <col width="17" customWidth="1" min="8" max="8"/>
    <col width="16" customWidth="1" min="9" max="9"/>
    <col width="20" customWidth="1" min="10" max="10"/>
    <col width="12" customWidth="1" min="11" max="11"/>
    <col width="11" customWidth="1" min="12" max="12"/>
    <col width="11" customWidth="1" min="13" max="13"/>
    <col width="11" customWidth="1" min="14" max="14"/>
    <col width="11" customWidth="1" min="15" max="15"/>
    <col width="8" customWidth="1" min="16" max="16"/>
    <col width="10" customWidth="1" min="17" max="17"/>
    <col width="11" customWidth="1" min="18" max="18"/>
    <col width="9" customWidth="1" min="19" max="19"/>
    <col width="16" customWidth="1" min="20" max="20"/>
    <col width="32" customWidth="1" min="21" max="21"/>
  </cols>
  <sheetData>
    <row r="1" ht="24" customHeight="1">
      <c r="A1" s="11" t="inlineStr">
        <is>
          <t>Seguimiento de paquetes CWA · CWP · EWP · PWP · IWP</t>
        </is>
      </c>
    </row>
    <row r="2">
      <c r="A2" s="2" t="inlineStr">
        <is>
          <t>Proyecto Tipo (PT) – Complejo de instalaciones en tres fases. Las filas en amarillo marcadas «EJEMPLO» son de ejemplo: bórrelas o reemplácelas.</t>
        </is>
      </c>
    </row>
    <row r="3">
      <c r="A3" s="12" t="inlineStr">
        <is>
          <t>Fecha de corte:</t>
        </is>
      </c>
      <c r="B3" s="13" t="n">
        <v>46919</v>
      </c>
    </row>
    <row r="5" ht="42" customHeight="1">
      <c r="A5" s="14" t="inlineStr">
        <is>
          <t>Ejemplo</t>
        </is>
      </c>
      <c r="B5" s="14" t="inlineStr">
        <is>
          <t>Código</t>
        </is>
      </c>
      <c r="C5" s="14" t="inlineStr">
        <is>
          <t>Tipo</t>
        </is>
      </c>
      <c r="D5" s="14" t="inlineStr">
        <is>
          <t>Fase del proyecto</t>
        </is>
      </c>
      <c r="E5" s="14" t="inlineStr">
        <is>
          <t>Descripción</t>
        </is>
      </c>
      <c r="F5" s="14" t="inlineStr">
        <is>
          <t>Disciplina</t>
        </is>
      </c>
      <c r="G5" s="14" t="inlineStr">
        <is>
          <t>CWA</t>
        </is>
      </c>
      <c r="H5" s="14" t="inlineStr">
        <is>
          <t>CWP asociado</t>
        </is>
      </c>
      <c r="I5" s="14" t="inlineStr">
        <is>
          <t>Sistema</t>
        </is>
      </c>
      <c r="J5" s="14" t="inlineStr">
        <is>
          <t>Responsable (rol)</t>
        </is>
      </c>
      <c r="K5" s="14" t="inlineStr">
        <is>
          <t>Estado</t>
        </is>
      </c>
      <c r="L5" s="14" t="inlineStr">
        <is>
          <t>Inicio plan</t>
        </is>
      </c>
      <c r="M5" s="14" t="inlineStr">
        <is>
          <t>Fin plan</t>
        </is>
      </c>
      <c r="N5" s="14" t="inlineStr">
        <is>
          <t>Inicio real</t>
        </is>
      </c>
      <c r="O5" s="14" t="inlineStr">
        <is>
          <t>Fin real</t>
        </is>
      </c>
      <c r="P5" s="14" t="inlineStr">
        <is>
          <t>% avance</t>
        </is>
      </c>
      <c r="Q5" s="14" t="inlineStr">
        <is>
          <t>HH estimadas</t>
        </is>
      </c>
      <c r="R5" s="15" t="inlineStr">
        <is>
          <t>Restricciones abiertas</t>
        </is>
      </c>
      <c r="S5" s="15" t="inlineStr">
        <is>
          <t>Días de atraso</t>
        </is>
      </c>
      <c r="T5" s="15" t="inlineStr">
        <is>
          <t>Situación</t>
        </is>
      </c>
      <c r="U5" s="14" t="inlineStr">
        <is>
          <t>Observaciones</t>
        </is>
      </c>
    </row>
    <row r="6">
      <c r="A6" s="16" t="inlineStr">
        <is>
          <t>EJEMPLO</t>
        </is>
      </c>
      <c r="B6" s="17" t="inlineStr">
        <is>
          <t>CWA-1.01</t>
        </is>
      </c>
      <c r="C6" s="17" t="inlineStr">
        <is>
          <t>CWA</t>
        </is>
      </c>
      <c r="D6" s="17" t="inlineStr">
        <is>
          <t>Fase 1</t>
        </is>
      </c>
      <c r="E6" s="18" t="inlineStr">
        <is>
          <t>Plataformas y movimiento de tierras</t>
        </is>
      </c>
      <c r="F6" s="17" t="inlineStr">
        <is>
          <t>CIV</t>
        </is>
      </c>
      <c r="G6" s="17" t="inlineStr">
        <is>
          <t>CWA-1.01</t>
        </is>
      </c>
      <c r="H6" s="17" t="inlineStr"/>
      <c r="I6" s="17" t="inlineStr">
        <is>
          <t>Plataformas</t>
        </is>
      </c>
      <c r="J6" s="17" t="inlineStr">
        <is>
          <t>Gerente de Construcción</t>
        </is>
      </c>
      <c r="K6" s="17" t="inlineStr">
        <is>
          <t>Cerrado</t>
        </is>
      </c>
      <c r="L6" s="19" t="n">
        <v>46545</v>
      </c>
      <c r="M6" s="19" t="n">
        <v>46741</v>
      </c>
      <c r="N6" s="19" t="n">
        <v>46552</v>
      </c>
      <c r="O6" s="19" t="n">
        <v>46762</v>
      </c>
      <c r="P6" s="20" t="n">
        <v>1</v>
      </c>
      <c r="Q6" s="21" t="n">
        <v>120000</v>
      </c>
      <c r="R6" s="22">
        <f>IF(B6="","",IF(C6="IWP",COUNTIFS(Restricciones!$D$6:$D$305,B6,Restricciones!$F$6:$F$305,"Abierta")+COUNTIFS(Restricciones!$D$6:$D$305,B6,Restricciones!$F$6:$F$305,"En gestión"),IF(C6="CWA",COUNTIFS(Restricciones!$C$6:$C$305,"CWP-"&amp;MID(B6,5,4)&amp;"-*",Restricciones!$F$6:$F$305,"Abierta")+COUNTIFS(Restricciones!$C$6:$C$305,"CWP-"&amp;MID(B6,5,4)&amp;"-*",Restricciones!$F$6:$F$305,"En gestión"),COUNTIFS(Restricciones!$C$6:$C$305,IF(C6="CWP",B6,H6),Restricciones!$F$6:$F$305,"Abierta")+COUNTIFS(Restricciones!$C$6:$C$305,IF(C6="CWP",B6,H6),Restricciones!$F$6:$F$305,"En gestión"))))</f>
        <v/>
      </c>
      <c r="S6" s="22">
        <f>IF(OR(B6="",M6=""),"",IF(O6&lt;&gt;"",MAX(0,O6-M6),IF(AND($B$3&gt;M6,K6&lt;&gt;"Cerrado"),$B$3-M6,0)))</f>
        <v/>
      </c>
      <c r="T6" s="23">
        <f>IF(B6="","",IF(K6="Cerrado",IF(S6&gt;0,"Cerrado con atraso","Cerrado"),IF(S6&gt;0,"Atrasado",IF(AND(N6="",L6&lt;&gt;"",$B$3&gt;L6),"Inicio atrasado","En plazo"))))</f>
        <v/>
      </c>
      <c r="U6" s="18" t="inlineStr">
        <is>
          <t>Entregada a la Fase 2 con acta.</t>
        </is>
      </c>
    </row>
    <row r="7">
      <c r="A7" s="16" t="inlineStr">
        <is>
          <t>EJEMPLO</t>
        </is>
      </c>
      <c r="B7" s="17" t="inlineStr">
        <is>
          <t>CWP-1.01-CIV-01</t>
        </is>
      </c>
      <c r="C7" s="17" t="inlineStr">
        <is>
          <t>CWP</t>
        </is>
      </c>
      <c r="D7" s="17" t="inlineStr">
        <is>
          <t>Fase 1</t>
        </is>
      </c>
      <c r="E7" s="18" t="inlineStr">
        <is>
          <t>Movimiento de tierras plataforma norte</t>
        </is>
      </c>
      <c r="F7" s="17" t="inlineStr">
        <is>
          <t>CIV</t>
        </is>
      </c>
      <c r="G7" s="17" t="inlineStr">
        <is>
          <t>CWA-1.01</t>
        </is>
      </c>
      <c r="H7" s="17" t="inlineStr">
        <is>
          <t>CWP-1.01-CIV-01</t>
        </is>
      </c>
      <c r="I7" s="17" t="inlineStr">
        <is>
          <t>Plataformas</t>
        </is>
      </c>
      <c r="J7" s="17" t="inlineStr">
        <is>
          <t>Gerente de Construcción</t>
        </is>
      </c>
      <c r="K7" s="17" t="inlineStr">
        <is>
          <t>Cerrado</t>
        </is>
      </c>
      <c r="L7" s="19" t="n">
        <v>46545</v>
      </c>
      <c r="M7" s="19" t="n">
        <v>46593</v>
      </c>
      <c r="N7" s="19" t="n">
        <v>46552</v>
      </c>
      <c r="O7" s="19" t="n">
        <v>46605</v>
      </c>
      <c r="P7" s="20" t="n">
        <v>1</v>
      </c>
      <c r="Q7" s="21" t="n">
        <v>42000</v>
      </c>
      <c r="R7" s="22">
        <f>IF(B7="","",IF(C7="IWP",COUNTIFS(Restricciones!$D$6:$D$305,B7,Restricciones!$F$6:$F$305,"Abierta")+COUNTIFS(Restricciones!$D$6:$D$305,B7,Restricciones!$F$6:$F$305,"En gestión"),IF(C7="CWA",COUNTIFS(Restricciones!$C$6:$C$305,"CWP-"&amp;MID(B7,5,4)&amp;"-*",Restricciones!$F$6:$F$305,"Abierta")+COUNTIFS(Restricciones!$C$6:$C$305,"CWP-"&amp;MID(B7,5,4)&amp;"-*",Restricciones!$F$6:$F$305,"En gestión"),COUNTIFS(Restricciones!$C$6:$C$305,IF(C7="CWP",B7,H7),Restricciones!$F$6:$F$305,"Abierta")+COUNTIFS(Restricciones!$C$6:$C$305,IF(C7="CWP",B7,H7),Restricciones!$F$6:$F$305,"En gestión"))))</f>
        <v/>
      </c>
      <c r="S7" s="22">
        <f>IF(OR(B7="",M7=""),"",IF(O7&lt;&gt;"",MAX(0,O7-M7),IF(AND($B$3&gt;M7,K7&lt;&gt;"Cerrado"),$B$3-M7,0)))</f>
        <v/>
      </c>
      <c r="T7" s="23">
        <f>IF(B7="","",IF(K7="Cerrado",IF(S7&gt;0,"Cerrado con atraso","Cerrado"),IF(S7&gt;0,"Atrasado",IF(AND(N7="",L7&lt;&gt;"",$B$3&gt;L7),"Inicio atrasado","En plazo"))))</f>
        <v/>
      </c>
      <c r="U7" s="18" t="inlineStr"/>
    </row>
    <row r="8">
      <c r="A8" s="16" t="inlineStr">
        <is>
          <t>EJEMPLO</t>
        </is>
      </c>
      <c r="B8" s="17" t="inlineStr">
        <is>
          <t>EWP-1.01-CIV-01</t>
        </is>
      </c>
      <c r="C8" s="17" t="inlineStr">
        <is>
          <t>EWP</t>
        </is>
      </c>
      <c r="D8" s="17" t="inlineStr">
        <is>
          <t>Fase 1</t>
        </is>
      </c>
      <c r="E8" s="18" t="inlineStr">
        <is>
          <t>Ingeniería de movimiento de tierras plataforma norte</t>
        </is>
      </c>
      <c r="F8" s="17" t="inlineStr">
        <is>
          <t>CIV</t>
        </is>
      </c>
      <c r="G8" s="17" t="inlineStr">
        <is>
          <t>CWA-1.01</t>
        </is>
      </c>
      <c r="H8" s="17" t="inlineStr">
        <is>
          <t>CWP-1.01-CIV-01</t>
        </is>
      </c>
      <c r="I8" s="17" t="inlineStr">
        <is>
          <t>Plataformas</t>
        </is>
      </c>
      <c r="J8" s="17" t="inlineStr">
        <is>
          <t>Líder de Ingeniería</t>
        </is>
      </c>
      <c r="K8" s="17" t="inlineStr">
        <is>
          <t>Cerrado</t>
        </is>
      </c>
      <c r="L8" s="19" t="n">
        <v>46447</v>
      </c>
      <c r="M8" s="19" t="n">
        <v>46507</v>
      </c>
      <c r="N8" s="19" t="n">
        <v>46447</v>
      </c>
      <c r="O8" s="19" t="n">
        <v>46503</v>
      </c>
      <c r="P8" s="20" t="n">
        <v>1</v>
      </c>
      <c r="Q8" s="21" t="n">
        <v>0</v>
      </c>
      <c r="R8" s="22">
        <f>IF(B8="","",IF(C8="IWP",COUNTIFS(Restricciones!$D$6:$D$305,B8,Restricciones!$F$6:$F$305,"Abierta")+COUNTIFS(Restricciones!$D$6:$D$305,B8,Restricciones!$F$6:$F$305,"En gestión"),IF(C8="CWA",COUNTIFS(Restricciones!$C$6:$C$305,"CWP-"&amp;MID(B8,5,4)&amp;"-*",Restricciones!$F$6:$F$305,"Abierta")+COUNTIFS(Restricciones!$C$6:$C$305,"CWP-"&amp;MID(B8,5,4)&amp;"-*",Restricciones!$F$6:$F$305,"En gestión"),COUNTIFS(Restricciones!$C$6:$C$305,IF(C8="CWP",B8,H8),Restricciones!$F$6:$F$305,"Abierta")+COUNTIFS(Restricciones!$C$6:$C$305,IF(C8="CWP",B8,H8),Restricciones!$F$6:$F$305,"En gestión"))))</f>
        <v/>
      </c>
      <c r="S8" s="22">
        <f>IF(OR(B8="",M8=""),"",IF(O8&lt;&gt;"",MAX(0,O8-M8),IF(AND($B$3&gt;M8,K8&lt;&gt;"Cerrado"),$B$3-M8,0)))</f>
        <v/>
      </c>
      <c r="T8" s="23">
        <f>IF(B8="","",IF(K8="Cerrado",IF(S8&gt;0,"Cerrado con atraso","Cerrado"),IF(S8&gt;0,"Atrasado",IF(AND(N8="",L8&lt;&gt;"",$B$3&gt;L8),"Inicio atrasado","En plazo"))))</f>
        <v/>
      </c>
      <c r="U8" s="18" t="inlineStr">
        <is>
          <t>Emitido IFC.</t>
        </is>
      </c>
    </row>
    <row r="9">
      <c r="A9" s="16" t="inlineStr">
        <is>
          <t>EJEMPLO</t>
        </is>
      </c>
      <c r="B9" s="17" t="inlineStr">
        <is>
          <t>PWP-1.01-CIV-01</t>
        </is>
      </c>
      <c r="C9" s="17" t="inlineStr">
        <is>
          <t>PWP</t>
        </is>
      </c>
      <c r="D9" s="17" t="inlineStr">
        <is>
          <t>Fase 1</t>
        </is>
      </c>
      <c r="E9" s="18" t="inlineStr">
        <is>
          <t>Material de préstamo y geotextil</t>
        </is>
      </c>
      <c r="F9" s="17" t="inlineStr">
        <is>
          <t>CIV</t>
        </is>
      </c>
      <c r="G9" s="17" t="inlineStr">
        <is>
          <t>CWA-1.01</t>
        </is>
      </c>
      <c r="H9" s="17" t="inlineStr">
        <is>
          <t>CWP-1.01-CIV-01</t>
        </is>
      </c>
      <c r="I9" s="17" t="inlineStr">
        <is>
          <t>Plataformas</t>
        </is>
      </c>
      <c r="J9" s="17" t="inlineStr">
        <is>
          <t>Líder de Procura</t>
        </is>
      </c>
      <c r="K9" s="17" t="inlineStr">
        <is>
          <t>Cerrado</t>
        </is>
      </c>
      <c r="L9" s="19" t="n">
        <v>46482</v>
      </c>
      <c r="M9" s="19" t="n">
        <v>46539</v>
      </c>
      <c r="N9" s="19" t="n">
        <v>46482</v>
      </c>
      <c r="O9" s="19" t="n">
        <v>46548</v>
      </c>
      <c r="P9" s="20" t="n">
        <v>1</v>
      </c>
      <c r="Q9" s="21" t="n">
        <v>0</v>
      </c>
      <c r="R9" s="22">
        <f>IF(B9="","",IF(C9="IWP",COUNTIFS(Restricciones!$D$6:$D$305,B9,Restricciones!$F$6:$F$305,"Abierta")+COUNTIFS(Restricciones!$D$6:$D$305,B9,Restricciones!$F$6:$F$305,"En gestión"),IF(C9="CWA",COUNTIFS(Restricciones!$C$6:$C$305,"CWP-"&amp;MID(B9,5,4)&amp;"-*",Restricciones!$F$6:$F$305,"Abierta")+COUNTIFS(Restricciones!$C$6:$C$305,"CWP-"&amp;MID(B9,5,4)&amp;"-*",Restricciones!$F$6:$F$305,"En gestión"),COUNTIFS(Restricciones!$C$6:$C$305,IF(C9="CWP",B9,H9),Restricciones!$F$6:$F$305,"Abierta")+COUNTIFS(Restricciones!$C$6:$C$305,IF(C9="CWP",B9,H9),Restricciones!$F$6:$F$305,"En gestión"))))</f>
        <v/>
      </c>
      <c r="S9" s="22">
        <f>IF(OR(B9="",M9=""),"",IF(O9&lt;&gt;"",MAX(0,O9-M9),IF(AND($B$3&gt;M9,K9&lt;&gt;"Cerrado"),$B$3-M9,0)))</f>
        <v/>
      </c>
      <c r="T9" s="23">
        <f>IF(B9="","",IF(K9="Cerrado",IF(S9&gt;0,"Cerrado con atraso","Cerrado"),IF(S9&gt;0,"Atrasado",IF(AND(N9="",L9&lt;&gt;"",$B$3&gt;L9),"Inicio atrasado","En plazo"))))</f>
        <v/>
      </c>
      <c r="U9" s="18" t="inlineStr"/>
    </row>
    <row r="10">
      <c r="A10" s="16" t="inlineStr">
        <is>
          <t>EJEMPLO</t>
        </is>
      </c>
      <c r="B10" s="17" t="inlineStr">
        <is>
          <t>IWP-1.01-CIV-01-001</t>
        </is>
      </c>
      <c r="C10" s="17" t="inlineStr">
        <is>
          <t>IWP</t>
        </is>
      </c>
      <c r="D10" s="17" t="inlineStr">
        <is>
          <t>Fase 1</t>
        </is>
      </c>
      <c r="E10" s="18" t="inlineStr">
        <is>
          <t>Excavación masiva ejes 1–5</t>
        </is>
      </c>
      <c r="F10" s="17" t="inlineStr">
        <is>
          <t>CIV</t>
        </is>
      </c>
      <c r="G10" s="17" t="inlineStr">
        <is>
          <t>CWA-1.01</t>
        </is>
      </c>
      <c r="H10" s="17" t="inlineStr">
        <is>
          <t>CWP-1.01-CIV-01</t>
        </is>
      </c>
      <c r="I10" s="17" t="inlineStr">
        <is>
          <t>Plataformas</t>
        </is>
      </c>
      <c r="J10" s="17" t="inlineStr">
        <is>
          <t>Planificador de frente de trabajo</t>
        </is>
      </c>
      <c r="K10" s="17" t="inlineStr">
        <is>
          <t>Cerrado</t>
        </is>
      </c>
      <c r="L10" s="19" t="n">
        <v>46545</v>
      </c>
      <c r="M10" s="19" t="n">
        <v>46550</v>
      </c>
      <c r="N10" s="19" t="n">
        <v>46552</v>
      </c>
      <c r="O10" s="19" t="n">
        <v>46557</v>
      </c>
      <c r="P10" s="20" t="n">
        <v>1</v>
      </c>
      <c r="Q10" s="21" t="n">
        <v>480</v>
      </c>
      <c r="R10" s="22">
        <f>IF(B10="","",IF(C10="IWP",COUNTIFS(Restricciones!$D$6:$D$305,B10,Restricciones!$F$6:$F$305,"Abierta")+COUNTIFS(Restricciones!$D$6:$D$305,B10,Restricciones!$F$6:$F$305,"En gestión"),IF(C10="CWA",COUNTIFS(Restricciones!$C$6:$C$305,"CWP-"&amp;MID(B10,5,4)&amp;"-*",Restricciones!$F$6:$F$305,"Abierta")+COUNTIFS(Restricciones!$C$6:$C$305,"CWP-"&amp;MID(B10,5,4)&amp;"-*",Restricciones!$F$6:$F$305,"En gestión"),COUNTIFS(Restricciones!$C$6:$C$305,IF(C10="CWP",B10,H10),Restricciones!$F$6:$F$305,"Abierta")+COUNTIFS(Restricciones!$C$6:$C$305,IF(C10="CWP",B10,H10),Restricciones!$F$6:$F$305,"En gestión"))))</f>
        <v/>
      </c>
      <c r="S10" s="22">
        <f>IF(OR(B10="",M10=""),"",IF(O10&lt;&gt;"",MAX(0,O10-M10),IF(AND($B$3&gt;M10,K10&lt;&gt;"Cerrado"),$B$3-M10,0)))</f>
        <v/>
      </c>
      <c r="T10" s="23">
        <f>IF(B10="","",IF(K10="Cerrado",IF(S10&gt;0,"Cerrado con atraso","Cerrado"),IF(S10&gt;0,"Atrasado",IF(AND(N10="",L10&lt;&gt;"",$B$3&gt;L10),"Inicio atrasado","En plazo"))))</f>
        <v/>
      </c>
      <c r="U10" s="18" t="inlineStr">
        <is>
          <t>Inicio atrasado por permiso (R-0001).</t>
        </is>
      </c>
    </row>
    <row r="11">
      <c r="A11" s="16" t="inlineStr">
        <is>
          <t>EJEMPLO</t>
        </is>
      </c>
      <c r="B11" s="17" t="inlineStr">
        <is>
          <t>CWA-2.01</t>
        </is>
      </c>
      <c r="C11" s="17" t="inlineStr">
        <is>
          <t>CWA</t>
        </is>
      </c>
      <c r="D11" s="17" t="inlineStr">
        <is>
          <t>Fase 2</t>
        </is>
      </c>
      <c r="E11" s="18" t="inlineStr">
        <is>
          <t>Instalación principal – bloque A</t>
        </is>
      </c>
      <c r="F11" s="17" t="inlineStr">
        <is>
          <t>VAR</t>
        </is>
      </c>
      <c r="G11" s="17" t="inlineStr">
        <is>
          <t>CWA-2.01</t>
        </is>
      </c>
      <c r="H11" s="17" t="inlineStr"/>
      <c r="I11" s="17" t="inlineStr">
        <is>
          <t>Varios</t>
        </is>
      </c>
      <c r="J11" s="17" t="inlineStr">
        <is>
          <t>Gerente de Construcción</t>
        </is>
      </c>
      <c r="K11" s="17" t="inlineStr">
        <is>
          <t>En ejecución</t>
        </is>
      </c>
      <c r="L11" s="19" t="n">
        <v>46790</v>
      </c>
      <c r="M11" s="19" t="n">
        <v>47175</v>
      </c>
      <c r="N11" s="19" t="n">
        <v>46795</v>
      </c>
      <c r="O11" s="19" t="n"/>
      <c r="P11" s="20" t="n">
        <v>0.18</v>
      </c>
      <c r="Q11" s="21" t="n">
        <v>380000</v>
      </c>
      <c r="R11" s="22">
        <f>IF(B11="","",IF(C11="IWP",COUNTIFS(Restricciones!$D$6:$D$305,B11,Restricciones!$F$6:$F$305,"Abierta")+COUNTIFS(Restricciones!$D$6:$D$305,B11,Restricciones!$F$6:$F$305,"En gestión"),IF(C11="CWA",COUNTIFS(Restricciones!$C$6:$C$305,"CWP-"&amp;MID(B11,5,4)&amp;"-*",Restricciones!$F$6:$F$305,"Abierta")+COUNTIFS(Restricciones!$C$6:$C$305,"CWP-"&amp;MID(B11,5,4)&amp;"-*",Restricciones!$F$6:$F$305,"En gestión"),COUNTIFS(Restricciones!$C$6:$C$305,IF(C11="CWP",B11,H11),Restricciones!$F$6:$F$305,"Abierta")+COUNTIFS(Restricciones!$C$6:$C$305,IF(C11="CWP",B11,H11),Restricciones!$F$6:$F$305,"En gestión"))))</f>
        <v/>
      </c>
      <c r="S11" s="22">
        <f>IF(OR(B11="",M11=""),"",IF(O11&lt;&gt;"",MAX(0,O11-M11),IF(AND($B$3&gt;M11,K11&lt;&gt;"Cerrado"),$B$3-M11,0)))</f>
        <v/>
      </c>
      <c r="T11" s="23">
        <f>IF(B11="","",IF(K11="Cerrado",IF(S11&gt;0,"Cerrado con atraso","Cerrado"),IF(S11&gt;0,"Atrasado",IF(AND(N11="",L11&lt;&gt;"",$B$3&gt;L11),"Inicio atrasado","En plazo"))))</f>
        <v/>
      </c>
      <c r="U11" s="18" t="inlineStr"/>
    </row>
    <row r="12">
      <c r="A12" s="16" t="inlineStr">
        <is>
          <t>EJEMPLO</t>
        </is>
      </c>
      <c r="B12" s="17" t="inlineStr">
        <is>
          <t>CWP-2.01-EST-01</t>
        </is>
      </c>
      <c r="C12" s="17" t="inlineStr">
        <is>
          <t>CWP</t>
        </is>
      </c>
      <c r="D12" s="17" t="inlineStr">
        <is>
          <t>Fase 2</t>
        </is>
      </c>
      <c r="E12" s="18" t="inlineStr">
        <is>
          <t>Estructura metálica bloque A</t>
        </is>
      </c>
      <c r="F12" s="17" t="inlineStr">
        <is>
          <t>EST</t>
        </is>
      </c>
      <c r="G12" s="17" t="inlineStr">
        <is>
          <t>CWA-2.01</t>
        </is>
      </c>
      <c r="H12" s="17" t="inlineStr">
        <is>
          <t>CWP-2.01-EST-01</t>
        </is>
      </c>
      <c r="I12" s="17" t="inlineStr">
        <is>
          <t>Estructura bloque A</t>
        </is>
      </c>
      <c r="J12" s="17" t="inlineStr">
        <is>
          <t>Gerente de Construcción</t>
        </is>
      </c>
      <c r="K12" s="17" t="inlineStr">
        <is>
          <t>Liberado</t>
        </is>
      </c>
      <c r="L12" s="19" t="n">
        <v>46868</v>
      </c>
      <c r="M12" s="19" t="n">
        <v>46986</v>
      </c>
      <c r="N12" s="19" t="n"/>
      <c r="O12" s="19" t="n"/>
      <c r="P12" s="20" t="n">
        <v>0</v>
      </c>
      <c r="Q12" s="21" t="n">
        <v>9600</v>
      </c>
      <c r="R12" s="22">
        <f>IF(B12="","",IF(C12="IWP",COUNTIFS(Restricciones!$D$6:$D$305,B12,Restricciones!$F$6:$F$305,"Abierta")+COUNTIFS(Restricciones!$D$6:$D$305,B12,Restricciones!$F$6:$F$305,"En gestión"),IF(C12="CWA",COUNTIFS(Restricciones!$C$6:$C$305,"CWP-"&amp;MID(B12,5,4)&amp;"-*",Restricciones!$F$6:$F$305,"Abierta")+COUNTIFS(Restricciones!$C$6:$C$305,"CWP-"&amp;MID(B12,5,4)&amp;"-*",Restricciones!$F$6:$F$305,"En gestión"),COUNTIFS(Restricciones!$C$6:$C$305,IF(C12="CWP",B12,H12),Restricciones!$F$6:$F$305,"Abierta")+COUNTIFS(Restricciones!$C$6:$C$305,IF(C12="CWP",B12,H12),Restricciones!$F$6:$F$305,"En gestión"))))</f>
        <v/>
      </c>
      <c r="S12" s="22">
        <f>IF(OR(B12="",M12=""),"",IF(O12&lt;&gt;"",MAX(0,O12-M12),IF(AND($B$3&gt;M12,K12&lt;&gt;"Cerrado"),$B$3-M12,0)))</f>
        <v/>
      </c>
      <c r="T12" s="23">
        <f>IF(B12="","",IF(K12="Cerrado",IF(S12&gt;0,"Cerrado con atraso","Cerrado"),IF(S12&gt;0,"Atrasado",IF(AND(N12="",L12&lt;&gt;"",$B$3&gt;L12),"Inicio atrasado","En plazo"))))</f>
        <v/>
      </c>
      <c r="U12" s="18" t="inlineStr">
        <is>
          <t>CWP emitido; montaje no iniciado por grúa (R-0005).</t>
        </is>
      </c>
    </row>
    <row r="13">
      <c r="A13" s="16" t="inlineStr">
        <is>
          <t>EJEMPLO</t>
        </is>
      </c>
      <c r="B13" s="17" t="inlineStr">
        <is>
          <t>EWP-2.01-EST-01</t>
        </is>
      </c>
      <c r="C13" s="17" t="inlineStr">
        <is>
          <t>EWP</t>
        </is>
      </c>
      <c r="D13" s="17" t="inlineStr">
        <is>
          <t>Fase 2</t>
        </is>
      </c>
      <c r="E13" s="18" t="inlineStr">
        <is>
          <t>Ingeniería de estructura metálica bloque A</t>
        </is>
      </c>
      <c r="F13" s="17" t="inlineStr">
        <is>
          <t>EST</t>
        </is>
      </c>
      <c r="G13" s="17" t="inlineStr">
        <is>
          <t>CWA-2.01</t>
        </is>
      </c>
      <c r="H13" s="17" t="inlineStr">
        <is>
          <t>CWP-2.01-EST-01</t>
        </is>
      </c>
      <c r="I13" s="17" t="inlineStr">
        <is>
          <t>Estructura bloque A</t>
        </is>
      </c>
      <c r="J13" s="17" t="inlineStr">
        <is>
          <t>Líder de Ingeniería</t>
        </is>
      </c>
      <c r="K13" s="17" t="inlineStr">
        <is>
          <t>Cerrado</t>
        </is>
      </c>
      <c r="L13" s="19" t="n">
        <v>46631</v>
      </c>
      <c r="M13" s="19" t="n">
        <v>46750</v>
      </c>
      <c r="N13" s="19" t="n">
        <v>46631</v>
      </c>
      <c r="O13" s="19" t="n">
        <v>46767</v>
      </c>
      <c r="P13" s="20" t="n">
        <v>1</v>
      </c>
      <c r="Q13" s="21" t="n">
        <v>0</v>
      </c>
      <c r="R13" s="22">
        <f>IF(B13="","",IF(C13="IWP",COUNTIFS(Restricciones!$D$6:$D$305,B13,Restricciones!$F$6:$F$305,"Abierta")+COUNTIFS(Restricciones!$D$6:$D$305,B13,Restricciones!$F$6:$F$305,"En gestión"),IF(C13="CWA",COUNTIFS(Restricciones!$C$6:$C$305,"CWP-"&amp;MID(B13,5,4)&amp;"-*",Restricciones!$F$6:$F$305,"Abierta")+COUNTIFS(Restricciones!$C$6:$C$305,"CWP-"&amp;MID(B13,5,4)&amp;"-*",Restricciones!$F$6:$F$305,"En gestión"),COUNTIFS(Restricciones!$C$6:$C$305,IF(C13="CWP",B13,H13),Restricciones!$F$6:$F$305,"Abierta")+COUNTIFS(Restricciones!$C$6:$C$305,IF(C13="CWP",B13,H13),Restricciones!$F$6:$F$305,"En gestión"))))</f>
        <v/>
      </c>
      <c r="S13" s="22">
        <f>IF(OR(B13="",M13=""),"",IF(O13&lt;&gt;"",MAX(0,O13-M13),IF(AND($B$3&gt;M13,K13&lt;&gt;"Cerrado"),$B$3-M13,0)))</f>
        <v/>
      </c>
      <c r="T13" s="23">
        <f>IF(B13="","",IF(K13="Cerrado",IF(S13&gt;0,"Cerrado con atraso","Cerrado"),IF(S13&gt;0,"Atrasado",IF(AND(N13="",L13&lt;&gt;"",$B$3&gt;L13),"Inicio atrasado","En plazo"))))</f>
        <v/>
      </c>
      <c r="U13" s="18" t="inlineStr">
        <is>
          <t>IFC emitido con 17 días de atraso.</t>
        </is>
      </c>
    </row>
    <row r="14">
      <c r="A14" s="16" t="inlineStr">
        <is>
          <t>EJEMPLO</t>
        </is>
      </c>
      <c r="B14" s="17" t="inlineStr">
        <is>
          <t>IWP-2.01-EST-01-001</t>
        </is>
      </c>
      <c r="C14" s="17" t="inlineStr">
        <is>
          <t>IWP</t>
        </is>
      </c>
      <c r="D14" s="17" t="inlineStr">
        <is>
          <t>Fase 2</t>
        </is>
      </c>
      <c r="E14" s="18" t="inlineStr">
        <is>
          <t>Montaje de columnas nivel 1 ejes A1–A4</t>
        </is>
      </c>
      <c r="F14" s="17" t="inlineStr">
        <is>
          <t>EST</t>
        </is>
      </c>
      <c r="G14" s="17" t="inlineStr">
        <is>
          <t>CWA-2.01</t>
        </is>
      </c>
      <c r="H14" s="17" t="inlineStr">
        <is>
          <t>CWP-2.01-EST-01</t>
        </is>
      </c>
      <c r="I14" s="17" t="inlineStr">
        <is>
          <t>Estructura bloque A</t>
        </is>
      </c>
      <c r="J14" s="17" t="inlineStr">
        <is>
          <t>Planificador de frente de trabajo</t>
        </is>
      </c>
      <c r="K14" s="17" t="inlineStr">
        <is>
          <t>En desarrollo</t>
        </is>
      </c>
      <c r="L14" s="19" t="n">
        <v>46868</v>
      </c>
      <c r="M14" s="19" t="n">
        <v>46873</v>
      </c>
      <c r="N14" s="19" t="n"/>
      <c r="O14" s="19" t="n"/>
      <c r="P14" s="20" t="n">
        <v>0</v>
      </c>
      <c r="Q14" s="21" t="n">
        <v>420</v>
      </c>
      <c r="R14" s="22">
        <f>IF(B14="","",IF(C14="IWP",COUNTIFS(Restricciones!$D$6:$D$305,B14,Restricciones!$F$6:$F$305,"Abierta")+COUNTIFS(Restricciones!$D$6:$D$305,B14,Restricciones!$F$6:$F$305,"En gestión"),IF(C14="CWA",COUNTIFS(Restricciones!$C$6:$C$305,"CWP-"&amp;MID(B14,5,4)&amp;"-*",Restricciones!$F$6:$F$305,"Abierta")+COUNTIFS(Restricciones!$C$6:$C$305,"CWP-"&amp;MID(B14,5,4)&amp;"-*",Restricciones!$F$6:$F$305,"En gestión"),COUNTIFS(Restricciones!$C$6:$C$305,IF(C14="CWP",B14,H14),Restricciones!$F$6:$F$305,"Abierta")+COUNTIFS(Restricciones!$C$6:$C$305,IF(C14="CWP",B14,H14),Restricciones!$F$6:$F$305,"En gestión"))))</f>
        <v/>
      </c>
      <c r="S14" s="22">
        <f>IF(OR(B14="",M14=""),"",IF(O14&lt;&gt;"",MAX(0,O14-M14),IF(AND($B$3&gt;M14,K14&lt;&gt;"Cerrado"),$B$3-M14,0)))</f>
        <v/>
      </c>
      <c r="T14" s="23">
        <f>IF(B14="","",IF(K14="Cerrado",IF(S14&gt;0,"Cerrado con atraso","Cerrado"),IF(S14&gt;0,"Atrasado",IF(AND(N14="",L14&lt;&gt;"",$B$3&gt;L14),"Inicio atrasado","En plazo"))))</f>
        <v/>
      </c>
      <c r="U14" s="18" t="inlineStr">
        <is>
          <t>No liberable: 2 restricciones abiertas.</t>
        </is>
      </c>
    </row>
    <row r="15">
      <c r="A15" s="16" t="inlineStr">
        <is>
          <t>EJEMPLO</t>
        </is>
      </c>
      <c r="B15" s="17" t="inlineStr">
        <is>
          <t>CWP-3.02-CIV-01</t>
        </is>
      </c>
      <c r="C15" s="17" t="inlineStr">
        <is>
          <t>CWP</t>
        </is>
      </c>
      <c r="D15" s="17" t="inlineStr">
        <is>
          <t>Fase 3</t>
        </is>
      </c>
      <c r="E15" s="18" t="inlineStr">
        <is>
          <t>Cimentaciones de la ampliación</t>
        </is>
      </c>
      <c r="F15" s="17" t="inlineStr">
        <is>
          <t>CIV</t>
        </is>
      </c>
      <c r="G15" s="17" t="inlineStr">
        <is>
          <t>CWA-3.02</t>
        </is>
      </c>
      <c r="H15" s="17" t="inlineStr">
        <is>
          <t>CWP-3.02-CIV-01</t>
        </is>
      </c>
      <c r="I15" s="17" t="inlineStr">
        <is>
          <t>Estructura ampliación</t>
        </is>
      </c>
      <c r="J15" s="17" t="inlineStr">
        <is>
          <t>Gerente de Construcción</t>
        </is>
      </c>
      <c r="K15" s="17" t="inlineStr">
        <is>
          <t>Planificado</t>
        </is>
      </c>
      <c r="L15" s="19" t="n">
        <v>47154</v>
      </c>
      <c r="M15" s="19" t="n">
        <v>47251</v>
      </c>
      <c r="N15" s="19" t="n"/>
      <c r="O15" s="19" t="n"/>
      <c r="P15" s="20" t="n">
        <v>0</v>
      </c>
      <c r="Q15" s="21" t="n">
        <v>28000</v>
      </c>
      <c r="R15" s="22">
        <f>IF(B15="","",IF(C15="IWP",COUNTIFS(Restricciones!$D$6:$D$305,B15,Restricciones!$F$6:$F$305,"Abierta")+COUNTIFS(Restricciones!$D$6:$D$305,B15,Restricciones!$F$6:$F$305,"En gestión"),IF(C15="CWA",COUNTIFS(Restricciones!$C$6:$C$305,"CWP-"&amp;MID(B15,5,4)&amp;"-*",Restricciones!$F$6:$F$305,"Abierta")+COUNTIFS(Restricciones!$C$6:$C$305,"CWP-"&amp;MID(B15,5,4)&amp;"-*",Restricciones!$F$6:$F$305,"En gestión"),COUNTIFS(Restricciones!$C$6:$C$305,IF(C15="CWP",B15,H15),Restricciones!$F$6:$F$305,"Abierta")+COUNTIFS(Restricciones!$C$6:$C$305,IF(C15="CWP",B15,H15),Restricciones!$F$6:$F$305,"En gestión"))))</f>
        <v/>
      </c>
      <c r="S15" s="22">
        <f>IF(OR(B15="",M15=""),"",IF(O15&lt;&gt;"",MAX(0,O15-M15),IF(AND($B$3&gt;M15,K15&lt;&gt;"Cerrado"),$B$3-M15,0)))</f>
        <v/>
      </c>
      <c r="T15" s="23">
        <f>IF(B15="","",IF(K15="Cerrado",IF(S15&gt;0,"Cerrado con atraso","Cerrado"),IF(S15&gt;0,"Atrasado",IF(AND(N15="",L15&lt;&gt;"",$B$3&gt;L15),"Inicio atrasado","En plazo"))))</f>
        <v/>
      </c>
      <c r="U15" s="18" t="inlineStr"/>
    </row>
    <row r="16">
      <c r="A16" s="24" t="n"/>
      <c r="B16" s="25" t="n"/>
      <c r="C16" s="25" t="n"/>
      <c r="D16" s="25" t="n"/>
      <c r="E16" s="26" t="n"/>
      <c r="F16" s="25" t="n"/>
      <c r="G16" s="25" t="n"/>
      <c r="H16" s="25" t="n"/>
      <c r="I16" s="25" t="n"/>
      <c r="J16" s="25" t="n"/>
      <c r="K16" s="25" t="n"/>
      <c r="L16" s="27" t="n"/>
      <c r="M16" s="27" t="n"/>
      <c r="N16" s="27" t="n"/>
      <c r="O16" s="27" t="n"/>
      <c r="P16" s="28" t="n"/>
      <c r="Q16" s="29" t="n"/>
      <c r="R16" s="30">
        <f>IF(B16="","",IF(C16="IWP",COUNTIFS(Restricciones!$D$6:$D$305,B16,Restricciones!$F$6:$F$305,"Abierta")+COUNTIFS(Restricciones!$D$6:$D$305,B16,Restricciones!$F$6:$F$305,"En gestión"),IF(C16="CWA",COUNTIFS(Restricciones!$C$6:$C$305,"CWP-"&amp;MID(B16,5,4)&amp;"-*",Restricciones!$F$6:$F$305,"Abierta")+COUNTIFS(Restricciones!$C$6:$C$305,"CWP-"&amp;MID(B16,5,4)&amp;"-*",Restricciones!$F$6:$F$305,"En gestión"),COUNTIFS(Restricciones!$C$6:$C$305,IF(C16="CWP",B16,H16),Restricciones!$F$6:$F$305,"Abierta")+COUNTIFS(Restricciones!$C$6:$C$305,IF(C16="CWP",B16,H16),Restricciones!$F$6:$F$305,"En gestión"))))</f>
        <v/>
      </c>
      <c r="S16" s="30">
        <f>IF(OR(B16="",M16=""),"",IF(O16&lt;&gt;"",MAX(0,O16-M16),IF(AND($B$3&gt;M16,K16&lt;&gt;"Cerrado"),$B$3-M16,0)))</f>
        <v/>
      </c>
      <c r="T16" s="31">
        <f>IF(B16="","",IF(K16="Cerrado",IF(S16&gt;0,"Cerrado con atraso","Cerrado"),IF(S16&gt;0,"Atrasado",IF(AND(N16="",L16&lt;&gt;"",$B$3&gt;L16),"Inicio atrasado","En plazo"))))</f>
        <v/>
      </c>
      <c r="U16" s="26" t="n"/>
    </row>
    <row r="17">
      <c r="A17" s="24" t="n"/>
      <c r="B17" s="25" t="n"/>
      <c r="C17" s="25" t="n"/>
      <c r="D17" s="25" t="n"/>
      <c r="E17" s="26" t="n"/>
      <c r="F17" s="25" t="n"/>
      <c r="G17" s="25" t="n"/>
      <c r="H17" s="25" t="n"/>
      <c r="I17" s="25" t="n"/>
      <c r="J17" s="25" t="n"/>
      <c r="K17" s="25" t="n"/>
      <c r="L17" s="27" t="n"/>
      <c r="M17" s="27" t="n"/>
      <c r="N17" s="27" t="n"/>
      <c r="O17" s="27" t="n"/>
      <c r="P17" s="28" t="n"/>
      <c r="Q17" s="29" t="n"/>
      <c r="R17" s="30">
        <f>IF(B17="","",IF(C17="IWP",COUNTIFS(Restricciones!$D$6:$D$305,B17,Restricciones!$F$6:$F$305,"Abierta")+COUNTIFS(Restricciones!$D$6:$D$305,B17,Restricciones!$F$6:$F$305,"En gestión"),IF(C17="CWA",COUNTIFS(Restricciones!$C$6:$C$305,"CWP-"&amp;MID(B17,5,4)&amp;"-*",Restricciones!$F$6:$F$305,"Abierta")+COUNTIFS(Restricciones!$C$6:$C$305,"CWP-"&amp;MID(B17,5,4)&amp;"-*",Restricciones!$F$6:$F$305,"En gestión"),COUNTIFS(Restricciones!$C$6:$C$305,IF(C17="CWP",B17,H17),Restricciones!$F$6:$F$305,"Abierta")+COUNTIFS(Restricciones!$C$6:$C$305,IF(C17="CWP",B17,H17),Restricciones!$F$6:$F$305,"En gestión"))))</f>
        <v/>
      </c>
      <c r="S17" s="30">
        <f>IF(OR(B17="",M17=""),"",IF(O17&lt;&gt;"",MAX(0,O17-M17),IF(AND($B$3&gt;M17,K17&lt;&gt;"Cerrado"),$B$3-M17,0)))</f>
        <v/>
      </c>
      <c r="T17" s="31">
        <f>IF(B17="","",IF(K17="Cerrado",IF(S17&gt;0,"Cerrado con atraso","Cerrado"),IF(S17&gt;0,"Atrasado",IF(AND(N17="",L17&lt;&gt;"",$B$3&gt;L17),"Inicio atrasado","En plazo"))))</f>
        <v/>
      </c>
      <c r="U17" s="26" t="n"/>
    </row>
    <row r="18">
      <c r="A18" s="24" t="n"/>
      <c r="B18" s="25" t="n"/>
      <c r="C18" s="25" t="n"/>
      <c r="D18" s="25" t="n"/>
      <c r="E18" s="26" t="n"/>
      <c r="F18" s="25" t="n"/>
      <c r="G18" s="25" t="n"/>
      <c r="H18" s="25" t="n"/>
      <c r="I18" s="25" t="n"/>
      <c r="J18" s="25" t="n"/>
      <c r="K18" s="25" t="n"/>
      <c r="L18" s="27" t="n"/>
      <c r="M18" s="27" t="n"/>
      <c r="N18" s="27" t="n"/>
      <c r="O18" s="27" t="n"/>
      <c r="P18" s="28" t="n"/>
      <c r="Q18" s="29" t="n"/>
      <c r="R18" s="30">
        <f>IF(B18="","",IF(C18="IWP",COUNTIFS(Restricciones!$D$6:$D$305,B18,Restricciones!$F$6:$F$305,"Abierta")+COUNTIFS(Restricciones!$D$6:$D$305,B18,Restricciones!$F$6:$F$305,"En gestión"),IF(C18="CWA",COUNTIFS(Restricciones!$C$6:$C$305,"CWP-"&amp;MID(B18,5,4)&amp;"-*",Restricciones!$F$6:$F$305,"Abierta")+COUNTIFS(Restricciones!$C$6:$C$305,"CWP-"&amp;MID(B18,5,4)&amp;"-*",Restricciones!$F$6:$F$305,"En gestión"),COUNTIFS(Restricciones!$C$6:$C$305,IF(C18="CWP",B18,H18),Restricciones!$F$6:$F$305,"Abierta")+COUNTIFS(Restricciones!$C$6:$C$305,IF(C18="CWP",B18,H18),Restricciones!$F$6:$F$305,"En gestión"))))</f>
        <v/>
      </c>
      <c r="S18" s="30">
        <f>IF(OR(B18="",M18=""),"",IF(O18&lt;&gt;"",MAX(0,O18-M18),IF(AND($B$3&gt;M18,K18&lt;&gt;"Cerrado"),$B$3-M18,0)))</f>
        <v/>
      </c>
      <c r="T18" s="31">
        <f>IF(B18="","",IF(K18="Cerrado",IF(S18&gt;0,"Cerrado con atraso","Cerrado"),IF(S18&gt;0,"Atrasado",IF(AND(N18="",L18&lt;&gt;"",$B$3&gt;L18),"Inicio atrasado","En plazo"))))</f>
        <v/>
      </c>
      <c r="U18" s="26" t="n"/>
    </row>
    <row r="19">
      <c r="A19" s="24" t="n"/>
      <c r="B19" s="25" t="n"/>
      <c r="C19" s="25" t="n"/>
      <c r="D19" s="25" t="n"/>
      <c r="E19" s="26" t="n"/>
      <c r="F19" s="25" t="n"/>
      <c r="G19" s="25" t="n"/>
      <c r="H19" s="25" t="n"/>
      <c r="I19" s="25" t="n"/>
      <c r="J19" s="25" t="n"/>
      <c r="K19" s="25" t="n"/>
      <c r="L19" s="27" t="n"/>
      <c r="M19" s="27" t="n"/>
      <c r="N19" s="27" t="n"/>
      <c r="O19" s="27" t="n"/>
      <c r="P19" s="28" t="n"/>
      <c r="Q19" s="29" t="n"/>
      <c r="R19" s="30">
        <f>IF(B19="","",IF(C19="IWP",COUNTIFS(Restricciones!$D$6:$D$305,B19,Restricciones!$F$6:$F$305,"Abierta")+COUNTIFS(Restricciones!$D$6:$D$305,B19,Restricciones!$F$6:$F$305,"En gestión"),IF(C19="CWA",COUNTIFS(Restricciones!$C$6:$C$305,"CWP-"&amp;MID(B19,5,4)&amp;"-*",Restricciones!$F$6:$F$305,"Abierta")+COUNTIFS(Restricciones!$C$6:$C$305,"CWP-"&amp;MID(B19,5,4)&amp;"-*",Restricciones!$F$6:$F$305,"En gestión"),COUNTIFS(Restricciones!$C$6:$C$305,IF(C19="CWP",B19,H19),Restricciones!$F$6:$F$305,"Abierta")+COUNTIFS(Restricciones!$C$6:$C$305,IF(C19="CWP",B19,H19),Restricciones!$F$6:$F$305,"En gestión"))))</f>
        <v/>
      </c>
      <c r="S19" s="30">
        <f>IF(OR(B19="",M19=""),"",IF(O19&lt;&gt;"",MAX(0,O19-M19),IF(AND($B$3&gt;M19,K19&lt;&gt;"Cerrado"),$B$3-M19,0)))</f>
        <v/>
      </c>
      <c r="T19" s="31">
        <f>IF(B19="","",IF(K19="Cerrado",IF(S19&gt;0,"Cerrado con atraso","Cerrado"),IF(S19&gt;0,"Atrasado",IF(AND(N19="",L19&lt;&gt;"",$B$3&gt;L19),"Inicio atrasado","En plazo"))))</f>
        <v/>
      </c>
      <c r="U19" s="26" t="n"/>
    </row>
    <row r="20">
      <c r="A20" s="24" t="n"/>
      <c r="B20" s="25" t="n"/>
      <c r="C20" s="25" t="n"/>
      <c r="D20" s="25" t="n"/>
      <c r="E20" s="26" t="n"/>
      <c r="F20" s="25" t="n"/>
      <c r="G20" s="25" t="n"/>
      <c r="H20" s="25" t="n"/>
      <c r="I20" s="25" t="n"/>
      <c r="J20" s="25" t="n"/>
      <c r="K20" s="25" t="n"/>
      <c r="L20" s="27" t="n"/>
      <c r="M20" s="27" t="n"/>
      <c r="N20" s="27" t="n"/>
      <c r="O20" s="27" t="n"/>
      <c r="P20" s="28" t="n"/>
      <c r="Q20" s="29" t="n"/>
      <c r="R20" s="30">
        <f>IF(B20="","",IF(C20="IWP",COUNTIFS(Restricciones!$D$6:$D$305,B20,Restricciones!$F$6:$F$305,"Abierta")+COUNTIFS(Restricciones!$D$6:$D$305,B20,Restricciones!$F$6:$F$305,"En gestión"),IF(C20="CWA",COUNTIFS(Restricciones!$C$6:$C$305,"CWP-"&amp;MID(B20,5,4)&amp;"-*",Restricciones!$F$6:$F$305,"Abierta")+COUNTIFS(Restricciones!$C$6:$C$305,"CWP-"&amp;MID(B20,5,4)&amp;"-*",Restricciones!$F$6:$F$305,"En gestión"),COUNTIFS(Restricciones!$C$6:$C$305,IF(C20="CWP",B20,H20),Restricciones!$F$6:$F$305,"Abierta")+COUNTIFS(Restricciones!$C$6:$C$305,IF(C20="CWP",B20,H20),Restricciones!$F$6:$F$305,"En gestión"))))</f>
        <v/>
      </c>
      <c r="S20" s="30">
        <f>IF(OR(B20="",M20=""),"",IF(O20&lt;&gt;"",MAX(0,O20-M20),IF(AND($B$3&gt;M20,K20&lt;&gt;"Cerrado"),$B$3-M20,0)))</f>
        <v/>
      </c>
      <c r="T20" s="31">
        <f>IF(B20="","",IF(K20="Cerrado",IF(S20&gt;0,"Cerrado con atraso","Cerrado"),IF(S20&gt;0,"Atrasado",IF(AND(N20="",L20&lt;&gt;"",$B$3&gt;L20),"Inicio atrasado","En plazo"))))</f>
        <v/>
      </c>
      <c r="U20" s="26" t="n"/>
    </row>
    <row r="21">
      <c r="A21" s="24" t="n"/>
      <c r="B21" s="25" t="n"/>
      <c r="C21" s="25" t="n"/>
      <c r="D21" s="25" t="n"/>
      <c r="E21" s="26" t="n"/>
      <c r="F21" s="25" t="n"/>
      <c r="G21" s="25" t="n"/>
      <c r="H21" s="25" t="n"/>
      <c r="I21" s="25" t="n"/>
      <c r="J21" s="25" t="n"/>
      <c r="K21" s="25" t="n"/>
      <c r="L21" s="27" t="n"/>
      <c r="M21" s="27" t="n"/>
      <c r="N21" s="27" t="n"/>
      <c r="O21" s="27" t="n"/>
      <c r="P21" s="28" t="n"/>
      <c r="Q21" s="29" t="n"/>
      <c r="R21" s="30">
        <f>IF(B21="","",IF(C21="IWP",COUNTIFS(Restricciones!$D$6:$D$305,B21,Restricciones!$F$6:$F$305,"Abierta")+COUNTIFS(Restricciones!$D$6:$D$305,B21,Restricciones!$F$6:$F$305,"En gestión"),IF(C21="CWA",COUNTIFS(Restricciones!$C$6:$C$305,"CWP-"&amp;MID(B21,5,4)&amp;"-*",Restricciones!$F$6:$F$305,"Abierta")+COUNTIFS(Restricciones!$C$6:$C$305,"CWP-"&amp;MID(B21,5,4)&amp;"-*",Restricciones!$F$6:$F$305,"En gestión"),COUNTIFS(Restricciones!$C$6:$C$305,IF(C21="CWP",B21,H21),Restricciones!$F$6:$F$305,"Abierta")+COUNTIFS(Restricciones!$C$6:$C$305,IF(C21="CWP",B21,H21),Restricciones!$F$6:$F$305,"En gestión"))))</f>
        <v/>
      </c>
      <c r="S21" s="30">
        <f>IF(OR(B21="",M21=""),"",IF(O21&lt;&gt;"",MAX(0,O21-M21),IF(AND($B$3&gt;M21,K21&lt;&gt;"Cerrado"),$B$3-M21,0)))</f>
        <v/>
      </c>
      <c r="T21" s="31">
        <f>IF(B21="","",IF(K21="Cerrado",IF(S21&gt;0,"Cerrado con atraso","Cerrado"),IF(S21&gt;0,"Atrasado",IF(AND(N21="",L21&lt;&gt;"",$B$3&gt;L21),"Inicio atrasado","En plazo"))))</f>
        <v/>
      </c>
      <c r="U21" s="26" t="n"/>
    </row>
    <row r="22">
      <c r="A22" s="24" t="n"/>
      <c r="B22" s="25" t="n"/>
      <c r="C22" s="25" t="n"/>
      <c r="D22" s="25" t="n"/>
      <c r="E22" s="26" t="n"/>
      <c r="F22" s="25" t="n"/>
      <c r="G22" s="25" t="n"/>
      <c r="H22" s="25" t="n"/>
      <c r="I22" s="25" t="n"/>
      <c r="J22" s="25" t="n"/>
      <c r="K22" s="25" t="n"/>
      <c r="L22" s="27" t="n"/>
      <c r="M22" s="27" t="n"/>
      <c r="N22" s="27" t="n"/>
      <c r="O22" s="27" t="n"/>
      <c r="P22" s="28" t="n"/>
      <c r="Q22" s="29" t="n"/>
      <c r="R22" s="30">
        <f>IF(B22="","",IF(C22="IWP",COUNTIFS(Restricciones!$D$6:$D$305,B22,Restricciones!$F$6:$F$305,"Abierta")+COUNTIFS(Restricciones!$D$6:$D$305,B22,Restricciones!$F$6:$F$305,"En gestión"),IF(C22="CWA",COUNTIFS(Restricciones!$C$6:$C$305,"CWP-"&amp;MID(B22,5,4)&amp;"-*",Restricciones!$F$6:$F$305,"Abierta")+COUNTIFS(Restricciones!$C$6:$C$305,"CWP-"&amp;MID(B22,5,4)&amp;"-*",Restricciones!$F$6:$F$305,"En gestión"),COUNTIFS(Restricciones!$C$6:$C$305,IF(C22="CWP",B22,H22),Restricciones!$F$6:$F$305,"Abierta")+COUNTIFS(Restricciones!$C$6:$C$305,IF(C22="CWP",B22,H22),Restricciones!$F$6:$F$305,"En gestión"))))</f>
        <v/>
      </c>
      <c r="S22" s="30">
        <f>IF(OR(B22="",M22=""),"",IF(O22&lt;&gt;"",MAX(0,O22-M22),IF(AND($B$3&gt;M22,K22&lt;&gt;"Cerrado"),$B$3-M22,0)))</f>
        <v/>
      </c>
      <c r="T22" s="31">
        <f>IF(B22="","",IF(K22="Cerrado",IF(S22&gt;0,"Cerrado con atraso","Cerrado"),IF(S22&gt;0,"Atrasado",IF(AND(N22="",L22&lt;&gt;"",$B$3&gt;L22),"Inicio atrasado","En plazo"))))</f>
        <v/>
      </c>
      <c r="U22" s="26" t="n"/>
    </row>
    <row r="23">
      <c r="A23" s="24" t="n"/>
      <c r="B23" s="25" t="n"/>
      <c r="C23" s="25" t="n"/>
      <c r="D23" s="25" t="n"/>
      <c r="E23" s="26" t="n"/>
      <c r="F23" s="25" t="n"/>
      <c r="G23" s="25" t="n"/>
      <c r="H23" s="25" t="n"/>
      <c r="I23" s="25" t="n"/>
      <c r="J23" s="25" t="n"/>
      <c r="K23" s="25" t="n"/>
      <c r="L23" s="27" t="n"/>
      <c r="M23" s="27" t="n"/>
      <c r="N23" s="27" t="n"/>
      <c r="O23" s="27" t="n"/>
      <c r="P23" s="28" t="n"/>
      <c r="Q23" s="29" t="n"/>
      <c r="R23" s="30">
        <f>IF(B23="","",IF(C23="IWP",COUNTIFS(Restricciones!$D$6:$D$305,B23,Restricciones!$F$6:$F$305,"Abierta")+COUNTIFS(Restricciones!$D$6:$D$305,B23,Restricciones!$F$6:$F$305,"En gestión"),IF(C23="CWA",COUNTIFS(Restricciones!$C$6:$C$305,"CWP-"&amp;MID(B23,5,4)&amp;"-*",Restricciones!$F$6:$F$305,"Abierta")+COUNTIFS(Restricciones!$C$6:$C$305,"CWP-"&amp;MID(B23,5,4)&amp;"-*",Restricciones!$F$6:$F$305,"En gestión"),COUNTIFS(Restricciones!$C$6:$C$305,IF(C23="CWP",B23,H23),Restricciones!$F$6:$F$305,"Abierta")+COUNTIFS(Restricciones!$C$6:$C$305,IF(C23="CWP",B23,H23),Restricciones!$F$6:$F$305,"En gestión"))))</f>
        <v/>
      </c>
      <c r="S23" s="30">
        <f>IF(OR(B23="",M23=""),"",IF(O23&lt;&gt;"",MAX(0,O23-M23),IF(AND($B$3&gt;M23,K23&lt;&gt;"Cerrado"),$B$3-M23,0)))</f>
        <v/>
      </c>
      <c r="T23" s="31">
        <f>IF(B23="","",IF(K23="Cerrado",IF(S23&gt;0,"Cerrado con atraso","Cerrado"),IF(S23&gt;0,"Atrasado",IF(AND(N23="",L23&lt;&gt;"",$B$3&gt;L23),"Inicio atrasado","En plazo"))))</f>
        <v/>
      </c>
      <c r="U23" s="26" t="n"/>
    </row>
    <row r="24">
      <c r="A24" s="24" t="n"/>
      <c r="B24" s="25" t="n"/>
      <c r="C24" s="25" t="n"/>
      <c r="D24" s="25" t="n"/>
      <c r="E24" s="26" t="n"/>
      <c r="F24" s="25" t="n"/>
      <c r="G24" s="25" t="n"/>
      <c r="H24" s="25" t="n"/>
      <c r="I24" s="25" t="n"/>
      <c r="J24" s="25" t="n"/>
      <c r="K24" s="25" t="n"/>
      <c r="L24" s="27" t="n"/>
      <c r="M24" s="27" t="n"/>
      <c r="N24" s="27" t="n"/>
      <c r="O24" s="27" t="n"/>
      <c r="P24" s="28" t="n"/>
      <c r="Q24" s="29" t="n"/>
      <c r="R24" s="30">
        <f>IF(B24="","",IF(C24="IWP",COUNTIFS(Restricciones!$D$6:$D$305,B24,Restricciones!$F$6:$F$305,"Abierta")+COUNTIFS(Restricciones!$D$6:$D$305,B24,Restricciones!$F$6:$F$305,"En gestión"),IF(C24="CWA",COUNTIFS(Restricciones!$C$6:$C$305,"CWP-"&amp;MID(B24,5,4)&amp;"-*",Restricciones!$F$6:$F$305,"Abierta")+COUNTIFS(Restricciones!$C$6:$C$305,"CWP-"&amp;MID(B24,5,4)&amp;"-*",Restricciones!$F$6:$F$305,"En gestión"),COUNTIFS(Restricciones!$C$6:$C$305,IF(C24="CWP",B24,H24),Restricciones!$F$6:$F$305,"Abierta")+COUNTIFS(Restricciones!$C$6:$C$305,IF(C24="CWP",B24,H24),Restricciones!$F$6:$F$305,"En gestión"))))</f>
        <v/>
      </c>
      <c r="S24" s="30">
        <f>IF(OR(B24="",M24=""),"",IF(O24&lt;&gt;"",MAX(0,O24-M24),IF(AND($B$3&gt;M24,K24&lt;&gt;"Cerrado"),$B$3-M24,0)))</f>
        <v/>
      </c>
      <c r="T24" s="31">
        <f>IF(B24="","",IF(K24="Cerrado",IF(S24&gt;0,"Cerrado con atraso","Cerrado"),IF(S24&gt;0,"Atrasado",IF(AND(N24="",L24&lt;&gt;"",$B$3&gt;L24),"Inicio atrasado","En plazo"))))</f>
        <v/>
      </c>
      <c r="U24" s="26" t="n"/>
    </row>
    <row r="25">
      <c r="A25" s="24" t="n"/>
      <c r="B25" s="25" t="n"/>
      <c r="C25" s="25" t="n"/>
      <c r="D25" s="25" t="n"/>
      <c r="E25" s="26" t="n"/>
      <c r="F25" s="25" t="n"/>
      <c r="G25" s="25" t="n"/>
      <c r="H25" s="25" t="n"/>
      <c r="I25" s="25" t="n"/>
      <c r="J25" s="25" t="n"/>
      <c r="K25" s="25" t="n"/>
      <c r="L25" s="27" t="n"/>
      <c r="M25" s="27" t="n"/>
      <c r="N25" s="27" t="n"/>
      <c r="O25" s="27" t="n"/>
      <c r="P25" s="28" t="n"/>
      <c r="Q25" s="29" t="n"/>
      <c r="R25" s="30">
        <f>IF(B25="","",IF(C25="IWP",COUNTIFS(Restricciones!$D$6:$D$305,B25,Restricciones!$F$6:$F$305,"Abierta")+COUNTIFS(Restricciones!$D$6:$D$305,B25,Restricciones!$F$6:$F$305,"En gestión"),IF(C25="CWA",COUNTIFS(Restricciones!$C$6:$C$305,"CWP-"&amp;MID(B25,5,4)&amp;"-*",Restricciones!$F$6:$F$305,"Abierta")+COUNTIFS(Restricciones!$C$6:$C$305,"CWP-"&amp;MID(B25,5,4)&amp;"-*",Restricciones!$F$6:$F$305,"En gestión"),COUNTIFS(Restricciones!$C$6:$C$305,IF(C25="CWP",B25,H25),Restricciones!$F$6:$F$305,"Abierta")+COUNTIFS(Restricciones!$C$6:$C$305,IF(C25="CWP",B25,H25),Restricciones!$F$6:$F$305,"En gestión"))))</f>
        <v/>
      </c>
      <c r="S25" s="30">
        <f>IF(OR(B25="",M25=""),"",IF(O25&lt;&gt;"",MAX(0,O25-M25),IF(AND($B$3&gt;M25,K25&lt;&gt;"Cerrado"),$B$3-M25,0)))</f>
        <v/>
      </c>
      <c r="T25" s="31">
        <f>IF(B25="","",IF(K25="Cerrado",IF(S25&gt;0,"Cerrado con atraso","Cerrado"),IF(S25&gt;0,"Atrasado",IF(AND(N25="",L25&lt;&gt;"",$B$3&gt;L25),"Inicio atrasado","En plazo"))))</f>
        <v/>
      </c>
      <c r="U25" s="26" t="n"/>
    </row>
    <row r="26">
      <c r="A26" s="24" t="n"/>
      <c r="B26" s="25" t="n"/>
      <c r="C26" s="25" t="n"/>
      <c r="D26" s="25" t="n"/>
      <c r="E26" s="26" t="n"/>
      <c r="F26" s="25" t="n"/>
      <c r="G26" s="25" t="n"/>
      <c r="H26" s="25" t="n"/>
      <c r="I26" s="25" t="n"/>
      <c r="J26" s="25" t="n"/>
      <c r="K26" s="25" t="n"/>
      <c r="L26" s="27" t="n"/>
      <c r="M26" s="27" t="n"/>
      <c r="N26" s="27" t="n"/>
      <c r="O26" s="27" t="n"/>
      <c r="P26" s="28" t="n"/>
      <c r="Q26" s="29" t="n"/>
      <c r="R26" s="30">
        <f>IF(B26="","",IF(C26="IWP",COUNTIFS(Restricciones!$D$6:$D$305,B26,Restricciones!$F$6:$F$305,"Abierta")+COUNTIFS(Restricciones!$D$6:$D$305,B26,Restricciones!$F$6:$F$305,"En gestión"),IF(C26="CWA",COUNTIFS(Restricciones!$C$6:$C$305,"CWP-"&amp;MID(B26,5,4)&amp;"-*",Restricciones!$F$6:$F$305,"Abierta")+COUNTIFS(Restricciones!$C$6:$C$305,"CWP-"&amp;MID(B26,5,4)&amp;"-*",Restricciones!$F$6:$F$305,"En gestión"),COUNTIFS(Restricciones!$C$6:$C$305,IF(C26="CWP",B26,H26),Restricciones!$F$6:$F$305,"Abierta")+COUNTIFS(Restricciones!$C$6:$C$305,IF(C26="CWP",B26,H26),Restricciones!$F$6:$F$305,"En gestión"))))</f>
        <v/>
      </c>
      <c r="S26" s="30">
        <f>IF(OR(B26="",M26=""),"",IF(O26&lt;&gt;"",MAX(0,O26-M26),IF(AND($B$3&gt;M26,K26&lt;&gt;"Cerrado"),$B$3-M26,0)))</f>
        <v/>
      </c>
      <c r="T26" s="31">
        <f>IF(B26="","",IF(K26="Cerrado",IF(S26&gt;0,"Cerrado con atraso","Cerrado"),IF(S26&gt;0,"Atrasado",IF(AND(N26="",L26&lt;&gt;"",$B$3&gt;L26),"Inicio atrasado","En plazo"))))</f>
        <v/>
      </c>
      <c r="U26" s="26" t="n"/>
    </row>
    <row r="27">
      <c r="A27" s="24" t="n"/>
      <c r="B27" s="25" t="n"/>
      <c r="C27" s="25" t="n"/>
      <c r="D27" s="25" t="n"/>
      <c r="E27" s="26" t="n"/>
      <c r="F27" s="25" t="n"/>
      <c r="G27" s="25" t="n"/>
      <c r="H27" s="25" t="n"/>
      <c r="I27" s="25" t="n"/>
      <c r="J27" s="25" t="n"/>
      <c r="K27" s="25" t="n"/>
      <c r="L27" s="27" t="n"/>
      <c r="M27" s="27" t="n"/>
      <c r="N27" s="27" t="n"/>
      <c r="O27" s="27" t="n"/>
      <c r="P27" s="28" t="n"/>
      <c r="Q27" s="29" t="n"/>
      <c r="R27" s="30">
        <f>IF(B27="","",IF(C27="IWP",COUNTIFS(Restricciones!$D$6:$D$305,B27,Restricciones!$F$6:$F$305,"Abierta")+COUNTIFS(Restricciones!$D$6:$D$305,B27,Restricciones!$F$6:$F$305,"En gestión"),IF(C27="CWA",COUNTIFS(Restricciones!$C$6:$C$305,"CWP-"&amp;MID(B27,5,4)&amp;"-*",Restricciones!$F$6:$F$305,"Abierta")+COUNTIFS(Restricciones!$C$6:$C$305,"CWP-"&amp;MID(B27,5,4)&amp;"-*",Restricciones!$F$6:$F$305,"En gestión"),COUNTIFS(Restricciones!$C$6:$C$305,IF(C27="CWP",B27,H27),Restricciones!$F$6:$F$305,"Abierta")+COUNTIFS(Restricciones!$C$6:$C$305,IF(C27="CWP",B27,H27),Restricciones!$F$6:$F$305,"En gestión"))))</f>
        <v/>
      </c>
      <c r="S27" s="30">
        <f>IF(OR(B27="",M27=""),"",IF(O27&lt;&gt;"",MAX(0,O27-M27),IF(AND($B$3&gt;M27,K27&lt;&gt;"Cerrado"),$B$3-M27,0)))</f>
        <v/>
      </c>
      <c r="T27" s="31">
        <f>IF(B27="","",IF(K27="Cerrado",IF(S27&gt;0,"Cerrado con atraso","Cerrado"),IF(S27&gt;0,"Atrasado",IF(AND(N27="",L27&lt;&gt;"",$B$3&gt;L27),"Inicio atrasado","En plazo"))))</f>
        <v/>
      </c>
      <c r="U27" s="26" t="n"/>
    </row>
    <row r="28">
      <c r="A28" s="24" t="n"/>
      <c r="B28" s="25" t="n"/>
      <c r="C28" s="25" t="n"/>
      <c r="D28" s="25" t="n"/>
      <c r="E28" s="26" t="n"/>
      <c r="F28" s="25" t="n"/>
      <c r="G28" s="25" t="n"/>
      <c r="H28" s="25" t="n"/>
      <c r="I28" s="25" t="n"/>
      <c r="J28" s="25" t="n"/>
      <c r="K28" s="25" t="n"/>
      <c r="L28" s="27" t="n"/>
      <c r="M28" s="27" t="n"/>
      <c r="N28" s="27" t="n"/>
      <c r="O28" s="27" t="n"/>
      <c r="P28" s="28" t="n"/>
      <c r="Q28" s="29" t="n"/>
      <c r="R28" s="30">
        <f>IF(B28="","",IF(C28="IWP",COUNTIFS(Restricciones!$D$6:$D$305,B28,Restricciones!$F$6:$F$305,"Abierta")+COUNTIFS(Restricciones!$D$6:$D$305,B28,Restricciones!$F$6:$F$305,"En gestión"),IF(C28="CWA",COUNTIFS(Restricciones!$C$6:$C$305,"CWP-"&amp;MID(B28,5,4)&amp;"-*",Restricciones!$F$6:$F$305,"Abierta")+COUNTIFS(Restricciones!$C$6:$C$305,"CWP-"&amp;MID(B28,5,4)&amp;"-*",Restricciones!$F$6:$F$305,"En gestión"),COUNTIFS(Restricciones!$C$6:$C$305,IF(C28="CWP",B28,H28),Restricciones!$F$6:$F$305,"Abierta")+COUNTIFS(Restricciones!$C$6:$C$305,IF(C28="CWP",B28,H28),Restricciones!$F$6:$F$305,"En gestión"))))</f>
        <v/>
      </c>
      <c r="S28" s="30">
        <f>IF(OR(B28="",M28=""),"",IF(O28&lt;&gt;"",MAX(0,O28-M28),IF(AND($B$3&gt;M28,K28&lt;&gt;"Cerrado"),$B$3-M28,0)))</f>
        <v/>
      </c>
      <c r="T28" s="31">
        <f>IF(B28="","",IF(K28="Cerrado",IF(S28&gt;0,"Cerrado con atraso","Cerrado"),IF(S28&gt;0,"Atrasado",IF(AND(N28="",L28&lt;&gt;"",$B$3&gt;L28),"Inicio atrasado","En plazo"))))</f>
        <v/>
      </c>
      <c r="U28" s="26" t="n"/>
    </row>
    <row r="29">
      <c r="A29" s="24" t="n"/>
      <c r="B29" s="25" t="n"/>
      <c r="C29" s="25" t="n"/>
      <c r="D29" s="25" t="n"/>
      <c r="E29" s="26" t="n"/>
      <c r="F29" s="25" t="n"/>
      <c r="G29" s="25" t="n"/>
      <c r="H29" s="25" t="n"/>
      <c r="I29" s="25" t="n"/>
      <c r="J29" s="25" t="n"/>
      <c r="K29" s="25" t="n"/>
      <c r="L29" s="27" t="n"/>
      <c r="M29" s="27" t="n"/>
      <c r="N29" s="27" t="n"/>
      <c r="O29" s="27" t="n"/>
      <c r="P29" s="28" t="n"/>
      <c r="Q29" s="29" t="n"/>
      <c r="R29" s="30">
        <f>IF(B29="","",IF(C29="IWP",COUNTIFS(Restricciones!$D$6:$D$305,B29,Restricciones!$F$6:$F$305,"Abierta")+COUNTIFS(Restricciones!$D$6:$D$305,B29,Restricciones!$F$6:$F$305,"En gestión"),IF(C29="CWA",COUNTIFS(Restricciones!$C$6:$C$305,"CWP-"&amp;MID(B29,5,4)&amp;"-*",Restricciones!$F$6:$F$305,"Abierta")+COUNTIFS(Restricciones!$C$6:$C$305,"CWP-"&amp;MID(B29,5,4)&amp;"-*",Restricciones!$F$6:$F$305,"En gestión"),COUNTIFS(Restricciones!$C$6:$C$305,IF(C29="CWP",B29,H29),Restricciones!$F$6:$F$305,"Abierta")+COUNTIFS(Restricciones!$C$6:$C$305,IF(C29="CWP",B29,H29),Restricciones!$F$6:$F$305,"En gestión"))))</f>
        <v/>
      </c>
      <c r="S29" s="30">
        <f>IF(OR(B29="",M29=""),"",IF(O29&lt;&gt;"",MAX(0,O29-M29),IF(AND($B$3&gt;M29,K29&lt;&gt;"Cerrado"),$B$3-M29,0)))</f>
        <v/>
      </c>
      <c r="T29" s="31">
        <f>IF(B29="","",IF(K29="Cerrado",IF(S29&gt;0,"Cerrado con atraso","Cerrado"),IF(S29&gt;0,"Atrasado",IF(AND(N29="",L29&lt;&gt;"",$B$3&gt;L29),"Inicio atrasado","En plazo"))))</f>
        <v/>
      </c>
      <c r="U29" s="26" t="n"/>
    </row>
    <row r="30">
      <c r="A30" s="24" t="n"/>
      <c r="B30" s="25" t="n"/>
      <c r="C30" s="25" t="n"/>
      <c r="D30" s="25" t="n"/>
      <c r="E30" s="26" t="n"/>
      <c r="F30" s="25" t="n"/>
      <c r="G30" s="25" t="n"/>
      <c r="H30" s="25" t="n"/>
      <c r="I30" s="25" t="n"/>
      <c r="J30" s="25" t="n"/>
      <c r="K30" s="25" t="n"/>
      <c r="L30" s="27" t="n"/>
      <c r="M30" s="27" t="n"/>
      <c r="N30" s="27" t="n"/>
      <c r="O30" s="27" t="n"/>
      <c r="P30" s="28" t="n"/>
      <c r="Q30" s="29" t="n"/>
      <c r="R30" s="30">
        <f>IF(B30="","",IF(C30="IWP",COUNTIFS(Restricciones!$D$6:$D$305,B30,Restricciones!$F$6:$F$305,"Abierta")+COUNTIFS(Restricciones!$D$6:$D$305,B30,Restricciones!$F$6:$F$305,"En gestión"),IF(C30="CWA",COUNTIFS(Restricciones!$C$6:$C$305,"CWP-"&amp;MID(B30,5,4)&amp;"-*",Restricciones!$F$6:$F$305,"Abierta")+COUNTIFS(Restricciones!$C$6:$C$305,"CWP-"&amp;MID(B30,5,4)&amp;"-*",Restricciones!$F$6:$F$305,"En gestión"),COUNTIFS(Restricciones!$C$6:$C$305,IF(C30="CWP",B30,H30),Restricciones!$F$6:$F$305,"Abierta")+COUNTIFS(Restricciones!$C$6:$C$305,IF(C30="CWP",B30,H30),Restricciones!$F$6:$F$305,"En gestión"))))</f>
        <v/>
      </c>
      <c r="S30" s="30">
        <f>IF(OR(B30="",M30=""),"",IF(O30&lt;&gt;"",MAX(0,O30-M30),IF(AND($B$3&gt;M30,K30&lt;&gt;"Cerrado"),$B$3-M30,0)))</f>
        <v/>
      </c>
      <c r="T30" s="31">
        <f>IF(B30="","",IF(K30="Cerrado",IF(S30&gt;0,"Cerrado con atraso","Cerrado"),IF(S30&gt;0,"Atrasado",IF(AND(N30="",L30&lt;&gt;"",$B$3&gt;L30),"Inicio atrasado","En plazo"))))</f>
        <v/>
      </c>
      <c r="U30" s="26" t="n"/>
    </row>
    <row r="31">
      <c r="A31" s="24" t="n"/>
      <c r="B31" s="25" t="n"/>
      <c r="C31" s="25" t="n"/>
      <c r="D31" s="25" t="n"/>
      <c r="E31" s="26" t="n"/>
      <c r="F31" s="25" t="n"/>
      <c r="G31" s="25" t="n"/>
      <c r="H31" s="25" t="n"/>
      <c r="I31" s="25" t="n"/>
      <c r="J31" s="25" t="n"/>
      <c r="K31" s="25" t="n"/>
      <c r="L31" s="27" t="n"/>
      <c r="M31" s="27" t="n"/>
      <c r="N31" s="27" t="n"/>
      <c r="O31" s="27" t="n"/>
      <c r="P31" s="28" t="n"/>
      <c r="Q31" s="29" t="n"/>
      <c r="R31" s="30">
        <f>IF(B31="","",IF(C31="IWP",COUNTIFS(Restricciones!$D$6:$D$305,B31,Restricciones!$F$6:$F$305,"Abierta")+COUNTIFS(Restricciones!$D$6:$D$305,B31,Restricciones!$F$6:$F$305,"En gestión"),IF(C31="CWA",COUNTIFS(Restricciones!$C$6:$C$305,"CWP-"&amp;MID(B31,5,4)&amp;"-*",Restricciones!$F$6:$F$305,"Abierta")+COUNTIFS(Restricciones!$C$6:$C$305,"CWP-"&amp;MID(B31,5,4)&amp;"-*",Restricciones!$F$6:$F$305,"En gestión"),COUNTIFS(Restricciones!$C$6:$C$305,IF(C31="CWP",B31,H31),Restricciones!$F$6:$F$305,"Abierta")+COUNTIFS(Restricciones!$C$6:$C$305,IF(C31="CWP",B31,H31),Restricciones!$F$6:$F$305,"En gestión"))))</f>
        <v/>
      </c>
      <c r="S31" s="30">
        <f>IF(OR(B31="",M31=""),"",IF(O31&lt;&gt;"",MAX(0,O31-M31),IF(AND($B$3&gt;M31,K31&lt;&gt;"Cerrado"),$B$3-M31,0)))</f>
        <v/>
      </c>
      <c r="T31" s="31">
        <f>IF(B31="","",IF(K31="Cerrado",IF(S31&gt;0,"Cerrado con atraso","Cerrado"),IF(S31&gt;0,"Atrasado",IF(AND(N31="",L31&lt;&gt;"",$B$3&gt;L31),"Inicio atrasado","En plazo"))))</f>
        <v/>
      </c>
      <c r="U31" s="26" t="n"/>
    </row>
    <row r="32">
      <c r="A32" s="24" t="n"/>
      <c r="B32" s="25" t="n"/>
      <c r="C32" s="25" t="n"/>
      <c r="D32" s="25" t="n"/>
      <c r="E32" s="26" t="n"/>
      <c r="F32" s="25" t="n"/>
      <c r="G32" s="25" t="n"/>
      <c r="H32" s="25" t="n"/>
      <c r="I32" s="25" t="n"/>
      <c r="J32" s="25" t="n"/>
      <c r="K32" s="25" t="n"/>
      <c r="L32" s="27" t="n"/>
      <c r="M32" s="27" t="n"/>
      <c r="N32" s="27" t="n"/>
      <c r="O32" s="27" t="n"/>
      <c r="P32" s="28" t="n"/>
      <c r="Q32" s="29" t="n"/>
      <c r="R32" s="30">
        <f>IF(B32="","",IF(C32="IWP",COUNTIFS(Restricciones!$D$6:$D$305,B32,Restricciones!$F$6:$F$305,"Abierta")+COUNTIFS(Restricciones!$D$6:$D$305,B32,Restricciones!$F$6:$F$305,"En gestión"),IF(C32="CWA",COUNTIFS(Restricciones!$C$6:$C$305,"CWP-"&amp;MID(B32,5,4)&amp;"-*",Restricciones!$F$6:$F$305,"Abierta")+COUNTIFS(Restricciones!$C$6:$C$305,"CWP-"&amp;MID(B32,5,4)&amp;"-*",Restricciones!$F$6:$F$305,"En gestión"),COUNTIFS(Restricciones!$C$6:$C$305,IF(C32="CWP",B32,H32),Restricciones!$F$6:$F$305,"Abierta")+COUNTIFS(Restricciones!$C$6:$C$305,IF(C32="CWP",B32,H32),Restricciones!$F$6:$F$305,"En gestión"))))</f>
        <v/>
      </c>
      <c r="S32" s="30">
        <f>IF(OR(B32="",M32=""),"",IF(O32&lt;&gt;"",MAX(0,O32-M32),IF(AND($B$3&gt;M32,K32&lt;&gt;"Cerrado"),$B$3-M32,0)))</f>
        <v/>
      </c>
      <c r="T32" s="31">
        <f>IF(B32="","",IF(K32="Cerrado",IF(S32&gt;0,"Cerrado con atraso","Cerrado"),IF(S32&gt;0,"Atrasado",IF(AND(N32="",L32&lt;&gt;"",$B$3&gt;L32),"Inicio atrasado","En plazo"))))</f>
        <v/>
      </c>
      <c r="U32" s="26" t="n"/>
    </row>
    <row r="33">
      <c r="A33" s="24" t="n"/>
      <c r="B33" s="25" t="n"/>
      <c r="C33" s="25" t="n"/>
      <c r="D33" s="25" t="n"/>
      <c r="E33" s="26" t="n"/>
      <c r="F33" s="25" t="n"/>
      <c r="G33" s="25" t="n"/>
      <c r="H33" s="25" t="n"/>
      <c r="I33" s="25" t="n"/>
      <c r="J33" s="25" t="n"/>
      <c r="K33" s="25" t="n"/>
      <c r="L33" s="27" t="n"/>
      <c r="M33" s="27" t="n"/>
      <c r="N33" s="27" t="n"/>
      <c r="O33" s="27" t="n"/>
      <c r="P33" s="28" t="n"/>
      <c r="Q33" s="29" t="n"/>
      <c r="R33" s="30">
        <f>IF(B33="","",IF(C33="IWP",COUNTIFS(Restricciones!$D$6:$D$305,B33,Restricciones!$F$6:$F$305,"Abierta")+COUNTIFS(Restricciones!$D$6:$D$305,B33,Restricciones!$F$6:$F$305,"En gestión"),IF(C33="CWA",COUNTIFS(Restricciones!$C$6:$C$305,"CWP-"&amp;MID(B33,5,4)&amp;"-*",Restricciones!$F$6:$F$305,"Abierta")+COUNTIFS(Restricciones!$C$6:$C$305,"CWP-"&amp;MID(B33,5,4)&amp;"-*",Restricciones!$F$6:$F$305,"En gestión"),COUNTIFS(Restricciones!$C$6:$C$305,IF(C33="CWP",B33,H33),Restricciones!$F$6:$F$305,"Abierta")+COUNTIFS(Restricciones!$C$6:$C$305,IF(C33="CWP",B33,H33),Restricciones!$F$6:$F$305,"En gestión"))))</f>
        <v/>
      </c>
      <c r="S33" s="30">
        <f>IF(OR(B33="",M33=""),"",IF(O33&lt;&gt;"",MAX(0,O33-M33),IF(AND($B$3&gt;M33,K33&lt;&gt;"Cerrado"),$B$3-M33,0)))</f>
        <v/>
      </c>
      <c r="T33" s="31">
        <f>IF(B33="","",IF(K33="Cerrado",IF(S33&gt;0,"Cerrado con atraso","Cerrado"),IF(S33&gt;0,"Atrasado",IF(AND(N33="",L33&lt;&gt;"",$B$3&gt;L33),"Inicio atrasado","En plazo"))))</f>
        <v/>
      </c>
      <c r="U33" s="26" t="n"/>
    </row>
    <row r="34">
      <c r="A34" s="24" t="n"/>
      <c r="B34" s="25" t="n"/>
      <c r="C34" s="25" t="n"/>
      <c r="D34" s="25" t="n"/>
      <c r="E34" s="26" t="n"/>
      <c r="F34" s="25" t="n"/>
      <c r="G34" s="25" t="n"/>
      <c r="H34" s="25" t="n"/>
      <c r="I34" s="25" t="n"/>
      <c r="J34" s="25" t="n"/>
      <c r="K34" s="25" t="n"/>
      <c r="L34" s="27" t="n"/>
      <c r="M34" s="27" t="n"/>
      <c r="N34" s="27" t="n"/>
      <c r="O34" s="27" t="n"/>
      <c r="P34" s="28" t="n"/>
      <c r="Q34" s="29" t="n"/>
      <c r="R34" s="30">
        <f>IF(B34="","",IF(C34="IWP",COUNTIFS(Restricciones!$D$6:$D$305,B34,Restricciones!$F$6:$F$305,"Abierta")+COUNTIFS(Restricciones!$D$6:$D$305,B34,Restricciones!$F$6:$F$305,"En gestión"),IF(C34="CWA",COUNTIFS(Restricciones!$C$6:$C$305,"CWP-"&amp;MID(B34,5,4)&amp;"-*",Restricciones!$F$6:$F$305,"Abierta")+COUNTIFS(Restricciones!$C$6:$C$305,"CWP-"&amp;MID(B34,5,4)&amp;"-*",Restricciones!$F$6:$F$305,"En gestión"),COUNTIFS(Restricciones!$C$6:$C$305,IF(C34="CWP",B34,H34),Restricciones!$F$6:$F$305,"Abierta")+COUNTIFS(Restricciones!$C$6:$C$305,IF(C34="CWP",B34,H34),Restricciones!$F$6:$F$305,"En gestión"))))</f>
        <v/>
      </c>
      <c r="S34" s="30">
        <f>IF(OR(B34="",M34=""),"",IF(O34&lt;&gt;"",MAX(0,O34-M34),IF(AND($B$3&gt;M34,K34&lt;&gt;"Cerrado"),$B$3-M34,0)))</f>
        <v/>
      </c>
      <c r="T34" s="31">
        <f>IF(B34="","",IF(K34="Cerrado",IF(S34&gt;0,"Cerrado con atraso","Cerrado"),IF(S34&gt;0,"Atrasado",IF(AND(N34="",L34&lt;&gt;"",$B$3&gt;L34),"Inicio atrasado","En plazo"))))</f>
        <v/>
      </c>
      <c r="U34" s="26" t="n"/>
    </row>
    <row r="35">
      <c r="A35" s="24" t="n"/>
      <c r="B35" s="25" t="n"/>
      <c r="C35" s="25" t="n"/>
      <c r="D35" s="25" t="n"/>
      <c r="E35" s="26" t="n"/>
      <c r="F35" s="25" t="n"/>
      <c r="G35" s="25" t="n"/>
      <c r="H35" s="25" t="n"/>
      <c r="I35" s="25" t="n"/>
      <c r="J35" s="25" t="n"/>
      <c r="K35" s="25" t="n"/>
      <c r="L35" s="27" t="n"/>
      <c r="M35" s="27" t="n"/>
      <c r="N35" s="27" t="n"/>
      <c r="O35" s="27" t="n"/>
      <c r="P35" s="28" t="n"/>
      <c r="Q35" s="29" t="n"/>
      <c r="R35" s="30">
        <f>IF(B35="","",IF(C35="IWP",COUNTIFS(Restricciones!$D$6:$D$305,B35,Restricciones!$F$6:$F$305,"Abierta")+COUNTIFS(Restricciones!$D$6:$D$305,B35,Restricciones!$F$6:$F$305,"En gestión"),IF(C35="CWA",COUNTIFS(Restricciones!$C$6:$C$305,"CWP-"&amp;MID(B35,5,4)&amp;"-*",Restricciones!$F$6:$F$305,"Abierta")+COUNTIFS(Restricciones!$C$6:$C$305,"CWP-"&amp;MID(B35,5,4)&amp;"-*",Restricciones!$F$6:$F$305,"En gestión"),COUNTIFS(Restricciones!$C$6:$C$305,IF(C35="CWP",B35,H35),Restricciones!$F$6:$F$305,"Abierta")+COUNTIFS(Restricciones!$C$6:$C$305,IF(C35="CWP",B35,H35),Restricciones!$F$6:$F$305,"En gestión"))))</f>
        <v/>
      </c>
      <c r="S35" s="30">
        <f>IF(OR(B35="",M35=""),"",IF(O35&lt;&gt;"",MAX(0,O35-M35),IF(AND($B$3&gt;M35,K35&lt;&gt;"Cerrado"),$B$3-M35,0)))</f>
        <v/>
      </c>
      <c r="T35" s="31">
        <f>IF(B35="","",IF(K35="Cerrado",IF(S35&gt;0,"Cerrado con atraso","Cerrado"),IF(S35&gt;0,"Atrasado",IF(AND(N35="",L35&lt;&gt;"",$B$3&gt;L35),"Inicio atrasado","En plazo"))))</f>
        <v/>
      </c>
      <c r="U35" s="26" t="n"/>
    </row>
    <row r="36">
      <c r="A36" s="24" t="n"/>
      <c r="B36" s="25" t="n"/>
      <c r="C36" s="25" t="n"/>
      <c r="D36" s="25" t="n"/>
      <c r="E36" s="26" t="n"/>
      <c r="F36" s="25" t="n"/>
      <c r="G36" s="25" t="n"/>
      <c r="H36" s="25" t="n"/>
      <c r="I36" s="25" t="n"/>
      <c r="J36" s="25" t="n"/>
      <c r="K36" s="25" t="n"/>
      <c r="L36" s="27" t="n"/>
      <c r="M36" s="27" t="n"/>
      <c r="N36" s="27" t="n"/>
      <c r="O36" s="27" t="n"/>
      <c r="P36" s="28" t="n"/>
      <c r="Q36" s="29" t="n"/>
      <c r="R36" s="30">
        <f>IF(B36="","",IF(C36="IWP",COUNTIFS(Restricciones!$D$6:$D$305,B36,Restricciones!$F$6:$F$305,"Abierta")+COUNTIFS(Restricciones!$D$6:$D$305,B36,Restricciones!$F$6:$F$305,"En gestión"),IF(C36="CWA",COUNTIFS(Restricciones!$C$6:$C$305,"CWP-"&amp;MID(B36,5,4)&amp;"-*",Restricciones!$F$6:$F$305,"Abierta")+COUNTIFS(Restricciones!$C$6:$C$305,"CWP-"&amp;MID(B36,5,4)&amp;"-*",Restricciones!$F$6:$F$305,"En gestión"),COUNTIFS(Restricciones!$C$6:$C$305,IF(C36="CWP",B36,H36),Restricciones!$F$6:$F$305,"Abierta")+COUNTIFS(Restricciones!$C$6:$C$305,IF(C36="CWP",B36,H36),Restricciones!$F$6:$F$305,"En gestión"))))</f>
        <v/>
      </c>
      <c r="S36" s="30">
        <f>IF(OR(B36="",M36=""),"",IF(O36&lt;&gt;"",MAX(0,O36-M36),IF(AND($B$3&gt;M36,K36&lt;&gt;"Cerrado"),$B$3-M36,0)))</f>
        <v/>
      </c>
      <c r="T36" s="31">
        <f>IF(B36="","",IF(K36="Cerrado",IF(S36&gt;0,"Cerrado con atraso","Cerrado"),IF(S36&gt;0,"Atrasado",IF(AND(N36="",L36&lt;&gt;"",$B$3&gt;L36),"Inicio atrasado","En plazo"))))</f>
        <v/>
      </c>
      <c r="U36" s="26" t="n"/>
    </row>
    <row r="37">
      <c r="A37" s="24" t="n"/>
      <c r="B37" s="25" t="n"/>
      <c r="C37" s="25" t="n"/>
      <c r="D37" s="25" t="n"/>
      <c r="E37" s="26" t="n"/>
      <c r="F37" s="25" t="n"/>
      <c r="G37" s="25" t="n"/>
      <c r="H37" s="25" t="n"/>
      <c r="I37" s="25" t="n"/>
      <c r="J37" s="25" t="n"/>
      <c r="K37" s="25" t="n"/>
      <c r="L37" s="27" t="n"/>
      <c r="M37" s="27" t="n"/>
      <c r="N37" s="27" t="n"/>
      <c r="O37" s="27" t="n"/>
      <c r="P37" s="28" t="n"/>
      <c r="Q37" s="29" t="n"/>
      <c r="R37" s="30">
        <f>IF(B37="","",IF(C37="IWP",COUNTIFS(Restricciones!$D$6:$D$305,B37,Restricciones!$F$6:$F$305,"Abierta")+COUNTIFS(Restricciones!$D$6:$D$305,B37,Restricciones!$F$6:$F$305,"En gestión"),IF(C37="CWA",COUNTIFS(Restricciones!$C$6:$C$305,"CWP-"&amp;MID(B37,5,4)&amp;"-*",Restricciones!$F$6:$F$305,"Abierta")+COUNTIFS(Restricciones!$C$6:$C$305,"CWP-"&amp;MID(B37,5,4)&amp;"-*",Restricciones!$F$6:$F$305,"En gestión"),COUNTIFS(Restricciones!$C$6:$C$305,IF(C37="CWP",B37,H37),Restricciones!$F$6:$F$305,"Abierta")+COUNTIFS(Restricciones!$C$6:$C$305,IF(C37="CWP",B37,H37),Restricciones!$F$6:$F$305,"En gestión"))))</f>
        <v/>
      </c>
      <c r="S37" s="30">
        <f>IF(OR(B37="",M37=""),"",IF(O37&lt;&gt;"",MAX(0,O37-M37),IF(AND($B$3&gt;M37,K37&lt;&gt;"Cerrado"),$B$3-M37,0)))</f>
        <v/>
      </c>
      <c r="T37" s="31">
        <f>IF(B37="","",IF(K37="Cerrado",IF(S37&gt;0,"Cerrado con atraso","Cerrado"),IF(S37&gt;0,"Atrasado",IF(AND(N37="",L37&lt;&gt;"",$B$3&gt;L37),"Inicio atrasado","En plazo"))))</f>
        <v/>
      </c>
      <c r="U37" s="26" t="n"/>
    </row>
    <row r="38">
      <c r="A38" s="24" t="n"/>
      <c r="B38" s="25" t="n"/>
      <c r="C38" s="25" t="n"/>
      <c r="D38" s="25" t="n"/>
      <c r="E38" s="26" t="n"/>
      <c r="F38" s="25" t="n"/>
      <c r="G38" s="25" t="n"/>
      <c r="H38" s="25" t="n"/>
      <c r="I38" s="25" t="n"/>
      <c r="J38" s="25" t="n"/>
      <c r="K38" s="25" t="n"/>
      <c r="L38" s="27" t="n"/>
      <c r="M38" s="27" t="n"/>
      <c r="N38" s="27" t="n"/>
      <c r="O38" s="27" t="n"/>
      <c r="P38" s="28" t="n"/>
      <c r="Q38" s="29" t="n"/>
      <c r="R38" s="30">
        <f>IF(B38="","",IF(C38="IWP",COUNTIFS(Restricciones!$D$6:$D$305,B38,Restricciones!$F$6:$F$305,"Abierta")+COUNTIFS(Restricciones!$D$6:$D$305,B38,Restricciones!$F$6:$F$305,"En gestión"),IF(C38="CWA",COUNTIFS(Restricciones!$C$6:$C$305,"CWP-"&amp;MID(B38,5,4)&amp;"-*",Restricciones!$F$6:$F$305,"Abierta")+COUNTIFS(Restricciones!$C$6:$C$305,"CWP-"&amp;MID(B38,5,4)&amp;"-*",Restricciones!$F$6:$F$305,"En gestión"),COUNTIFS(Restricciones!$C$6:$C$305,IF(C38="CWP",B38,H38),Restricciones!$F$6:$F$305,"Abierta")+COUNTIFS(Restricciones!$C$6:$C$305,IF(C38="CWP",B38,H38),Restricciones!$F$6:$F$305,"En gestión"))))</f>
        <v/>
      </c>
      <c r="S38" s="30">
        <f>IF(OR(B38="",M38=""),"",IF(O38&lt;&gt;"",MAX(0,O38-M38),IF(AND($B$3&gt;M38,K38&lt;&gt;"Cerrado"),$B$3-M38,0)))</f>
        <v/>
      </c>
      <c r="T38" s="31">
        <f>IF(B38="","",IF(K38="Cerrado",IF(S38&gt;0,"Cerrado con atraso","Cerrado"),IF(S38&gt;0,"Atrasado",IF(AND(N38="",L38&lt;&gt;"",$B$3&gt;L38),"Inicio atrasado","En plazo"))))</f>
        <v/>
      </c>
      <c r="U38" s="26" t="n"/>
    </row>
    <row r="39">
      <c r="A39" s="24" t="n"/>
      <c r="B39" s="25" t="n"/>
      <c r="C39" s="25" t="n"/>
      <c r="D39" s="25" t="n"/>
      <c r="E39" s="26" t="n"/>
      <c r="F39" s="25" t="n"/>
      <c r="G39" s="25" t="n"/>
      <c r="H39" s="25" t="n"/>
      <c r="I39" s="25" t="n"/>
      <c r="J39" s="25" t="n"/>
      <c r="K39" s="25" t="n"/>
      <c r="L39" s="27" t="n"/>
      <c r="M39" s="27" t="n"/>
      <c r="N39" s="27" t="n"/>
      <c r="O39" s="27" t="n"/>
      <c r="P39" s="28" t="n"/>
      <c r="Q39" s="29" t="n"/>
      <c r="R39" s="30">
        <f>IF(B39="","",IF(C39="IWP",COUNTIFS(Restricciones!$D$6:$D$305,B39,Restricciones!$F$6:$F$305,"Abierta")+COUNTIFS(Restricciones!$D$6:$D$305,B39,Restricciones!$F$6:$F$305,"En gestión"),IF(C39="CWA",COUNTIFS(Restricciones!$C$6:$C$305,"CWP-"&amp;MID(B39,5,4)&amp;"-*",Restricciones!$F$6:$F$305,"Abierta")+COUNTIFS(Restricciones!$C$6:$C$305,"CWP-"&amp;MID(B39,5,4)&amp;"-*",Restricciones!$F$6:$F$305,"En gestión"),COUNTIFS(Restricciones!$C$6:$C$305,IF(C39="CWP",B39,H39),Restricciones!$F$6:$F$305,"Abierta")+COUNTIFS(Restricciones!$C$6:$C$305,IF(C39="CWP",B39,H39),Restricciones!$F$6:$F$305,"En gestión"))))</f>
        <v/>
      </c>
      <c r="S39" s="30">
        <f>IF(OR(B39="",M39=""),"",IF(O39&lt;&gt;"",MAX(0,O39-M39),IF(AND($B$3&gt;M39,K39&lt;&gt;"Cerrado"),$B$3-M39,0)))</f>
        <v/>
      </c>
      <c r="T39" s="31">
        <f>IF(B39="","",IF(K39="Cerrado",IF(S39&gt;0,"Cerrado con atraso","Cerrado"),IF(S39&gt;0,"Atrasado",IF(AND(N39="",L39&lt;&gt;"",$B$3&gt;L39),"Inicio atrasado","En plazo"))))</f>
        <v/>
      </c>
      <c r="U39" s="26" t="n"/>
    </row>
    <row r="40">
      <c r="A40" s="24" t="n"/>
      <c r="B40" s="25" t="n"/>
      <c r="C40" s="25" t="n"/>
      <c r="D40" s="25" t="n"/>
      <c r="E40" s="26" t="n"/>
      <c r="F40" s="25" t="n"/>
      <c r="G40" s="25" t="n"/>
      <c r="H40" s="25" t="n"/>
      <c r="I40" s="25" t="n"/>
      <c r="J40" s="25" t="n"/>
      <c r="K40" s="25" t="n"/>
      <c r="L40" s="27" t="n"/>
      <c r="M40" s="27" t="n"/>
      <c r="N40" s="27" t="n"/>
      <c r="O40" s="27" t="n"/>
      <c r="P40" s="28" t="n"/>
      <c r="Q40" s="29" t="n"/>
      <c r="R40" s="30">
        <f>IF(B40="","",IF(C40="IWP",COUNTIFS(Restricciones!$D$6:$D$305,B40,Restricciones!$F$6:$F$305,"Abierta")+COUNTIFS(Restricciones!$D$6:$D$305,B40,Restricciones!$F$6:$F$305,"En gestión"),IF(C40="CWA",COUNTIFS(Restricciones!$C$6:$C$305,"CWP-"&amp;MID(B40,5,4)&amp;"-*",Restricciones!$F$6:$F$305,"Abierta")+COUNTIFS(Restricciones!$C$6:$C$305,"CWP-"&amp;MID(B40,5,4)&amp;"-*",Restricciones!$F$6:$F$305,"En gestión"),COUNTIFS(Restricciones!$C$6:$C$305,IF(C40="CWP",B40,H40),Restricciones!$F$6:$F$305,"Abierta")+COUNTIFS(Restricciones!$C$6:$C$305,IF(C40="CWP",B40,H40),Restricciones!$F$6:$F$305,"En gestión"))))</f>
        <v/>
      </c>
      <c r="S40" s="30">
        <f>IF(OR(B40="",M40=""),"",IF(O40&lt;&gt;"",MAX(0,O40-M40),IF(AND($B$3&gt;M40,K40&lt;&gt;"Cerrado"),$B$3-M40,0)))</f>
        <v/>
      </c>
      <c r="T40" s="31">
        <f>IF(B40="","",IF(K40="Cerrado",IF(S40&gt;0,"Cerrado con atraso","Cerrado"),IF(S40&gt;0,"Atrasado",IF(AND(N40="",L40&lt;&gt;"",$B$3&gt;L40),"Inicio atrasado","En plazo"))))</f>
        <v/>
      </c>
      <c r="U40" s="26" t="n"/>
    </row>
    <row r="41">
      <c r="A41" s="24" t="n"/>
      <c r="B41" s="25" t="n"/>
      <c r="C41" s="25" t="n"/>
      <c r="D41" s="25" t="n"/>
      <c r="E41" s="26" t="n"/>
      <c r="F41" s="25" t="n"/>
      <c r="G41" s="25" t="n"/>
      <c r="H41" s="25" t="n"/>
      <c r="I41" s="25" t="n"/>
      <c r="J41" s="25" t="n"/>
      <c r="K41" s="25" t="n"/>
      <c r="L41" s="27" t="n"/>
      <c r="M41" s="27" t="n"/>
      <c r="N41" s="27" t="n"/>
      <c r="O41" s="27" t="n"/>
      <c r="P41" s="28" t="n"/>
      <c r="Q41" s="29" t="n"/>
      <c r="R41" s="30">
        <f>IF(B41="","",IF(C41="IWP",COUNTIFS(Restricciones!$D$6:$D$305,B41,Restricciones!$F$6:$F$305,"Abierta")+COUNTIFS(Restricciones!$D$6:$D$305,B41,Restricciones!$F$6:$F$305,"En gestión"),IF(C41="CWA",COUNTIFS(Restricciones!$C$6:$C$305,"CWP-"&amp;MID(B41,5,4)&amp;"-*",Restricciones!$F$6:$F$305,"Abierta")+COUNTIFS(Restricciones!$C$6:$C$305,"CWP-"&amp;MID(B41,5,4)&amp;"-*",Restricciones!$F$6:$F$305,"En gestión"),COUNTIFS(Restricciones!$C$6:$C$305,IF(C41="CWP",B41,H41),Restricciones!$F$6:$F$305,"Abierta")+COUNTIFS(Restricciones!$C$6:$C$305,IF(C41="CWP",B41,H41),Restricciones!$F$6:$F$305,"En gestión"))))</f>
        <v/>
      </c>
      <c r="S41" s="30">
        <f>IF(OR(B41="",M41=""),"",IF(O41&lt;&gt;"",MAX(0,O41-M41),IF(AND($B$3&gt;M41,K41&lt;&gt;"Cerrado"),$B$3-M41,0)))</f>
        <v/>
      </c>
      <c r="T41" s="31">
        <f>IF(B41="","",IF(K41="Cerrado",IF(S41&gt;0,"Cerrado con atraso","Cerrado"),IF(S41&gt;0,"Atrasado",IF(AND(N41="",L41&lt;&gt;"",$B$3&gt;L41),"Inicio atrasado","En plazo"))))</f>
        <v/>
      </c>
      <c r="U41" s="26" t="n"/>
    </row>
    <row r="42">
      <c r="A42" s="24" t="n"/>
      <c r="B42" s="25" t="n"/>
      <c r="C42" s="25" t="n"/>
      <c r="D42" s="25" t="n"/>
      <c r="E42" s="26" t="n"/>
      <c r="F42" s="25" t="n"/>
      <c r="G42" s="25" t="n"/>
      <c r="H42" s="25" t="n"/>
      <c r="I42" s="25" t="n"/>
      <c r="J42" s="25" t="n"/>
      <c r="K42" s="25" t="n"/>
      <c r="L42" s="27" t="n"/>
      <c r="M42" s="27" t="n"/>
      <c r="N42" s="27" t="n"/>
      <c r="O42" s="27" t="n"/>
      <c r="P42" s="28" t="n"/>
      <c r="Q42" s="29" t="n"/>
      <c r="R42" s="30">
        <f>IF(B42="","",IF(C42="IWP",COUNTIFS(Restricciones!$D$6:$D$305,B42,Restricciones!$F$6:$F$305,"Abierta")+COUNTIFS(Restricciones!$D$6:$D$305,B42,Restricciones!$F$6:$F$305,"En gestión"),IF(C42="CWA",COUNTIFS(Restricciones!$C$6:$C$305,"CWP-"&amp;MID(B42,5,4)&amp;"-*",Restricciones!$F$6:$F$305,"Abierta")+COUNTIFS(Restricciones!$C$6:$C$305,"CWP-"&amp;MID(B42,5,4)&amp;"-*",Restricciones!$F$6:$F$305,"En gestión"),COUNTIFS(Restricciones!$C$6:$C$305,IF(C42="CWP",B42,H42),Restricciones!$F$6:$F$305,"Abierta")+COUNTIFS(Restricciones!$C$6:$C$305,IF(C42="CWP",B42,H42),Restricciones!$F$6:$F$305,"En gestión"))))</f>
        <v/>
      </c>
      <c r="S42" s="30">
        <f>IF(OR(B42="",M42=""),"",IF(O42&lt;&gt;"",MAX(0,O42-M42),IF(AND($B$3&gt;M42,K42&lt;&gt;"Cerrado"),$B$3-M42,0)))</f>
        <v/>
      </c>
      <c r="T42" s="31">
        <f>IF(B42="","",IF(K42="Cerrado",IF(S42&gt;0,"Cerrado con atraso","Cerrado"),IF(S42&gt;0,"Atrasado",IF(AND(N42="",L42&lt;&gt;"",$B$3&gt;L42),"Inicio atrasado","En plazo"))))</f>
        <v/>
      </c>
      <c r="U42" s="26" t="n"/>
    </row>
    <row r="43">
      <c r="A43" s="24" t="n"/>
      <c r="B43" s="25" t="n"/>
      <c r="C43" s="25" t="n"/>
      <c r="D43" s="25" t="n"/>
      <c r="E43" s="26" t="n"/>
      <c r="F43" s="25" t="n"/>
      <c r="G43" s="25" t="n"/>
      <c r="H43" s="25" t="n"/>
      <c r="I43" s="25" t="n"/>
      <c r="J43" s="25" t="n"/>
      <c r="K43" s="25" t="n"/>
      <c r="L43" s="27" t="n"/>
      <c r="M43" s="27" t="n"/>
      <c r="N43" s="27" t="n"/>
      <c r="O43" s="27" t="n"/>
      <c r="P43" s="28" t="n"/>
      <c r="Q43" s="29" t="n"/>
      <c r="R43" s="30">
        <f>IF(B43="","",IF(C43="IWP",COUNTIFS(Restricciones!$D$6:$D$305,B43,Restricciones!$F$6:$F$305,"Abierta")+COUNTIFS(Restricciones!$D$6:$D$305,B43,Restricciones!$F$6:$F$305,"En gestión"),IF(C43="CWA",COUNTIFS(Restricciones!$C$6:$C$305,"CWP-"&amp;MID(B43,5,4)&amp;"-*",Restricciones!$F$6:$F$305,"Abierta")+COUNTIFS(Restricciones!$C$6:$C$305,"CWP-"&amp;MID(B43,5,4)&amp;"-*",Restricciones!$F$6:$F$305,"En gestión"),COUNTIFS(Restricciones!$C$6:$C$305,IF(C43="CWP",B43,H43),Restricciones!$F$6:$F$305,"Abierta")+COUNTIFS(Restricciones!$C$6:$C$305,IF(C43="CWP",B43,H43),Restricciones!$F$6:$F$305,"En gestión"))))</f>
        <v/>
      </c>
      <c r="S43" s="30">
        <f>IF(OR(B43="",M43=""),"",IF(O43&lt;&gt;"",MAX(0,O43-M43),IF(AND($B$3&gt;M43,K43&lt;&gt;"Cerrado"),$B$3-M43,0)))</f>
        <v/>
      </c>
      <c r="T43" s="31">
        <f>IF(B43="","",IF(K43="Cerrado",IF(S43&gt;0,"Cerrado con atraso","Cerrado"),IF(S43&gt;0,"Atrasado",IF(AND(N43="",L43&lt;&gt;"",$B$3&gt;L43),"Inicio atrasado","En plazo"))))</f>
        <v/>
      </c>
      <c r="U43" s="26" t="n"/>
    </row>
    <row r="44">
      <c r="A44" s="24" t="n"/>
      <c r="B44" s="25" t="n"/>
      <c r="C44" s="25" t="n"/>
      <c r="D44" s="25" t="n"/>
      <c r="E44" s="26" t="n"/>
      <c r="F44" s="25" t="n"/>
      <c r="G44" s="25" t="n"/>
      <c r="H44" s="25" t="n"/>
      <c r="I44" s="25" t="n"/>
      <c r="J44" s="25" t="n"/>
      <c r="K44" s="25" t="n"/>
      <c r="L44" s="27" t="n"/>
      <c r="M44" s="27" t="n"/>
      <c r="N44" s="27" t="n"/>
      <c r="O44" s="27" t="n"/>
      <c r="P44" s="28" t="n"/>
      <c r="Q44" s="29" t="n"/>
      <c r="R44" s="30">
        <f>IF(B44="","",IF(C44="IWP",COUNTIFS(Restricciones!$D$6:$D$305,B44,Restricciones!$F$6:$F$305,"Abierta")+COUNTIFS(Restricciones!$D$6:$D$305,B44,Restricciones!$F$6:$F$305,"En gestión"),IF(C44="CWA",COUNTIFS(Restricciones!$C$6:$C$305,"CWP-"&amp;MID(B44,5,4)&amp;"-*",Restricciones!$F$6:$F$305,"Abierta")+COUNTIFS(Restricciones!$C$6:$C$305,"CWP-"&amp;MID(B44,5,4)&amp;"-*",Restricciones!$F$6:$F$305,"En gestión"),COUNTIFS(Restricciones!$C$6:$C$305,IF(C44="CWP",B44,H44),Restricciones!$F$6:$F$305,"Abierta")+COUNTIFS(Restricciones!$C$6:$C$305,IF(C44="CWP",B44,H44),Restricciones!$F$6:$F$305,"En gestión"))))</f>
        <v/>
      </c>
      <c r="S44" s="30">
        <f>IF(OR(B44="",M44=""),"",IF(O44&lt;&gt;"",MAX(0,O44-M44),IF(AND($B$3&gt;M44,K44&lt;&gt;"Cerrado"),$B$3-M44,0)))</f>
        <v/>
      </c>
      <c r="T44" s="31">
        <f>IF(B44="","",IF(K44="Cerrado",IF(S44&gt;0,"Cerrado con atraso","Cerrado"),IF(S44&gt;0,"Atrasado",IF(AND(N44="",L44&lt;&gt;"",$B$3&gt;L44),"Inicio atrasado","En plazo"))))</f>
        <v/>
      </c>
      <c r="U44" s="26" t="n"/>
    </row>
    <row r="45">
      <c r="A45" s="24" t="n"/>
      <c r="B45" s="25" t="n"/>
      <c r="C45" s="25" t="n"/>
      <c r="D45" s="25" t="n"/>
      <c r="E45" s="26" t="n"/>
      <c r="F45" s="25" t="n"/>
      <c r="G45" s="25" t="n"/>
      <c r="H45" s="25" t="n"/>
      <c r="I45" s="25" t="n"/>
      <c r="J45" s="25" t="n"/>
      <c r="K45" s="25" t="n"/>
      <c r="L45" s="27" t="n"/>
      <c r="M45" s="27" t="n"/>
      <c r="N45" s="27" t="n"/>
      <c r="O45" s="27" t="n"/>
      <c r="P45" s="28" t="n"/>
      <c r="Q45" s="29" t="n"/>
      <c r="R45" s="30">
        <f>IF(B45="","",IF(C45="IWP",COUNTIFS(Restricciones!$D$6:$D$305,B45,Restricciones!$F$6:$F$305,"Abierta")+COUNTIFS(Restricciones!$D$6:$D$305,B45,Restricciones!$F$6:$F$305,"En gestión"),IF(C45="CWA",COUNTIFS(Restricciones!$C$6:$C$305,"CWP-"&amp;MID(B45,5,4)&amp;"-*",Restricciones!$F$6:$F$305,"Abierta")+COUNTIFS(Restricciones!$C$6:$C$305,"CWP-"&amp;MID(B45,5,4)&amp;"-*",Restricciones!$F$6:$F$305,"En gestión"),COUNTIFS(Restricciones!$C$6:$C$305,IF(C45="CWP",B45,H45),Restricciones!$F$6:$F$305,"Abierta")+COUNTIFS(Restricciones!$C$6:$C$305,IF(C45="CWP",B45,H45),Restricciones!$F$6:$F$305,"En gestión"))))</f>
        <v/>
      </c>
      <c r="S45" s="30">
        <f>IF(OR(B45="",M45=""),"",IF(O45&lt;&gt;"",MAX(0,O45-M45),IF(AND($B$3&gt;M45,K45&lt;&gt;"Cerrado"),$B$3-M45,0)))</f>
        <v/>
      </c>
      <c r="T45" s="31">
        <f>IF(B45="","",IF(K45="Cerrado",IF(S45&gt;0,"Cerrado con atraso","Cerrado"),IF(S45&gt;0,"Atrasado",IF(AND(N45="",L45&lt;&gt;"",$B$3&gt;L45),"Inicio atrasado","En plazo"))))</f>
        <v/>
      </c>
      <c r="U45" s="26" t="n"/>
    </row>
    <row r="46">
      <c r="A46" s="24" t="n"/>
      <c r="B46" s="25" t="n"/>
      <c r="C46" s="25" t="n"/>
      <c r="D46" s="25" t="n"/>
      <c r="E46" s="26" t="n"/>
      <c r="F46" s="25" t="n"/>
      <c r="G46" s="25" t="n"/>
      <c r="H46" s="25" t="n"/>
      <c r="I46" s="25" t="n"/>
      <c r="J46" s="25" t="n"/>
      <c r="K46" s="25" t="n"/>
      <c r="L46" s="27" t="n"/>
      <c r="M46" s="27" t="n"/>
      <c r="N46" s="27" t="n"/>
      <c r="O46" s="27" t="n"/>
      <c r="P46" s="28" t="n"/>
      <c r="Q46" s="29" t="n"/>
      <c r="R46" s="30">
        <f>IF(B46="","",IF(C46="IWP",COUNTIFS(Restricciones!$D$6:$D$305,B46,Restricciones!$F$6:$F$305,"Abierta")+COUNTIFS(Restricciones!$D$6:$D$305,B46,Restricciones!$F$6:$F$305,"En gestión"),IF(C46="CWA",COUNTIFS(Restricciones!$C$6:$C$305,"CWP-"&amp;MID(B46,5,4)&amp;"-*",Restricciones!$F$6:$F$305,"Abierta")+COUNTIFS(Restricciones!$C$6:$C$305,"CWP-"&amp;MID(B46,5,4)&amp;"-*",Restricciones!$F$6:$F$305,"En gestión"),COUNTIFS(Restricciones!$C$6:$C$305,IF(C46="CWP",B46,H46),Restricciones!$F$6:$F$305,"Abierta")+COUNTIFS(Restricciones!$C$6:$C$305,IF(C46="CWP",B46,H46),Restricciones!$F$6:$F$305,"En gestión"))))</f>
        <v/>
      </c>
      <c r="S46" s="30">
        <f>IF(OR(B46="",M46=""),"",IF(O46&lt;&gt;"",MAX(0,O46-M46),IF(AND($B$3&gt;M46,K46&lt;&gt;"Cerrado"),$B$3-M46,0)))</f>
        <v/>
      </c>
      <c r="T46" s="31">
        <f>IF(B46="","",IF(K46="Cerrado",IF(S46&gt;0,"Cerrado con atraso","Cerrado"),IF(S46&gt;0,"Atrasado",IF(AND(N46="",L46&lt;&gt;"",$B$3&gt;L46),"Inicio atrasado","En plazo"))))</f>
        <v/>
      </c>
      <c r="U46" s="26" t="n"/>
    </row>
    <row r="47">
      <c r="A47" s="24" t="n"/>
      <c r="B47" s="25" t="n"/>
      <c r="C47" s="25" t="n"/>
      <c r="D47" s="25" t="n"/>
      <c r="E47" s="26" t="n"/>
      <c r="F47" s="25" t="n"/>
      <c r="G47" s="25" t="n"/>
      <c r="H47" s="25" t="n"/>
      <c r="I47" s="25" t="n"/>
      <c r="J47" s="25" t="n"/>
      <c r="K47" s="25" t="n"/>
      <c r="L47" s="27" t="n"/>
      <c r="M47" s="27" t="n"/>
      <c r="N47" s="27" t="n"/>
      <c r="O47" s="27" t="n"/>
      <c r="P47" s="28" t="n"/>
      <c r="Q47" s="29" t="n"/>
      <c r="R47" s="30">
        <f>IF(B47="","",IF(C47="IWP",COUNTIFS(Restricciones!$D$6:$D$305,B47,Restricciones!$F$6:$F$305,"Abierta")+COUNTIFS(Restricciones!$D$6:$D$305,B47,Restricciones!$F$6:$F$305,"En gestión"),IF(C47="CWA",COUNTIFS(Restricciones!$C$6:$C$305,"CWP-"&amp;MID(B47,5,4)&amp;"-*",Restricciones!$F$6:$F$305,"Abierta")+COUNTIFS(Restricciones!$C$6:$C$305,"CWP-"&amp;MID(B47,5,4)&amp;"-*",Restricciones!$F$6:$F$305,"En gestión"),COUNTIFS(Restricciones!$C$6:$C$305,IF(C47="CWP",B47,H47),Restricciones!$F$6:$F$305,"Abierta")+COUNTIFS(Restricciones!$C$6:$C$305,IF(C47="CWP",B47,H47),Restricciones!$F$6:$F$305,"En gestión"))))</f>
        <v/>
      </c>
      <c r="S47" s="30">
        <f>IF(OR(B47="",M47=""),"",IF(O47&lt;&gt;"",MAX(0,O47-M47),IF(AND($B$3&gt;M47,K47&lt;&gt;"Cerrado"),$B$3-M47,0)))</f>
        <v/>
      </c>
      <c r="T47" s="31">
        <f>IF(B47="","",IF(K47="Cerrado",IF(S47&gt;0,"Cerrado con atraso","Cerrado"),IF(S47&gt;0,"Atrasado",IF(AND(N47="",L47&lt;&gt;"",$B$3&gt;L47),"Inicio atrasado","En plazo"))))</f>
        <v/>
      </c>
      <c r="U47" s="26" t="n"/>
    </row>
    <row r="48">
      <c r="A48" s="24" t="n"/>
      <c r="B48" s="25" t="n"/>
      <c r="C48" s="25" t="n"/>
      <c r="D48" s="25" t="n"/>
      <c r="E48" s="26" t="n"/>
      <c r="F48" s="25" t="n"/>
      <c r="G48" s="25" t="n"/>
      <c r="H48" s="25" t="n"/>
      <c r="I48" s="25" t="n"/>
      <c r="J48" s="25" t="n"/>
      <c r="K48" s="25" t="n"/>
      <c r="L48" s="27" t="n"/>
      <c r="M48" s="27" t="n"/>
      <c r="N48" s="27" t="n"/>
      <c r="O48" s="27" t="n"/>
      <c r="P48" s="28" t="n"/>
      <c r="Q48" s="29" t="n"/>
      <c r="R48" s="30">
        <f>IF(B48="","",IF(C48="IWP",COUNTIFS(Restricciones!$D$6:$D$305,B48,Restricciones!$F$6:$F$305,"Abierta")+COUNTIFS(Restricciones!$D$6:$D$305,B48,Restricciones!$F$6:$F$305,"En gestión"),IF(C48="CWA",COUNTIFS(Restricciones!$C$6:$C$305,"CWP-"&amp;MID(B48,5,4)&amp;"-*",Restricciones!$F$6:$F$305,"Abierta")+COUNTIFS(Restricciones!$C$6:$C$305,"CWP-"&amp;MID(B48,5,4)&amp;"-*",Restricciones!$F$6:$F$305,"En gestión"),COUNTIFS(Restricciones!$C$6:$C$305,IF(C48="CWP",B48,H48),Restricciones!$F$6:$F$305,"Abierta")+COUNTIFS(Restricciones!$C$6:$C$305,IF(C48="CWP",B48,H48),Restricciones!$F$6:$F$305,"En gestión"))))</f>
        <v/>
      </c>
      <c r="S48" s="30">
        <f>IF(OR(B48="",M48=""),"",IF(O48&lt;&gt;"",MAX(0,O48-M48),IF(AND($B$3&gt;M48,K48&lt;&gt;"Cerrado"),$B$3-M48,0)))</f>
        <v/>
      </c>
      <c r="T48" s="31">
        <f>IF(B48="","",IF(K48="Cerrado",IF(S48&gt;0,"Cerrado con atraso","Cerrado"),IF(S48&gt;0,"Atrasado",IF(AND(N48="",L48&lt;&gt;"",$B$3&gt;L48),"Inicio atrasado","En plazo"))))</f>
        <v/>
      </c>
      <c r="U48" s="26" t="n"/>
    </row>
    <row r="49">
      <c r="A49" s="24" t="n"/>
      <c r="B49" s="25" t="n"/>
      <c r="C49" s="25" t="n"/>
      <c r="D49" s="25" t="n"/>
      <c r="E49" s="26" t="n"/>
      <c r="F49" s="25" t="n"/>
      <c r="G49" s="25" t="n"/>
      <c r="H49" s="25" t="n"/>
      <c r="I49" s="25" t="n"/>
      <c r="J49" s="25" t="n"/>
      <c r="K49" s="25" t="n"/>
      <c r="L49" s="27" t="n"/>
      <c r="M49" s="27" t="n"/>
      <c r="N49" s="27" t="n"/>
      <c r="O49" s="27" t="n"/>
      <c r="P49" s="28" t="n"/>
      <c r="Q49" s="29" t="n"/>
      <c r="R49" s="30">
        <f>IF(B49="","",IF(C49="IWP",COUNTIFS(Restricciones!$D$6:$D$305,B49,Restricciones!$F$6:$F$305,"Abierta")+COUNTIFS(Restricciones!$D$6:$D$305,B49,Restricciones!$F$6:$F$305,"En gestión"),IF(C49="CWA",COUNTIFS(Restricciones!$C$6:$C$305,"CWP-"&amp;MID(B49,5,4)&amp;"-*",Restricciones!$F$6:$F$305,"Abierta")+COUNTIFS(Restricciones!$C$6:$C$305,"CWP-"&amp;MID(B49,5,4)&amp;"-*",Restricciones!$F$6:$F$305,"En gestión"),COUNTIFS(Restricciones!$C$6:$C$305,IF(C49="CWP",B49,H49),Restricciones!$F$6:$F$305,"Abierta")+COUNTIFS(Restricciones!$C$6:$C$305,IF(C49="CWP",B49,H49),Restricciones!$F$6:$F$305,"En gestión"))))</f>
        <v/>
      </c>
      <c r="S49" s="30">
        <f>IF(OR(B49="",M49=""),"",IF(O49&lt;&gt;"",MAX(0,O49-M49),IF(AND($B$3&gt;M49,K49&lt;&gt;"Cerrado"),$B$3-M49,0)))</f>
        <v/>
      </c>
      <c r="T49" s="31">
        <f>IF(B49="","",IF(K49="Cerrado",IF(S49&gt;0,"Cerrado con atraso","Cerrado"),IF(S49&gt;0,"Atrasado",IF(AND(N49="",L49&lt;&gt;"",$B$3&gt;L49),"Inicio atrasado","En plazo"))))</f>
        <v/>
      </c>
      <c r="U49" s="26" t="n"/>
    </row>
    <row r="50">
      <c r="A50" s="24" t="n"/>
      <c r="B50" s="25" t="n"/>
      <c r="C50" s="25" t="n"/>
      <c r="D50" s="25" t="n"/>
      <c r="E50" s="26" t="n"/>
      <c r="F50" s="25" t="n"/>
      <c r="G50" s="25" t="n"/>
      <c r="H50" s="25" t="n"/>
      <c r="I50" s="25" t="n"/>
      <c r="J50" s="25" t="n"/>
      <c r="K50" s="25" t="n"/>
      <c r="L50" s="27" t="n"/>
      <c r="M50" s="27" t="n"/>
      <c r="N50" s="27" t="n"/>
      <c r="O50" s="27" t="n"/>
      <c r="P50" s="28" t="n"/>
      <c r="Q50" s="29" t="n"/>
      <c r="R50" s="30">
        <f>IF(B50="","",IF(C50="IWP",COUNTIFS(Restricciones!$D$6:$D$305,B50,Restricciones!$F$6:$F$305,"Abierta")+COUNTIFS(Restricciones!$D$6:$D$305,B50,Restricciones!$F$6:$F$305,"En gestión"),IF(C50="CWA",COUNTIFS(Restricciones!$C$6:$C$305,"CWP-"&amp;MID(B50,5,4)&amp;"-*",Restricciones!$F$6:$F$305,"Abierta")+COUNTIFS(Restricciones!$C$6:$C$305,"CWP-"&amp;MID(B50,5,4)&amp;"-*",Restricciones!$F$6:$F$305,"En gestión"),COUNTIFS(Restricciones!$C$6:$C$305,IF(C50="CWP",B50,H50),Restricciones!$F$6:$F$305,"Abierta")+COUNTIFS(Restricciones!$C$6:$C$305,IF(C50="CWP",B50,H50),Restricciones!$F$6:$F$305,"En gestión"))))</f>
        <v/>
      </c>
      <c r="S50" s="30">
        <f>IF(OR(B50="",M50=""),"",IF(O50&lt;&gt;"",MAX(0,O50-M50),IF(AND($B$3&gt;M50,K50&lt;&gt;"Cerrado"),$B$3-M50,0)))</f>
        <v/>
      </c>
      <c r="T50" s="31">
        <f>IF(B50="","",IF(K50="Cerrado",IF(S50&gt;0,"Cerrado con atraso","Cerrado"),IF(S50&gt;0,"Atrasado",IF(AND(N50="",L50&lt;&gt;"",$B$3&gt;L50),"Inicio atrasado","En plazo"))))</f>
        <v/>
      </c>
      <c r="U50" s="26" t="n"/>
    </row>
    <row r="51">
      <c r="A51" s="24" t="n"/>
      <c r="B51" s="25" t="n"/>
      <c r="C51" s="25" t="n"/>
      <c r="D51" s="25" t="n"/>
      <c r="E51" s="26" t="n"/>
      <c r="F51" s="25" t="n"/>
      <c r="G51" s="25" t="n"/>
      <c r="H51" s="25" t="n"/>
      <c r="I51" s="25" t="n"/>
      <c r="J51" s="25" t="n"/>
      <c r="K51" s="25" t="n"/>
      <c r="L51" s="27" t="n"/>
      <c r="M51" s="27" t="n"/>
      <c r="N51" s="27" t="n"/>
      <c r="O51" s="27" t="n"/>
      <c r="P51" s="28" t="n"/>
      <c r="Q51" s="29" t="n"/>
      <c r="R51" s="30">
        <f>IF(B51="","",IF(C51="IWP",COUNTIFS(Restricciones!$D$6:$D$305,B51,Restricciones!$F$6:$F$305,"Abierta")+COUNTIFS(Restricciones!$D$6:$D$305,B51,Restricciones!$F$6:$F$305,"En gestión"),IF(C51="CWA",COUNTIFS(Restricciones!$C$6:$C$305,"CWP-"&amp;MID(B51,5,4)&amp;"-*",Restricciones!$F$6:$F$305,"Abierta")+COUNTIFS(Restricciones!$C$6:$C$305,"CWP-"&amp;MID(B51,5,4)&amp;"-*",Restricciones!$F$6:$F$305,"En gestión"),COUNTIFS(Restricciones!$C$6:$C$305,IF(C51="CWP",B51,H51),Restricciones!$F$6:$F$305,"Abierta")+COUNTIFS(Restricciones!$C$6:$C$305,IF(C51="CWP",B51,H51),Restricciones!$F$6:$F$305,"En gestión"))))</f>
        <v/>
      </c>
      <c r="S51" s="30">
        <f>IF(OR(B51="",M51=""),"",IF(O51&lt;&gt;"",MAX(0,O51-M51),IF(AND($B$3&gt;M51,K51&lt;&gt;"Cerrado"),$B$3-M51,0)))</f>
        <v/>
      </c>
      <c r="T51" s="31">
        <f>IF(B51="","",IF(K51="Cerrado",IF(S51&gt;0,"Cerrado con atraso","Cerrado"),IF(S51&gt;0,"Atrasado",IF(AND(N51="",L51&lt;&gt;"",$B$3&gt;L51),"Inicio atrasado","En plazo"))))</f>
        <v/>
      </c>
      <c r="U51" s="26" t="n"/>
    </row>
    <row r="52">
      <c r="A52" s="24" t="n"/>
      <c r="B52" s="25" t="n"/>
      <c r="C52" s="25" t="n"/>
      <c r="D52" s="25" t="n"/>
      <c r="E52" s="26" t="n"/>
      <c r="F52" s="25" t="n"/>
      <c r="G52" s="25" t="n"/>
      <c r="H52" s="25" t="n"/>
      <c r="I52" s="25" t="n"/>
      <c r="J52" s="25" t="n"/>
      <c r="K52" s="25" t="n"/>
      <c r="L52" s="27" t="n"/>
      <c r="M52" s="27" t="n"/>
      <c r="N52" s="27" t="n"/>
      <c r="O52" s="27" t="n"/>
      <c r="P52" s="28" t="n"/>
      <c r="Q52" s="29" t="n"/>
      <c r="R52" s="30">
        <f>IF(B52="","",IF(C52="IWP",COUNTIFS(Restricciones!$D$6:$D$305,B52,Restricciones!$F$6:$F$305,"Abierta")+COUNTIFS(Restricciones!$D$6:$D$305,B52,Restricciones!$F$6:$F$305,"En gestión"),IF(C52="CWA",COUNTIFS(Restricciones!$C$6:$C$305,"CWP-"&amp;MID(B52,5,4)&amp;"-*",Restricciones!$F$6:$F$305,"Abierta")+COUNTIFS(Restricciones!$C$6:$C$305,"CWP-"&amp;MID(B52,5,4)&amp;"-*",Restricciones!$F$6:$F$305,"En gestión"),COUNTIFS(Restricciones!$C$6:$C$305,IF(C52="CWP",B52,H52),Restricciones!$F$6:$F$305,"Abierta")+COUNTIFS(Restricciones!$C$6:$C$305,IF(C52="CWP",B52,H52),Restricciones!$F$6:$F$305,"En gestión"))))</f>
        <v/>
      </c>
      <c r="S52" s="30">
        <f>IF(OR(B52="",M52=""),"",IF(O52&lt;&gt;"",MAX(0,O52-M52),IF(AND($B$3&gt;M52,K52&lt;&gt;"Cerrado"),$B$3-M52,0)))</f>
        <v/>
      </c>
      <c r="T52" s="31">
        <f>IF(B52="","",IF(K52="Cerrado",IF(S52&gt;0,"Cerrado con atraso","Cerrado"),IF(S52&gt;0,"Atrasado",IF(AND(N52="",L52&lt;&gt;"",$B$3&gt;L52),"Inicio atrasado","En plazo"))))</f>
        <v/>
      </c>
      <c r="U52" s="26" t="n"/>
    </row>
    <row r="53">
      <c r="A53" s="24" t="n"/>
      <c r="B53" s="25" t="n"/>
      <c r="C53" s="25" t="n"/>
      <c r="D53" s="25" t="n"/>
      <c r="E53" s="26" t="n"/>
      <c r="F53" s="25" t="n"/>
      <c r="G53" s="25" t="n"/>
      <c r="H53" s="25" t="n"/>
      <c r="I53" s="25" t="n"/>
      <c r="J53" s="25" t="n"/>
      <c r="K53" s="25" t="n"/>
      <c r="L53" s="27" t="n"/>
      <c r="M53" s="27" t="n"/>
      <c r="N53" s="27" t="n"/>
      <c r="O53" s="27" t="n"/>
      <c r="P53" s="28" t="n"/>
      <c r="Q53" s="29" t="n"/>
      <c r="R53" s="30">
        <f>IF(B53="","",IF(C53="IWP",COUNTIFS(Restricciones!$D$6:$D$305,B53,Restricciones!$F$6:$F$305,"Abierta")+COUNTIFS(Restricciones!$D$6:$D$305,B53,Restricciones!$F$6:$F$305,"En gestión"),IF(C53="CWA",COUNTIFS(Restricciones!$C$6:$C$305,"CWP-"&amp;MID(B53,5,4)&amp;"-*",Restricciones!$F$6:$F$305,"Abierta")+COUNTIFS(Restricciones!$C$6:$C$305,"CWP-"&amp;MID(B53,5,4)&amp;"-*",Restricciones!$F$6:$F$305,"En gestión"),COUNTIFS(Restricciones!$C$6:$C$305,IF(C53="CWP",B53,H53),Restricciones!$F$6:$F$305,"Abierta")+COUNTIFS(Restricciones!$C$6:$C$305,IF(C53="CWP",B53,H53),Restricciones!$F$6:$F$305,"En gestión"))))</f>
        <v/>
      </c>
      <c r="S53" s="30">
        <f>IF(OR(B53="",M53=""),"",IF(O53&lt;&gt;"",MAX(0,O53-M53),IF(AND($B$3&gt;M53,K53&lt;&gt;"Cerrado"),$B$3-M53,0)))</f>
        <v/>
      </c>
      <c r="T53" s="31">
        <f>IF(B53="","",IF(K53="Cerrado",IF(S53&gt;0,"Cerrado con atraso","Cerrado"),IF(S53&gt;0,"Atrasado",IF(AND(N53="",L53&lt;&gt;"",$B$3&gt;L53),"Inicio atrasado","En plazo"))))</f>
        <v/>
      </c>
      <c r="U53" s="26" t="n"/>
    </row>
    <row r="54">
      <c r="A54" s="24" t="n"/>
      <c r="B54" s="25" t="n"/>
      <c r="C54" s="25" t="n"/>
      <c r="D54" s="25" t="n"/>
      <c r="E54" s="26" t="n"/>
      <c r="F54" s="25" t="n"/>
      <c r="G54" s="25" t="n"/>
      <c r="H54" s="25" t="n"/>
      <c r="I54" s="25" t="n"/>
      <c r="J54" s="25" t="n"/>
      <c r="K54" s="25" t="n"/>
      <c r="L54" s="27" t="n"/>
      <c r="M54" s="27" t="n"/>
      <c r="N54" s="27" t="n"/>
      <c r="O54" s="27" t="n"/>
      <c r="P54" s="28" t="n"/>
      <c r="Q54" s="29" t="n"/>
      <c r="R54" s="30">
        <f>IF(B54="","",IF(C54="IWP",COUNTIFS(Restricciones!$D$6:$D$305,B54,Restricciones!$F$6:$F$305,"Abierta")+COUNTIFS(Restricciones!$D$6:$D$305,B54,Restricciones!$F$6:$F$305,"En gestión"),IF(C54="CWA",COUNTIFS(Restricciones!$C$6:$C$305,"CWP-"&amp;MID(B54,5,4)&amp;"-*",Restricciones!$F$6:$F$305,"Abierta")+COUNTIFS(Restricciones!$C$6:$C$305,"CWP-"&amp;MID(B54,5,4)&amp;"-*",Restricciones!$F$6:$F$305,"En gestión"),COUNTIFS(Restricciones!$C$6:$C$305,IF(C54="CWP",B54,H54),Restricciones!$F$6:$F$305,"Abierta")+COUNTIFS(Restricciones!$C$6:$C$305,IF(C54="CWP",B54,H54),Restricciones!$F$6:$F$305,"En gestión"))))</f>
        <v/>
      </c>
      <c r="S54" s="30">
        <f>IF(OR(B54="",M54=""),"",IF(O54&lt;&gt;"",MAX(0,O54-M54),IF(AND($B$3&gt;M54,K54&lt;&gt;"Cerrado"),$B$3-M54,0)))</f>
        <v/>
      </c>
      <c r="T54" s="31">
        <f>IF(B54="","",IF(K54="Cerrado",IF(S54&gt;0,"Cerrado con atraso","Cerrado"),IF(S54&gt;0,"Atrasado",IF(AND(N54="",L54&lt;&gt;"",$B$3&gt;L54),"Inicio atrasado","En plazo"))))</f>
        <v/>
      </c>
      <c r="U54" s="26" t="n"/>
    </row>
    <row r="55">
      <c r="A55" s="24" t="n"/>
      <c r="B55" s="25" t="n"/>
      <c r="C55" s="25" t="n"/>
      <c r="D55" s="25" t="n"/>
      <c r="E55" s="26" t="n"/>
      <c r="F55" s="25" t="n"/>
      <c r="G55" s="25" t="n"/>
      <c r="H55" s="25" t="n"/>
      <c r="I55" s="25" t="n"/>
      <c r="J55" s="25" t="n"/>
      <c r="K55" s="25" t="n"/>
      <c r="L55" s="27" t="n"/>
      <c r="M55" s="27" t="n"/>
      <c r="N55" s="27" t="n"/>
      <c r="O55" s="27" t="n"/>
      <c r="P55" s="28" t="n"/>
      <c r="Q55" s="29" t="n"/>
      <c r="R55" s="30">
        <f>IF(B55="","",IF(C55="IWP",COUNTIFS(Restricciones!$D$6:$D$305,B55,Restricciones!$F$6:$F$305,"Abierta")+COUNTIFS(Restricciones!$D$6:$D$305,B55,Restricciones!$F$6:$F$305,"En gestión"),IF(C55="CWA",COUNTIFS(Restricciones!$C$6:$C$305,"CWP-"&amp;MID(B55,5,4)&amp;"-*",Restricciones!$F$6:$F$305,"Abierta")+COUNTIFS(Restricciones!$C$6:$C$305,"CWP-"&amp;MID(B55,5,4)&amp;"-*",Restricciones!$F$6:$F$305,"En gestión"),COUNTIFS(Restricciones!$C$6:$C$305,IF(C55="CWP",B55,H55),Restricciones!$F$6:$F$305,"Abierta")+COUNTIFS(Restricciones!$C$6:$C$305,IF(C55="CWP",B55,H55),Restricciones!$F$6:$F$305,"En gestión"))))</f>
        <v/>
      </c>
      <c r="S55" s="30">
        <f>IF(OR(B55="",M55=""),"",IF(O55&lt;&gt;"",MAX(0,O55-M55),IF(AND($B$3&gt;M55,K55&lt;&gt;"Cerrado"),$B$3-M55,0)))</f>
        <v/>
      </c>
      <c r="T55" s="31">
        <f>IF(B55="","",IF(K55="Cerrado",IF(S55&gt;0,"Cerrado con atraso","Cerrado"),IF(S55&gt;0,"Atrasado",IF(AND(N55="",L55&lt;&gt;"",$B$3&gt;L55),"Inicio atrasado","En plazo"))))</f>
        <v/>
      </c>
      <c r="U55" s="26" t="n"/>
    </row>
    <row r="56">
      <c r="A56" s="24" t="n"/>
      <c r="B56" s="25" t="n"/>
      <c r="C56" s="25" t="n"/>
      <c r="D56" s="25" t="n"/>
      <c r="E56" s="26" t="n"/>
      <c r="F56" s="25" t="n"/>
      <c r="G56" s="25" t="n"/>
      <c r="H56" s="25" t="n"/>
      <c r="I56" s="25" t="n"/>
      <c r="J56" s="25" t="n"/>
      <c r="K56" s="25" t="n"/>
      <c r="L56" s="27" t="n"/>
      <c r="M56" s="27" t="n"/>
      <c r="N56" s="27" t="n"/>
      <c r="O56" s="27" t="n"/>
      <c r="P56" s="28" t="n"/>
      <c r="Q56" s="29" t="n"/>
      <c r="R56" s="30">
        <f>IF(B56="","",IF(C56="IWP",COUNTIFS(Restricciones!$D$6:$D$305,B56,Restricciones!$F$6:$F$305,"Abierta")+COUNTIFS(Restricciones!$D$6:$D$305,B56,Restricciones!$F$6:$F$305,"En gestión"),IF(C56="CWA",COUNTIFS(Restricciones!$C$6:$C$305,"CWP-"&amp;MID(B56,5,4)&amp;"-*",Restricciones!$F$6:$F$305,"Abierta")+COUNTIFS(Restricciones!$C$6:$C$305,"CWP-"&amp;MID(B56,5,4)&amp;"-*",Restricciones!$F$6:$F$305,"En gestión"),COUNTIFS(Restricciones!$C$6:$C$305,IF(C56="CWP",B56,H56),Restricciones!$F$6:$F$305,"Abierta")+COUNTIFS(Restricciones!$C$6:$C$305,IF(C56="CWP",B56,H56),Restricciones!$F$6:$F$305,"En gestión"))))</f>
        <v/>
      </c>
      <c r="S56" s="30">
        <f>IF(OR(B56="",M56=""),"",IF(O56&lt;&gt;"",MAX(0,O56-M56),IF(AND($B$3&gt;M56,K56&lt;&gt;"Cerrado"),$B$3-M56,0)))</f>
        <v/>
      </c>
      <c r="T56" s="31">
        <f>IF(B56="","",IF(K56="Cerrado",IF(S56&gt;0,"Cerrado con atraso","Cerrado"),IF(S56&gt;0,"Atrasado",IF(AND(N56="",L56&lt;&gt;"",$B$3&gt;L56),"Inicio atrasado","En plazo"))))</f>
        <v/>
      </c>
      <c r="U56" s="26" t="n"/>
    </row>
    <row r="57">
      <c r="A57" s="24" t="n"/>
      <c r="B57" s="25" t="n"/>
      <c r="C57" s="25" t="n"/>
      <c r="D57" s="25" t="n"/>
      <c r="E57" s="26" t="n"/>
      <c r="F57" s="25" t="n"/>
      <c r="G57" s="25" t="n"/>
      <c r="H57" s="25" t="n"/>
      <c r="I57" s="25" t="n"/>
      <c r="J57" s="25" t="n"/>
      <c r="K57" s="25" t="n"/>
      <c r="L57" s="27" t="n"/>
      <c r="M57" s="27" t="n"/>
      <c r="N57" s="27" t="n"/>
      <c r="O57" s="27" t="n"/>
      <c r="P57" s="28" t="n"/>
      <c r="Q57" s="29" t="n"/>
      <c r="R57" s="30">
        <f>IF(B57="","",IF(C57="IWP",COUNTIFS(Restricciones!$D$6:$D$305,B57,Restricciones!$F$6:$F$305,"Abierta")+COUNTIFS(Restricciones!$D$6:$D$305,B57,Restricciones!$F$6:$F$305,"En gestión"),IF(C57="CWA",COUNTIFS(Restricciones!$C$6:$C$305,"CWP-"&amp;MID(B57,5,4)&amp;"-*",Restricciones!$F$6:$F$305,"Abierta")+COUNTIFS(Restricciones!$C$6:$C$305,"CWP-"&amp;MID(B57,5,4)&amp;"-*",Restricciones!$F$6:$F$305,"En gestión"),COUNTIFS(Restricciones!$C$6:$C$305,IF(C57="CWP",B57,H57),Restricciones!$F$6:$F$305,"Abierta")+COUNTIFS(Restricciones!$C$6:$C$305,IF(C57="CWP",B57,H57),Restricciones!$F$6:$F$305,"En gestión"))))</f>
        <v/>
      </c>
      <c r="S57" s="30">
        <f>IF(OR(B57="",M57=""),"",IF(O57&lt;&gt;"",MAX(0,O57-M57),IF(AND($B$3&gt;M57,K57&lt;&gt;"Cerrado"),$B$3-M57,0)))</f>
        <v/>
      </c>
      <c r="T57" s="31">
        <f>IF(B57="","",IF(K57="Cerrado",IF(S57&gt;0,"Cerrado con atraso","Cerrado"),IF(S57&gt;0,"Atrasado",IF(AND(N57="",L57&lt;&gt;"",$B$3&gt;L57),"Inicio atrasado","En plazo"))))</f>
        <v/>
      </c>
      <c r="U57" s="26" t="n"/>
    </row>
    <row r="58">
      <c r="A58" s="24" t="n"/>
      <c r="B58" s="25" t="n"/>
      <c r="C58" s="25" t="n"/>
      <c r="D58" s="25" t="n"/>
      <c r="E58" s="26" t="n"/>
      <c r="F58" s="25" t="n"/>
      <c r="G58" s="25" t="n"/>
      <c r="H58" s="25" t="n"/>
      <c r="I58" s="25" t="n"/>
      <c r="J58" s="25" t="n"/>
      <c r="K58" s="25" t="n"/>
      <c r="L58" s="27" t="n"/>
      <c r="M58" s="27" t="n"/>
      <c r="N58" s="27" t="n"/>
      <c r="O58" s="27" t="n"/>
      <c r="P58" s="28" t="n"/>
      <c r="Q58" s="29" t="n"/>
      <c r="R58" s="30">
        <f>IF(B58="","",IF(C58="IWP",COUNTIFS(Restricciones!$D$6:$D$305,B58,Restricciones!$F$6:$F$305,"Abierta")+COUNTIFS(Restricciones!$D$6:$D$305,B58,Restricciones!$F$6:$F$305,"En gestión"),IF(C58="CWA",COUNTIFS(Restricciones!$C$6:$C$305,"CWP-"&amp;MID(B58,5,4)&amp;"-*",Restricciones!$F$6:$F$305,"Abierta")+COUNTIFS(Restricciones!$C$6:$C$305,"CWP-"&amp;MID(B58,5,4)&amp;"-*",Restricciones!$F$6:$F$305,"En gestión"),COUNTIFS(Restricciones!$C$6:$C$305,IF(C58="CWP",B58,H58),Restricciones!$F$6:$F$305,"Abierta")+COUNTIFS(Restricciones!$C$6:$C$305,IF(C58="CWP",B58,H58),Restricciones!$F$6:$F$305,"En gestión"))))</f>
        <v/>
      </c>
      <c r="S58" s="30">
        <f>IF(OR(B58="",M58=""),"",IF(O58&lt;&gt;"",MAX(0,O58-M58),IF(AND($B$3&gt;M58,K58&lt;&gt;"Cerrado"),$B$3-M58,0)))</f>
        <v/>
      </c>
      <c r="T58" s="31">
        <f>IF(B58="","",IF(K58="Cerrado",IF(S58&gt;0,"Cerrado con atraso","Cerrado"),IF(S58&gt;0,"Atrasado",IF(AND(N58="",L58&lt;&gt;"",$B$3&gt;L58),"Inicio atrasado","En plazo"))))</f>
        <v/>
      </c>
      <c r="U58" s="26" t="n"/>
    </row>
    <row r="59">
      <c r="A59" s="24" t="n"/>
      <c r="B59" s="25" t="n"/>
      <c r="C59" s="25" t="n"/>
      <c r="D59" s="25" t="n"/>
      <c r="E59" s="26" t="n"/>
      <c r="F59" s="25" t="n"/>
      <c r="G59" s="25" t="n"/>
      <c r="H59" s="25" t="n"/>
      <c r="I59" s="25" t="n"/>
      <c r="J59" s="25" t="n"/>
      <c r="K59" s="25" t="n"/>
      <c r="L59" s="27" t="n"/>
      <c r="M59" s="27" t="n"/>
      <c r="N59" s="27" t="n"/>
      <c r="O59" s="27" t="n"/>
      <c r="P59" s="28" t="n"/>
      <c r="Q59" s="29" t="n"/>
      <c r="R59" s="30">
        <f>IF(B59="","",IF(C59="IWP",COUNTIFS(Restricciones!$D$6:$D$305,B59,Restricciones!$F$6:$F$305,"Abierta")+COUNTIFS(Restricciones!$D$6:$D$305,B59,Restricciones!$F$6:$F$305,"En gestión"),IF(C59="CWA",COUNTIFS(Restricciones!$C$6:$C$305,"CWP-"&amp;MID(B59,5,4)&amp;"-*",Restricciones!$F$6:$F$305,"Abierta")+COUNTIFS(Restricciones!$C$6:$C$305,"CWP-"&amp;MID(B59,5,4)&amp;"-*",Restricciones!$F$6:$F$305,"En gestión"),COUNTIFS(Restricciones!$C$6:$C$305,IF(C59="CWP",B59,H59),Restricciones!$F$6:$F$305,"Abierta")+COUNTIFS(Restricciones!$C$6:$C$305,IF(C59="CWP",B59,H59),Restricciones!$F$6:$F$305,"En gestión"))))</f>
        <v/>
      </c>
      <c r="S59" s="30">
        <f>IF(OR(B59="",M59=""),"",IF(O59&lt;&gt;"",MAX(0,O59-M59),IF(AND($B$3&gt;M59,K59&lt;&gt;"Cerrado"),$B$3-M59,0)))</f>
        <v/>
      </c>
      <c r="T59" s="31">
        <f>IF(B59="","",IF(K59="Cerrado",IF(S59&gt;0,"Cerrado con atraso","Cerrado"),IF(S59&gt;0,"Atrasado",IF(AND(N59="",L59&lt;&gt;"",$B$3&gt;L59),"Inicio atrasado","En plazo"))))</f>
        <v/>
      </c>
      <c r="U59" s="26" t="n"/>
    </row>
    <row r="60">
      <c r="A60" s="24" t="n"/>
      <c r="B60" s="25" t="n"/>
      <c r="C60" s="25" t="n"/>
      <c r="D60" s="25" t="n"/>
      <c r="E60" s="26" t="n"/>
      <c r="F60" s="25" t="n"/>
      <c r="G60" s="25" t="n"/>
      <c r="H60" s="25" t="n"/>
      <c r="I60" s="25" t="n"/>
      <c r="J60" s="25" t="n"/>
      <c r="K60" s="25" t="n"/>
      <c r="L60" s="27" t="n"/>
      <c r="M60" s="27" t="n"/>
      <c r="N60" s="27" t="n"/>
      <c r="O60" s="27" t="n"/>
      <c r="P60" s="28" t="n"/>
      <c r="Q60" s="29" t="n"/>
      <c r="R60" s="30">
        <f>IF(B60="","",IF(C60="IWP",COUNTIFS(Restricciones!$D$6:$D$305,B60,Restricciones!$F$6:$F$305,"Abierta")+COUNTIFS(Restricciones!$D$6:$D$305,B60,Restricciones!$F$6:$F$305,"En gestión"),IF(C60="CWA",COUNTIFS(Restricciones!$C$6:$C$305,"CWP-"&amp;MID(B60,5,4)&amp;"-*",Restricciones!$F$6:$F$305,"Abierta")+COUNTIFS(Restricciones!$C$6:$C$305,"CWP-"&amp;MID(B60,5,4)&amp;"-*",Restricciones!$F$6:$F$305,"En gestión"),COUNTIFS(Restricciones!$C$6:$C$305,IF(C60="CWP",B60,H60),Restricciones!$F$6:$F$305,"Abierta")+COUNTIFS(Restricciones!$C$6:$C$305,IF(C60="CWP",B60,H60),Restricciones!$F$6:$F$305,"En gestión"))))</f>
        <v/>
      </c>
      <c r="S60" s="30">
        <f>IF(OR(B60="",M60=""),"",IF(O60&lt;&gt;"",MAX(0,O60-M60),IF(AND($B$3&gt;M60,K60&lt;&gt;"Cerrado"),$B$3-M60,0)))</f>
        <v/>
      </c>
      <c r="T60" s="31">
        <f>IF(B60="","",IF(K60="Cerrado",IF(S60&gt;0,"Cerrado con atraso","Cerrado"),IF(S60&gt;0,"Atrasado",IF(AND(N60="",L60&lt;&gt;"",$B$3&gt;L60),"Inicio atrasado","En plazo"))))</f>
        <v/>
      </c>
      <c r="U60" s="26" t="n"/>
    </row>
    <row r="61">
      <c r="A61" s="24" t="n"/>
      <c r="B61" s="25" t="n"/>
      <c r="C61" s="25" t="n"/>
      <c r="D61" s="25" t="n"/>
      <c r="E61" s="26" t="n"/>
      <c r="F61" s="25" t="n"/>
      <c r="G61" s="25" t="n"/>
      <c r="H61" s="25" t="n"/>
      <c r="I61" s="25" t="n"/>
      <c r="J61" s="25" t="n"/>
      <c r="K61" s="25" t="n"/>
      <c r="L61" s="27" t="n"/>
      <c r="M61" s="27" t="n"/>
      <c r="N61" s="27" t="n"/>
      <c r="O61" s="27" t="n"/>
      <c r="P61" s="28" t="n"/>
      <c r="Q61" s="29" t="n"/>
      <c r="R61" s="30">
        <f>IF(B61="","",IF(C61="IWP",COUNTIFS(Restricciones!$D$6:$D$305,B61,Restricciones!$F$6:$F$305,"Abierta")+COUNTIFS(Restricciones!$D$6:$D$305,B61,Restricciones!$F$6:$F$305,"En gestión"),IF(C61="CWA",COUNTIFS(Restricciones!$C$6:$C$305,"CWP-"&amp;MID(B61,5,4)&amp;"-*",Restricciones!$F$6:$F$305,"Abierta")+COUNTIFS(Restricciones!$C$6:$C$305,"CWP-"&amp;MID(B61,5,4)&amp;"-*",Restricciones!$F$6:$F$305,"En gestión"),COUNTIFS(Restricciones!$C$6:$C$305,IF(C61="CWP",B61,H61),Restricciones!$F$6:$F$305,"Abierta")+COUNTIFS(Restricciones!$C$6:$C$305,IF(C61="CWP",B61,H61),Restricciones!$F$6:$F$305,"En gestión"))))</f>
        <v/>
      </c>
      <c r="S61" s="30">
        <f>IF(OR(B61="",M61=""),"",IF(O61&lt;&gt;"",MAX(0,O61-M61),IF(AND($B$3&gt;M61,K61&lt;&gt;"Cerrado"),$B$3-M61,0)))</f>
        <v/>
      </c>
      <c r="T61" s="31">
        <f>IF(B61="","",IF(K61="Cerrado",IF(S61&gt;0,"Cerrado con atraso","Cerrado"),IF(S61&gt;0,"Atrasado",IF(AND(N61="",L61&lt;&gt;"",$B$3&gt;L61),"Inicio atrasado","En plazo"))))</f>
        <v/>
      </c>
      <c r="U61" s="26" t="n"/>
    </row>
    <row r="62">
      <c r="A62" s="24" t="n"/>
      <c r="B62" s="25" t="n"/>
      <c r="C62" s="25" t="n"/>
      <c r="D62" s="25" t="n"/>
      <c r="E62" s="26" t="n"/>
      <c r="F62" s="25" t="n"/>
      <c r="G62" s="25" t="n"/>
      <c r="H62" s="25" t="n"/>
      <c r="I62" s="25" t="n"/>
      <c r="J62" s="25" t="n"/>
      <c r="K62" s="25" t="n"/>
      <c r="L62" s="27" t="n"/>
      <c r="M62" s="27" t="n"/>
      <c r="N62" s="27" t="n"/>
      <c r="O62" s="27" t="n"/>
      <c r="P62" s="28" t="n"/>
      <c r="Q62" s="29" t="n"/>
      <c r="R62" s="30">
        <f>IF(B62="","",IF(C62="IWP",COUNTIFS(Restricciones!$D$6:$D$305,B62,Restricciones!$F$6:$F$305,"Abierta")+COUNTIFS(Restricciones!$D$6:$D$305,B62,Restricciones!$F$6:$F$305,"En gestión"),IF(C62="CWA",COUNTIFS(Restricciones!$C$6:$C$305,"CWP-"&amp;MID(B62,5,4)&amp;"-*",Restricciones!$F$6:$F$305,"Abierta")+COUNTIFS(Restricciones!$C$6:$C$305,"CWP-"&amp;MID(B62,5,4)&amp;"-*",Restricciones!$F$6:$F$305,"En gestión"),COUNTIFS(Restricciones!$C$6:$C$305,IF(C62="CWP",B62,H62),Restricciones!$F$6:$F$305,"Abierta")+COUNTIFS(Restricciones!$C$6:$C$305,IF(C62="CWP",B62,H62),Restricciones!$F$6:$F$305,"En gestión"))))</f>
        <v/>
      </c>
      <c r="S62" s="30">
        <f>IF(OR(B62="",M62=""),"",IF(O62&lt;&gt;"",MAX(0,O62-M62),IF(AND($B$3&gt;M62,K62&lt;&gt;"Cerrado"),$B$3-M62,0)))</f>
        <v/>
      </c>
      <c r="T62" s="31">
        <f>IF(B62="","",IF(K62="Cerrado",IF(S62&gt;0,"Cerrado con atraso","Cerrado"),IF(S62&gt;0,"Atrasado",IF(AND(N62="",L62&lt;&gt;"",$B$3&gt;L62),"Inicio atrasado","En plazo"))))</f>
        <v/>
      </c>
      <c r="U62" s="26" t="n"/>
    </row>
    <row r="63">
      <c r="A63" s="24" t="n"/>
      <c r="B63" s="25" t="n"/>
      <c r="C63" s="25" t="n"/>
      <c r="D63" s="25" t="n"/>
      <c r="E63" s="26" t="n"/>
      <c r="F63" s="25" t="n"/>
      <c r="G63" s="25" t="n"/>
      <c r="H63" s="25" t="n"/>
      <c r="I63" s="25" t="n"/>
      <c r="J63" s="25" t="n"/>
      <c r="K63" s="25" t="n"/>
      <c r="L63" s="27" t="n"/>
      <c r="M63" s="27" t="n"/>
      <c r="N63" s="27" t="n"/>
      <c r="O63" s="27" t="n"/>
      <c r="P63" s="28" t="n"/>
      <c r="Q63" s="29" t="n"/>
      <c r="R63" s="30">
        <f>IF(B63="","",IF(C63="IWP",COUNTIFS(Restricciones!$D$6:$D$305,B63,Restricciones!$F$6:$F$305,"Abierta")+COUNTIFS(Restricciones!$D$6:$D$305,B63,Restricciones!$F$6:$F$305,"En gestión"),IF(C63="CWA",COUNTIFS(Restricciones!$C$6:$C$305,"CWP-"&amp;MID(B63,5,4)&amp;"-*",Restricciones!$F$6:$F$305,"Abierta")+COUNTIFS(Restricciones!$C$6:$C$305,"CWP-"&amp;MID(B63,5,4)&amp;"-*",Restricciones!$F$6:$F$305,"En gestión"),COUNTIFS(Restricciones!$C$6:$C$305,IF(C63="CWP",B63,H63),Restricciones!$F$6:$F$305,"Abierta")+COUNTIFS(Restricciones!$C$6:$C$305,IF(C63="CWP",B63,H63),Restricciones!$F$6:$F$305,"En gestión"))))</f>
        <v/>
      </c>
      <c r="S63" s="30">
        <f>IF(OR(B63="",M63=""),"",IF(O63&lt;&gt;"",MAX(0,O63-M63),IF(AND($B$3&gt;M63,K63&lt;&gt;"Cerrado"),$B$3-M63,0)))</f>
        <v/>
      </c>
      <c r="T63" s="31">
        <f>IF(B63="","",IF(K63="Cerrado",IF(S63&gt;0,"Cerrado con atraso","Cerrado"),IF(S63&gt;0,"Atrasado",IF(AND(N63="",L63&lt;&gt;"",$B$3&gt;L63),"Inicio atrasado","En plazo"))))</f>
        <v/>
      </c>
      <c r="U63" s="26" t="n"/>
    </row>
    <row r="64">
      <c r="A64" s="24" t="n"/>
      <c r="B64" s="25" t="n"/>
      <c r="C64" s="25" t="n"/>
      <c r="D64" s="25" t="n"/>
      <c r="E64" s="26" t="n"/>
      <c r="F64" s="25" t="n"/>
      <c r="G64" s="25" t="n"/>
      <c r="H64" s="25" t="n"/>
      <c r="I64" s="25" t="n"/>
      <c r="J64" s="25" t="n"/>
      <c r="K64" s="25" t="n"/>
      <c r="L64" s="27" t="n"/>
      <c r="M64" s="27" t="n"/>
      <c r="N64" s="27" t="n"/>
      <c r="O64" s="27" t="n"/>
      <c r="P64" s="28" t="n"/>
      <c r="Q64" s="29" t="n"/>
      <c r="R64" s="30">
        <f>IF(B64="","",IF(C64="IWP",COUNTIFS(Restricciones!$D$6:$D$305,B64,Restricciones!$F$6:$F$305,"Abierta")+COUNTIFS(Restricciones!$D$6:$D$305,B64,Restricciones!$F$6:$F$305,"En gestión"),IF(C64="CWA",COUNTIFS(Restricciones!$C$6:$C$305,"CWP-"&amp;MID(B64,5,4)&amp;"-*",Restricciones!$F$6:$F$305,"Abierta")+COUNTIFS(Restricciones!$C$6:$C$305,"CWP-"&amp;MID(B64,5,4)&amp;"-*",Restricciones!$F$6:$F$305,"En gestión"),COUNTIFS(Restricciones!$C$6:$C$305,IF(C64="CWP",B64,H64),Restricciones!$F$6:$F$305,"Abierta")+COUNTIFS(Restricciones!$C$6:$C$305,IF(C64="CWP",B64,H64),Restricciones!$F$6:$F$305,"En gestión"))))</f>
        <v/>
      </c>
      <c r="S64" s="30">
        <f>IF(OR(B64="",M64=""),"",IF(O64&lt;&gt;"",MAX(0,O64-M64),IF(AND($B$3&gt;M64,K64&lt;&gt;"Cerrado"),$B$3-M64,0)))</f>
        <v/>
      </c>
      <c r="T64" s="31">
        <f>IF(B64="","",IF(K64="Cerrado",IF(S64&gt;0,"Cerrado con atraso","Cerrado"),IF(S64&gt;0,"Atrasado",IF(AND(N64="",L64&lt;&gt;"",$B$3&gt;L64),"Inicio atrasado","En plazo"))))</f>
        <v/>
      </c>
      <c r="U64" s="26" t="n"/>
    </row>
    <row r="65">
      <c r="A65" s="24" t="n"/>
      <c r="B65" s="25" t="n"/>
      <c r="C65" s="25" t="n"/>
      <c r="D65" s="25" t="n"/>
      <c r="E65" s="26" t="n"/>
      <c r="F65" s="25" t="n"/>
      <c r="G65" s="25" t="n"/>
      <c r="H65" s="25" t="n"/>
      <c r="I65" s="25" t="n"/>
      <c r="J65" s="25" t="n"/>
      <c r="K65" s="25" t="n"/>
      <c r="L65" s="27" t="n"/>
      <c r="M65" s="27" t="n"/>
      <c r="N65" s="27" t="n"/>
      <c r="O65" s="27" t="n"/>
      <c r="P65" s="28" t="n"/>
      <c r="Q65" s="29" t="n"/>
      <c r="R65" s="30">
        <f>IF(B65="","",IF(C65="IWP",COUNTIFS(Restricciones!$D$6:$D$305,B65,Restricciones!$F$6:$F$305,"Abierta")+COUNTIFS(Restricciones!$D$6:$D$305,B65,Restricciones!$F$6:$F$305,"En gestión"),IF(C65="CWA",COUNTIFS(Restricciones!$C$6:$C$305,"CWP-"&amp;MID(B65,5,4)&amp;"-*",Restricciones!$F$6:$F$305,"Abierta")+COUNTIFS(Restricciones!$C$6:$C$305,"CWP-"&amp;MID(B65,5,4)&amp;"-*",Restricciones!$F$6:$F$305,"En gestión"),COUNTIFS(Restricciones!$C$6:$C$305,IF(C65="CWP",B65,H65),Restricciones!$F$6:$F$305,"Abierta")+COUNTIFS(Restricciones!$C$6:$C$305,IF(C65="CWP",B65,H65),Restricciones!$F$6:$F$305,"En gestión"))))</f>
        <v/>
      </c>
      <c r="S65" s="30">
        <f>IF(OR(B65="",M65=""),"",IF(O65&lt;&gt;"",MAX(0,O65-M65),IF(AND($B$3&gt;M65,K65&lt;&gt;"Cerrado"),$B$3-M65,0)))</f>
        <v/>
      </c>
      <c r="T65" s="31">
        <f>IF(B65="","",IF(K65="Cerrado",IF(S65&gt;0,"Cerrado con atraso","Cerrado"),IF(S65&gt;0,"Atrasado",IF(AND(N65="",L65&lt;&gt;"",$B$3&gt;L65),"Inicio atrasado","En plazo"))))</f>
        <v/>
      </c>
      <c r="U65" s="26" t="n"/>
    </row>
    <row r="66">
      <c r="A66" s="24" t="n"/>
      <c r="B66" s="25" t="n"/>
      <c r="C66" s="25" t="n"/>
      <c r="D66" s="25" t="n"/>
      <c r="E66" s="26" t="n"/>
      <c r="F66" s="25" t="n"/>
      <c r="G66" s="25" t="n"/>
      <c r="H66" s="25" t="n"/>
      <c r="I66" s="25" t="n"/>
      <c r="J66" s="25" t="n"/>
      <c r="K66" s="25" t="n"/>
      <c r="L66" s="27" t="n"/>
      <c r="M66" s="27" t="n"/>
      <c r="N66" s="27" t="n"/>
      <c r="O66" s="27" t="n"/>
      <c r="P66" s="28" t="n"/>
      <c r="Q66" s="29" t="n"/>
      <c r="R66" s="30">
        <f>IF(B66="","",IF(C66="IWP",COUNTIFS(Restricciones!$D$6:$D$305,B66,Restricciones!$F$6:$F$305,"Abierta")+COUNTIFS(Restricciones!$D$6:$D$305,B66,Restricciones!$F$6:$F$305,"En gestión"),IF(C66="CWA",COUNTIFS(Restricciones!$C$6:$C$305,"CWP-"&amp;MID(B66,5,4)&amp;"-*",Restricciones!$F$6:$F$305,"Abierta")+COUNTIFS(Restricciones!$C$6:$C$305,"CWP-"&amp;MID(B66,5,4)&amp;"-*",Restricciones!$F$6:$F$305,"En gestión"),COUNTIFS(Restricciones!$C$6:$C$305,IF(C66="CWP",B66,H66),Restricciones!$F$6:$F$305,"Abierta")+COUNTIFS(Restricciones!$C$6:$C$305,IF(C66="CWP",B66,H66),Restricciones!$F$6:$F$305,"En gestión"))))</f>
        <v/>
      </c>
      <c r="S66" s="30">
        <f>IF(OR(B66="",M66=""),"",IF(O66&lt;&gt;"",MAX(0,O66-M66),IF(AND($B$3&gt;M66,K66&lt;&gt;"Cerrado"),$B$3-M66,0)))</f>
        <v/>
      </c>
      <c r="T66" s="31">
        <f>IF(B66="","",IF(K66="Cerrado",IF(S66&gt;0,"Cerrado con atraso","Cerrado"),IF(S66&gt;0,"Atrasado",IF(AND(N66="",L66&lt;&gt;"",$B$3&gt;L66),"Inicio atrasado","En plazo"))))</f>
        <v/>
      </c>
      <c r="U66" s="26" t="n"/>
    </row>
    <row r="67">
      <c r="A67" s="24" t="n"/>
      <c r="B67" s="25" t="n"/>
      <c r="C67" s="25" t="n"/>
      <c r="D67" s="25" t="n"/>
      <c r="E67" s="26" t="n"/>
      <c r="F67" s="25" t="n"/>
      <c r="G67" s="25" t="n"/>
      <c r="H67" s="25" t="n"/>
      <c r="I67" s="25" t="n"/>
      <c r="J67" s="25" t="n"/>
      <c r="K67" s="25" t="n"/>
      <c r="L67" s="27" t="n"/>
      <c r="M67" s="27" t="n"/>
      <c r="N67" s="27" t="n"/>
      <c r="O67" s="27" t="n"/>
      <c r="P67" s="28" t="n"/>
      <c r="Q67" s="29" t="n"/>
      <c r="R67" s="30">
        <f>IF(B67="","",IF(C67="IWP",COUNTIFS(Restricciones!$D$6:$D$305,B67,Restricciones!$F$6:$F$305,"Abierta")+COUNTIFS(Restricciones!$D$6:$D$305,B67,Restricciones!$F$6:$F$305,"En gestión"),IF(C67="CWA",COUNTIFS(Restricciones!$C$6:$C$305,"CWP-"&amp;MID(B67,5,4)&amp;"-*",Restricciones!$F$6:$F$305,"Abierta")+COUNTIFS(Restricciones!$C$6:$C$305,"CWP-"&amp;MID(B67,5,4)&amp;"-*",Restricciones!$F$6:$F$305,"En gestión"),COUNTIFS(Restricciones!$C$6:$C$305,IF(C67="CWP",B67,H67),Restricciones!$F$6:$F$305,"Abierta")+COUNTIFS(Restricciones!$C$6:$C$305,IF(C67="CWP",B67,H67),Restricciones!$F$6:$F$305,"En gestión"))))</f>
        <v/>
      </c>
      <c r="S67" s="30">
        <f>IF(OR(B67="",M67=""),"",IF(O67&lt;&gt;"",MAX(0,O67-M67),IF(AND($B$3&gt;M67,K67&lt;&gt;"Cerrado"),$B$3-M67,0)))</f>
        <v/>
      </c>
      <c r="T67" s="31">
        <f>IF(B67="","",IF(K67="Cerrado",IF(S67&gt;0,"Cerrado con atraso","Cerrado"),IF(S67&gt;0,"Atrasado",IF(AND(N67="",L67&lt;&gt;"",$B$3&gt;L67),"Inicio atrasado","En plazo"))))</f>
        <v/>
      </c>
      <c r="U67" s="26" t="n"/>
    </row>
    <row r="68">
      <c r="A68" s="24" t="n"/>
      <c r="B68" s="25" t="n"/>
      <c r="C68" s="25" t="n"/>
      <c r="D68" s="25" t="n"/>
      <c r="E68" s="26" t="n"/>
      <c r="F68" s="25" t="n"/>
      <c r="G68" s="25" t="n"/>
      <c r="H68" s="25" t="n"/>
      <c r="I68" s="25" t="n"/>
      <c r="J68" s="25" t="n"/>
      <c r="K68" s="25" t="n"/>
      <c r="L68" s="27" t="n"/>
      <c r="M68" s="27" t="n"/>
      <c r="N68" s="27" t="n"/>
      <c r="O68" s="27" t="n"/>
      <c r="P68" s="28" t="n"/>
      <c r="Q68" s="29" t="n"/>
      <c r="R68" s="30">
        <f>IF(B68="","",IF(C68="IWP",COUNTIFS(Restricciones!$D$6:$D$305,B68,Restricciones!$F$6:$F$305,"Abierta")+COUNTIFS(Restricciones!$D$6:$D$305,B68,Restricciones!$F$6:$F$305,"En gestión"),IF(C68="CWA",COUNTIFS(Restricciones!$C$6:$C$305,"CWP-"&amp;MID(B68,5,4)&amp;"-*",Restricciones!$F$6:$F$305,"Abierta")+COUNTIFS(Restricciones!$C$6:$C$305,"CWP-"&amp;MID(B68,5,4)&amp;"-*",Restricciones!$F$6:$F$305,"En gestión"),COUNTIFS(Restricciones!$C$6:$C$305,IF(C68="CWP",B68,H68),Restricciones!$F$6:$F$305,"Abierta")+COUNTIFS(Restricciones!$C$6:$C$305,IF(C68="CWP",B68,H68),Restricciones!$F$6:$F$305,"En gestión"))))</f>
        <v/>
      </c>
      <c r="S68" s="30">
        <f>IF(OR(B68="",M68=""),"",IF(O68&lt;&gt;"",MAX(0,O68-M68),IF(AND($B$3&gt;M68,K68&lt;&gt;"Cerrado"),$B$3-M68,0)))</f>
        <v/>
      </c>
      <c r="T68" s="31">
        <f>IF(B68="","",IF(K68="Cerrado",IF(S68&gt;0,"Cerrado con atraso","Cerrado"),IF(S68&gt;0,"Atrasado",IF(AND(N68="",L68&lt;&gt;"",$B$3&gt;L68),"Inicio atrasado","En plazo"))))</f>
        <v/>
      </c>
      <c r="U68" s="26" t="n"/>
    </row>
    <row r="69">
      <c r="A69" s="24" t="n"/>
      <c r="B69" s="25" t="n"/>
      <c r="C69" s="25" t="n"/>
      <c r="D69" s="25" t="n"/>
      <c r="E69" s="26" t="n"/>
      <c r="F69" s="25" t="n"/>
      <c r="G69" s="25" t="n"/>
      <c r="H69" s="25" t="n"/>
      <c r="I69" s="25" t="n"/>
      <c r="J69" s="25" t="n"/>
      <c r="K69" s="25" t="n"/>
      <c r="L69" s="27" t="n"/>
      <c r="M69" s="27" t="n"/>
      <c r="N69" s="27" t="n"/>
      <c r="O69" s="27" t="n"/>
      <c r="P69" s="28" t="n"/>
      <c r="Q69" s="29" t="n"/>
      <c r="R69" s="30">
        <f>IF(B69="","",IF(C69="IWP",COUNTIFS(Restricciones!$D$6:$D$305,B69,Restricciones!$F$6:$F$305,"Abierta")+COUNTIFS(Restricciones!$D$6:$D$305,B69,Restricciones!$F$6:$F$305,"En gestión"),IF(C69="CWA",COUNTIFS(Restricciones!$C$6:$C$305,"CWP-"&amp;MID(B69,5,4)&amp;"-*",Restricciones!$F$6:$F$305,"Abierta")+COUNTIFS(Restricciones!$C$6:$C$305,"CWP-"&amp;MID(B69,5,4)&amp;"-*",Restricciones!$F$6:$F$305,"En gestión"),COUNTIFS(Restricciones!$C$6:$C$305,IF(C69="CWP",B69,H69),Restricciones!$F$6:$F$305,"Abierta")+COUNTIFS(Restricciones!$C$6:$C$305,IF(C69="CWP",B69,H69),Restricciones!$F$6:$F$305,"En gestión"))))</f>
        <v/>
      </c>
      <c r="S69" s="30">
        <f>IF(OR(B69="",M69=""),"",IF(O69&lt;&gt;"",MAX(0,O69-M69),IF(AND($B$3&gt;M69,K69&lt;&gt;"Cerrado"),$B$3-M69,0)))</f>
        <v/>
      </c>
      <c r="T69" s="31">
        <f>IF(B69="","",IF(K69="Cerrado",IF(S69&gt;0,"Cerrado con atraso","Cerrado"),IF(S69&gt;0,"Atrasado",IF(AND(N69="",L69&lt;&gt;"",$B$3&gt;L69),"Inicio atrasado","En plazo"))))</f>
        <v/>
      </c>
      <c r="U69" s="26" t="n"/>
    </row>
    <row r="70">
      <c r="A70" s="24" t="n"/>
      <c r="B70" s="25" t="n"/>
      <c r="C70" s="25" t="n"/>
      <c r="D70" s="25" t="n"/>
      <c r="E70" s="26" t="n"/>
      <c r="F70" s="25" t="n"/>
      <c r="G70" s="25" t="n"/>
      <c r="H70" s="25" t="n"/>
      <c r="I70" s="25" t="n"/>
      <c r="J70" s="25" t="n"/>
      <c r="K70" s="25" t="n"/>
      <c r="L70" s="27" t="n"/>
      <c r="M70" s="27" t="n"/>
      <c r="N70" s="27" t="n"/>
      <c r="O70" s="27" t="n"/>
      <c r="P70" s="28" t="n"/>
      <c r="Q70" s="29" t="n"/>
      <c r="R70" s="30">
        <f>IF(B70="","",IF(C70="IWP",COUNTIFS(Restricciones!$D$6:$D$305,B70,Restricciones!$F$6:$F$305,"Abierta")+COUNTIFS(Restricciones!$D$6:$D$305,B70,Restricciones!$F$6:$F$305,"En gestión"),IF(C70="CWA",COUNTIFS(Restricciones!$C$6:$C$305,"CWP-"&amp;MID(B70,5,4)&amp;"-*",Restricciones!$F$6:$F$305,"Abierta")+COUNTIFS(Restricciones!$C$6:$C$305,"CWP-"&amp;MID(B70,5,4)&amp;"-*",Restricciones!$F$6:$F$305,"En gestión"),COUNTIFS(Restricciones!$C$6:$C$305,IF(C70="CWP",B70,H70),Restricciones!$F$6:$F$305,"Abierta")+COUNTIFS(Restricciones!$C$6:$C$305,IF(C70="CWP",B70,H70),Restricciones!$F$6:$F$305,"En gestión"))))</f>
        <v/>
      </c>
      <c r="S70" s="30">
        <f>IF(OR(B70="",M70=""),"",IF(O70&lt;&gt;"",MAX(0,O70-M70),IF(AND($B$3&gt;M70,K70&lt;&gt;"Cerrado"),$B$3-M70,0)))</f>
        <v/>
      </c>
      <c r="T70" s="31">
        <f>IF(B70="","",IF(K70="Cerrado",IF(S70&gt;0,"Cerrado con atraso","Cerrado"),IF(S70&gt;0,"Atrasado",IF(AND(N70="",L70&lt;&gt;"",$B$3&gt;L70),"Inicio atrasado","En plazo"))))</f>
        <v/>
      </c>
      <c r="U70" s="26" t="n"/>
    </row>
    <row r="71">
      <c r="A71" s="24" t="n"/>
      <c r="B71" s="25" t="n"/>
      <c r="C71" s="25" t="n"/>
      <c r="D71" s="25" t="n"/>
      <c r="E71" s="26" t="n"/>
      <c r="F71" s="25" t="n"/>
      <c r="G71" s="25" t="n"/>
      <c r="H71" s="25" t="n"/>
      <c r="I71" s="25" t="n"/>
      <c r="J71" s="25" t="n"/>
      <c r="K71" s="25" t="n"/>
      <c r="L71" s="27" t="n"/>
      <c r="M71" s="27" t="n"/>
      <c r="N71" s="27" t="n"/>
      <c r="O71" s="27" t="n"/>
      <c r="P71" s="28" t="n"/>
      <c r="Q71" s="29" t="n"/>
      <c r="R71" s="30">
        <f>IF(B71="","",IF(C71="IWP",COUNTIFS(Restricciones!$D$6:$D$305,B71,Restricciones!$F$6:$F$305,"Abierta")+COUNTIFS(Restricciones!$D$6:$D$305,B71,Restricciones!$F$6:$F$305,"En gestión"),IF(C71="CWA",COUNTIFS(Restricciones!$C$6:$C$305,"CWP-"&amp;MID(B71,5,4)&amp;"-*",Restricciones!$F$6:$F$305,"Abierta")+COUNTIFS(Restricciones!$C$6:$C$305,"CWP-"&amp;MID(B71,5,4)&amp;"-*",Restricciones!$F$6:$F$305,"En gestión"),COUNTIFS(Restricciones!$C$6:$C$305,IF(C71="CWP",B71,H71),Restricciones!$F$6:$F$305,"Abierta")+COUNTIFS(Restricciones!$C$6:$C$305,IF(C71="CWP",B71,H71),Restricciones!$F$6:$F$305,"En gestión"))))</f>
        <v/>
      </c>
      <c r="S71" s="30">
        <f>IF(OR(B71="",M71=""),"",IF(O71&lt;&gt;"",MAX(0,O71-M71),IF(AND($B$3&gt;M71,K71&lt;&gt;"Cerrado"),$B$3-M71,0)))</f>
        <v/>
      </c>
      <c r="T71" s="31">
        <f>IF(B71="","",IF(K71="Cerrado",IF(S71&gt;0,"Cerrado con atraso","Cerrado"),IF(S71&gt;0,"Atrasado",IF(AND(N71="",L71&lt;&gt;"",$B$3&gt;L71),"Inicio atrasado","En plazo"))))</f>
        <v/>
      </c>
      <c r="U71" s="26" t="n"/>
    </row>
    <row r="72">
      <c r="A72" s="24" t="n"/>
      <c r="B72" s="25" t="n"/>
      <c r="C72" s="25" t="n"/>
      <c r="D72" s="25" t="n"/>
      <c r="E72" s="26" t="n"/>
      <c r="F72" s="25" t="n"/>
      <c r="G72" s="25" t="n"/>
      <c r="H72" s="25" t="n"/>
      <c r="I72" s="25" t="n"/>
      <c r="J72" s="25" t="n"/>
      <c r="K72" s="25" t="n"/>
      <c r="L72" s="27" t="n"/>
      <c r="M72" s="27" t="n"/>
      <c r="N72" s="27" t="n"/>
      <c r="O72" s="27" t="n"/>
      <c r="P72" s="28" t="n"/>
      <c r="Q72" s="29" t="n"/>
      <c r="R72" s="30">
        <f>IF(B72="","",IF(C72="IWP",COUNTIFS(Restricciones!$D$6:$D$305,B72,Restricciones!$F$6:$F$305,"Abierta")+COUNTIFS(Restricciones!$D$6:$D$305,B72,Restricciones!$F$6:$F$305,"En gestión"),IF(C72="CWA",COUNTIFS(Restricciones!$C$6:$C$305,"CWP-"&amp;MID(B72,5,4)&amp;"-*",Restricciones!$F$6:$F$305,"Abierta")+COUNTIFS(Restricciones!$C$6:$C$305,"CWP-"&amp;MID(B72,5,4)&amp;"-*",Restricciones!$F$6:$F$305,"En gestión"),COUNTIFS(Restricciones!$C$6:$C$305,IF(C72="CWP",B72,H72),Restricciones!$F$6:$F$305,"Abierta")+COUNTIFS(Restricciones!$C$6:$C$305,IF(C72="CWP",B72,H72),Restricciones!$F$6:$F$305,"En gestión"))))</f>
        <v/>
      </c>
      <c r="S72" s="30">
        <f>IF(OR(B72="",M72=""),"",IF(O72&lt;&gt;"",MAX(0,O72-M72),IF(AND($B$3&gt;M72,K72&lt;&gt;"Cerrado"),$B$3-M72,0)))</f>
        <v/>
      </c>
      <c r="T72" s="31">
        <f>IF(B72="","",IF(K72="Cerrado",IF(S72&gt;0,"Cerrado con atraso","Cerrado"),IF(S72&gt;0,"Atrasado",IF(AND(N72="",L72&lt;&gt;"",$B$3&gt;L72),"Inicio atrasado","En plazo"))))</f>
        <v/>
      </c>
      <c r="U72" s="26" t="n"/>
    </row>
    <row r="73">
      <c r="A73" s="24" t="n"/>
      <c r="B73" s="25" t="n"/>
      <c r="C73" s="25" t="n"/>
      <c r="D73" s="25" t="n"/>
      <c r="E73" s="26" t="n"/>
      <c r="F73" s="25" t="n"/>
      <c r="G73" s="25" t="n"/>
      <c r="H73" s="25" t="n"/>
      <c r="I73" s="25" t="n"/>
      <c r="J73" s="25" t="n"/>
      <c r="K73" s="25" t="n"/>
      <c r="L73" s="27" t="n"/>
      <c r="M73" s="27" t="n"/>
      <c r="N73" s="27" t="n"/>
      <c r="O73" s="27" t="n"/>
      <c r="P73" s="28" t="n"/>
      <c r="Q73" s="29" t="n"/>
      <c r="R73" s="30">
        <f>IF(B73="","",IF(C73="IWP",COUNTIFS(Restricciones!$D$6:$D$305,B73,Restricciones!$F$6:$F$305,"Abierta")+COUNTIFS(Restricciones!$D$6:$D$305,B73,Restricciones!$F$6:$F$305,"En gestión"),IF(C73="CWA",COUNTIFS(Restricciones!$C$6:$C$305,"CWP-"&amp;MID(B73,5,4)&amp;"-*",Restricciones!$F$6:$F$305,"Abierta")+COUNTIFS(Restricciones!$C$6:$C$305,"CWP-"&amp;MID(B73,5,4)&amp;"-*",Restricciones!$F$6:$F$305,"En gestión"),COUNTIFS(Restricciones!$C$6:$C$305,IF(C73="CWP",B73,H73),Restricciones!$F$6:$F$305,"Abierta")+COUNTIFS(Restricciones!$C$6:$C$305,IF(C73="CWP",B73,H73),Restricciones!$F$6:$F$305,"En gestión"))))</f>
        <v/>
      </c>
      <c r="S73" s="30">
        <f>IF(OR(B73="",M73=""),"",IF(O73&lt;&gt;"",MAX(0,O73-M73),IF(AND($B$3&gt;M73,K73&lt;&gt;"Cerrado"),$B$3-M73,0)))</f>
        <v/>
      </c>
      <c r="T73" s="31">
        <f>IF(B73="","",IF(K73="Cerrado",IF(S73&gt;0,"Cerrado con atraso","Cerrado"),IF(S73&gt;0,"Atrasado",IF(AND(N73="",L73&lt;&gt;"",$B$3&gt;L73),"Inicio atrasado","En plazo"))))</f>
        <v/>
      </c>
      <c r="U73" s="26" t="n"/>
    </row>
    <row r="74">
      <c r="A74" s="24" t="n"/>
      <c r="B74" s="25" t="n"/>
      <c r="C74" s="25" t="n"/>
      <c r="D74" s="25" t="n"/>
      <c r="E74" s="26" t="n"/>
      <c r="F74" s="25" t="n"/>
      <c r="G74" s="25" t="n"/>
      <c r="H74" s="25" t="n"/>
      <c r="I74" s="25" t="n"/>
      <c r="J74" s="25" t="n"/>
      <c r="K74" s="25" t="n"/>
      <c r="L74" s="27" t="n"/>
      <c r="M74" s="27" t="n"/>
      <c r="N74" s="27" t="n"/>
      <c r="O74" s="27" t="n"/>
      <c r="P74" s="28" t="n"/>
      <c r="Q74" s="29" t="n"/>
      <c r="R74" s="30">
        <f>IF(B74="","",IF(C74="IWP",COUNTIFS(Restricciones!$D$6:$D$305,B74,Restricciones!$F$6:$F$305,"Abierta")+COUNTIFS(Restricciones!$D$6:$D$305,B74,Restricciones!$F$6:$F$305,"En gestión"),IF(C74="CWA",COUNTIFS(Restricciones!$C$6:$C$305,"CWP-"&amp;MID(B74,5,4)&amp;"-*",Restricciones!$F$6:$F$305,"Abierta")+COUNTIFS(Restricciones!$C$6:$C$305,"CWP-"&amp;MID(B74,5,4)&amp;"-*",Restricciones!$F$6:$F$305,"En gestión"),COUNTIFS(Restricciones!$C$6:$C$305,IF(C74="CWP",B74,H74),Restricciones!$F$6:$F$305,"Abierta")+COUNTIFS(Restricciones!$C$6:$C$305,IF(C74="CWP",B74,H74),Restricciones!$F$6:$F$305,"En gestión"))))</f>
        <v/>
      </c>
      <c r="S74" s="30">
        <f>IF(OR(B74="",M74=""),"",IF(O74&lt;&gt;"",MAX(0,O74-M74),IF(AND($B$3&gt;M74,K74&lt;&gt;"Cerrado"),$B$3-M74,0)))</f>
        <v/>
      </c>
      <c r="T74" s="31">
        <f>IF(B74="","",IF(K74="Cerrado",IF(S74&gt;0,"Cerrado con atraso","Cerrado"),IF(S74&gt;0,"Atrasado",IF(AND(N74="",L74&lt;&gt;"",$B$3&gt;L74),"Inicio atrasado","En plazo"))))</f>
        <v/>
      </c>
      <c r="U74" s="26" t="n"/>
    </row>
    <row r="75">
      <c r="A75" s="24" t="n"/>
      <c r="B75" s="25" t="n"/>
      <c r="C75" s="25" t="n"/>
      <c r="D75" s="25" t="n"/>
      <c r="E75" s="26" t="n"/>
      <c r="F75" s="25" t="n"/>
      <c r="G75" s="25" t="n"/>
      <c r="H75" s="25" t="n"/>
      <c r="I75" s="25" t="n"/>
      <c r="J75" s="25" t="n"/>
      <c r="K75" s="25" t="n"/>
      <c r="L75" s="27" t="n"/>
      <c r="M75" s="27" t="n"/>
      <c r="N75" s="27" t="n"/>
      <c r="O75" s="27" t="n"/>
      <c r="P75" s="28" t="n"/>
      <c r="Q75" s="29" t="n"/>
      <c r="R75" s="30">
        <f>IF(B75="","",IF(C75="IWP",COUNTIFS(Restricciones!$D$6:$D$305,B75,Restricciones!$F$6:$F$305,"Abierta")+COUNTIFS(Restricciones!$D$6:$D$305,B75,Restricciones!$F$6:$F$305,"En gestión"),IF(C75="CWA",COUNTIFS(Restricciones!$C$6:$C$305,"CWP-"&amp;MID(B75,5,4)&amp;"-*",Restricciones!$F$6:$F$305,"Abierta")+COUNTIFS(Restricciones!$C$6:$C$305,"CWP-"&amp;MID(B75,5,4)&amp;"-*",Restricciones!$F$6:$F$305,"En gestión"),COUNTIFS(Restricciones!$C$6:$C$305,IF(C75="CWP",B75,H75),Restricciones!$F$6:$F$305,"Abierta")+COUNTIFS(Restricciones!$C$6:$C$305,IF(C75="CWP",B75,H75),Restricciones!$F$6:$F$305,"En gestión"))))</f>
        <v/>
      </c>
      <c r="S75" s="30">
        <f>IF(OR(B75="",M75=""),"",IF(O75&lt;&gt;"",MAX(0,O75-M75),IF(AND($B$3&gt;M75,K75&lt;&gt;"Cerrado"),$B$3-M75,0)))</f>
        <v/>
      </c>
      <c r="T75" s="31">
        <f>IF(B75="","",IF(K75="Cerrado",IF(S75&gt;0,"Cerrado con atraso","Cerrado"),IF(S75&gt;0,"Atrasado",IF(AND(N75="",L75&lt;&gt;"",$B$3&gt;L75),"Inicio atrasado","En plazo"))))</f>
        <v/>
      </c>
      <c r="U75" s="26" t="n"/>
    </row>
    <row r="76">
      <c r="A76" s="24" t="n"/>
      <c r="B76" s="25" t="n"/>
      <c r="C76" s="25" t="n"/>
      <c r="D76" s="25" t="n"/>
      <c r="E76" s="26" t="n"/>
      <c r="F76" s="25" t="n"/>
      <c r="G76" s="25" t="n"/>
      <c r="H76" s="25" t="n"/>
      <c r="I76" s="25" t="n"/>
      <c r="J76" s="25" t="n"/>
      <c r="K76" s="25" t="n"/>
      <c r="L76" s="27" t="n"/>
      <c r="M76" s="27" t="n"/>
      <c r="N76" s="27" t="n"/>
      <c r="O76" s="27" t="n"/>
      <c r="P76" s="28" t="n"/>
      <c r="Q76" s="29" t="n"/>
      <c r="R76" s="30">
        <f>IF(B76="","",IF(C76="IWP",COUNTIFS(Restricciones!$D$6:$D$305,B76,Restricciones!$F$6:$F$305,"Abierta")+COUNTIFS(Restricciones!$D$6:$D$305,B76,Restricciones!$F$6:$F$305,"En gestión"),IF(C76="CWA",COUNTIFS(Restricciones!$C$6:$C$305,"CWP-"&amp;MID(B76,5,4)&amp;"-*",Restricciones!$F$6:$F$305,"Abierta")+COUNTIFS(Restricciones!$C$6:$C$305,"CWP-"&amp;MID(B76,5,4)&amp;"-*",Restricciones!$F$6:$F$305,"En gestión"),COUNTIFS(Restricciones!$C$6:$C$305,IF(C76="CWP",B76,H76),Restricciones!$F$6:$F$305,"Abierta")+COUNTIFS(Restricciones!$C$6:$C$305,IF(C76="CWP",B76,H76),Restricciones!$F$6:$F$305,"En gestión"))))</f>
        <v/>
      </c>
      <c r="S76" s="30">
        <f>IF(OR(B76="",M76=""),"",IF(O76&lt;&gt;"",MAX(0,O76-M76),IF(AND($B$3&gt;M76,K76&lt;&gt;"Cerrado"),$B$3-M76,0)))</f>
        <v/>
      </c>
      <c r="T76" s="31">
        <f>IF(B76="","",IF(K76="Cerrado",IF(S76&gt;0,"Cerrado con atraso","Cerrado"),IF(S76&gt;0,"Atrasado",IF(AND(N76="",L76&lt;&gt;"",$B$3&gt;L76),"Inicio atrasado","En plazo"))))</f>
        <v/>
      </c>
      <c r="U76" s="26" t="n"/>
    </row>
    <row r="77">
      <c r="A77" s="24" t="n"/>
      <c r="B77" s="25" t="n"/>
      <c r="C77" s="25" t="n"/>
      <c r="D77" s="25" t="n"/>
      <c r="E77" s="26" t="n"/>
      <c r="F77" s="25" t="n"/>
      <c r="G77" s="25" t="n"/>
      <c r="H77" s="25" t="n"/>
      <c r="I77" s="25" t="n"/>
      <c r="J77" s="25" t="n"/>
      <c r="K77" s="25" t="n"/>
      <c r="L77" s="27" t="n"/>
      <c r="M77" s="27" t="n"/>
      <c r="N77" s="27" t="n"/>
      <c r="O77" s="27" t="n"/>
      <c r="P77" s="28" t="n"/>
      <c r="Q77" s="29" t="n"/>
      <c r="R77" s="30">
        <f>IF(B77="","",IF(C77="IWP",COUNTIFS(Restricciones!$D$6:$D$305,B77,Restricciones!$F$6:$F$305,"Abierta")+COUNTIFS(Restricciones!$D$6:$D$305,B77,Restricciones!$F$6:$F$305,"En gestión"),IF(C77="CWA",COUNTIFS(Restricciones!$C$6:$C$305,"CWP-"&amp;MID(B77,5,4)&amp;"-*",Restricciones!$F$6:$F$305,"Abierta")+COUNTIFS(Restricciones!$C$6:$C$305,"CWP-"&amp;MID(B77,5,4)&amp;"-*",Restricciones!$F$6:$F$305,"En gestión"),COUNTIFS(Restricciones!$C$6:$C$305,IF(C77="CWP",B77,H77),Restricciones!$F$6:$F$305,"Abierta")+COUNTIFS(Restricciones!$C$6:$C$305,IF(C77="CWP",B77,H77),Restricciones!$F$6:$F$305,"En gestión"))))</f>
        <v/>
      </c>
      <c r="S77" s="30">
        <f>IF(OR(B77="",M77=""),"",IF(O77&lt;&gt;"",MAX(0,O77-M77),IF(AND($B$3&gt;M77,K77&lt;&gt;"Cerrado"),$B$3-M77,0)))</f>
        <v/>
      </c>
      <c r="T77" s="31">
        <f>IF(B77="","",IF(K77="Cerrado",IF(S77&gt;0,"Cerrado con atraso","Cerrado"),IF(S77&gt;0,"Atrasado",IF(AND(N77="",L77&lt;&gt;"",$B$3&gt;L77),"Inicio atrasado","En plazo"))))</f>
        <v/>
      </c>
      <c r="U77" s="26" t="n"/>
    </row>
    <row r="78">
      <c r="A78" s="24" t="n"/>
      <c r="B78" s="25" t="n"/>
      <c r="C78" s="25" t="n"/>
      <c r="D78" s="25" t="n"/>
      <c r="E78" s="26" t="n"/>
      <c r="F78" s="25" t="n"/>
      <c r="G78" s="25" t="n"/>
      <c r="H78" s="25" t="n"/>
      <c r="I78" s="25" t="n"/>
      <c r="J78" s="25" t="n"/>
      <c r="K78" s="25" t="n"/>
      <c r="L78" s="27" t="n"/>
      <c r="M78" s="27" t="n"/>
      <c r="N78" s="27" t="n"/>
      <c r="O78" s="27" t="n"/>
      <c r="P78" s="28" t="n"/>
      <c r="Q78" s="29" t="n"/>
      <c r="R78" s="30">
        <f>IF(B78="","",IF(C78="IWP",COUNTIFS(Restricciones!$D$6:$D$305,B78,Restricciones!$F$6:$F$305,"Abierta")+COUNTIFS(Restricciones!$D$6:$D$305,B78,Restricciones!$F$6:$F$305,"En gestión"),IF(C78="CWA",COUNTIFS(Restricciones!$C$6:$C$305,"CWP-"&amp;MID(B78,5,4)&amp;"-*",Restricciones!$F$6:$F$305,"Abierta")+COUNTIFS(Restricciones!$C$6:$C$305,"CWP-"&amp;MID(B78,5,4)&amp;"-*",Restricciones!$F$6:$F$305,"En gestión"),COUNTIFS(Restricciones!$C$6:$C$305,IF(C78="CWP",B78,H78),Restricciones!$F$6:$F$305,"Abierta")+COUNTIFS(Restricciones!$C$6:$C$305,IF(C78="CWP",B78,H78),Restricciones!$F$6:$F$305,"En gestión"))))</f>
        <v/>
      </c>
      <c r="S78" s="30">
        <f>IF(OR(B78="",M78=""),"",IF(O78&lt;&gt;"",MAX(0,O78-M78),IF(AND($B$3&gt;M78,K78&lt;&gt;"Cerrado"),$B$3-M78,0)))</f>
        <v/>
      </c>
      <c r="T78" s="31">
        <f>IF(B78="","",IF(K78="Cerrado",IF(S78&gt;0,"Cerrado con atraso","Cerrado"),IF(S78&gt;0,"Atrasado",IF(AND(N78="",L78&lt;&gt;"",$B$3&gt;L78),"Inicio atrasado","En plazo"))))</f>
        <v/>
      </c>
      <c r="U78" s="26" t="n"/>
    </row>
    <row r="79">
      <c r="A79" s="24" t="n"/>
      <c r="B79" s="25" t="n"/>
      <c r="C79" s="25" t="n"/>
      <c r="D79" s="25" t="n"/>
      <c r="E79" s="26" t="n"/>
      <c r="F79" s="25" t="n"/>
      <c r="G79" s="25" t="n"/>
      <c r="H79" s="25" t="n"/>
      <c r="I79" s="25" t="n"/>
      <c r="J79" s="25" t="n"/>
      <c r="K79" s="25" t="n"/>
      <c r="L79" s="27" t="n"/>
      <c r="M79" s="27" t="n"/>
      <c r="N79" s="27" t="n"/>
      <c r="O79" s="27" t="n"/>
      <c r="P79" s="28" t="n"/>
      <c r="Q79" s="29" t="n"/>
      <c r="R79" s="30">
        <f>IF(B79="","",IF(C79="IWP",COUNTIFS(Restricciones!$D$6:$D$305,B79,Restricciones!$F$6:$F$305,"Abierta")+COUNTIFS(Restricciones!$D$6:$D$305,B79,Restricciones!$F$6:$F$305,"En gestión"),IF(C79="CWA",COUNTIFS(Restricciones!$C$6:$C$305,"CWP-"&amp;MID(B79,5,4)&amp;"-*",Restricciones!$F$6:$F$305,"Abierta")+COUNTIFS(Restricciones!$C$6:$C$305,"CWP-"&amp;MID(B79,5,4)&amp;"-*",Restricciones!$F$6:$F$305,"En gestión"),COUNTIFS(Restricciones!$C$6:$C$305,IF(C79="CWP",B79,H79),Restricciones!$F$6:$F$305,"Abierta")+COUNTIFS(Restricciones!$C$6:$C$305,IF(C79="CWP",B79,H79),Restricciones!$F$6:$F$305,"En gestión"))))</f>
        <v/>
      </c>
      <c r="S79" s="30">
        <f>IF(OR(B79="",M79=""),"",IF(O79&lt;&gt;"",MAX(0,O79-M79),IF(AND($B$3&gt;M79,K79&lt;&gt;"Cerrado"),$B$3-M79,0)))</f>
        <v/>
      </c>
      <c r="T79" s="31">
        <f>IF(B79="","",IF(K79="Cerrado",IF(S79&gt;0,"Cerrado con atraso","Cerrado"),IF(S79&gt;0,"Atrasado",IF(AND(N79="",L79&lt;&gt;"",$B$3&gt;L79),"Inicio atrasado","En plazo"))))</f>
        <v/>
      </c>
      <c r="U79" s="26" t="n"/>
    </row>
    <row r="80">
      <c r="A80" s="24" t="n"/>
      <c r="B80" s="25" t="n"/>
      <c r="C80" s="25" t="n"/>
      <c r="D80" s="25" t="n"/>
      <c r="E80" s="26" t="n"/>
      <c r="F80" s="25" t="n"/>
      <c r="G80" s="25" t="n"/>
      <c r="H80" s="25" t="n"/>
      <c r="I80" s="25" t="n"/>
      <c r="J80" s="25" t="n"/>
      <c r="K80" s="25" t="n"/>
      <c r="L80" s="27" t="n"/>
      <c r="M80" s="27" t="n"/>
      <c r="N80" s="27" t="n"/>
      <c r="O80" s="27" t="n"/>
      <c r="P80" s="28" t="n"/>
      <c r="Q80" s="29" t="n"/>
      <c r="R80" s="30">
        <f>IF(B80="","",IF(C80="IWP",COUNTIFS(Restricciones!$D$6:$D$305,B80,Restricciones!$F$6:$F$305,"Abierta")+COUNTIFS(Restricciones!$D$6:$D$305,B80,Restricciones!$F$6:$F$305,"En gestión"),IF(C80="CWA",COUNTIFS(Restricciones!$C$6:$C$305,"CWP-"&amp;MID(B80,5,4)&amp;"-*",Restricciones!$F$6:$F$305,"Abierta")+COUNTIFS(Restricciones!$C$6:$C$305,"CWP-"&amp;MID(B80,5,4)&amp;"-*",Restricciones!$F$6:$F$305,"En gestión"),COUNTIFS(Restricciones!$C$6:$C$305,IF(C80="CWP",B80,H80),Restricciones!$F$6:$F$305,"Abierta")+COUNTIFS(Restricciones!$C$6:$C$305,IF(C80="CWP",B80,H80),Restricciones!$F$6:$F$305,"En gestión"))))</f>
        <v/>
      </c>
      <c r="S80" s="30">
        <f>IF(OR(B80="",M80=""),"",IF(O80&lt;&gt;"",MAX(0,O80-M80),IF(AND($B$3&gt;M80,K80&lt;&gt;"Cerrado"),$B$3-M80,0)))</f>
        <v/>
      </c>
      <c r="T80" s="31">
        <f>IF(B80="","",IF(K80="Cerrado",IF(S80&gt;0,"Cerrado con atraso","Cerrado"),IF(S80&gt;0,"Atrasado",IF(AND(N80="",L80&lt;&gt;"",$B$3&gt;L80),"Inicio atrasado","En plazo"))))</f>
        <v/>
      </c>
      <c r="U80" s="26" t="n"/>
    </row>
    <row r="81">
      <c r="A81" s="24" t="n"/>
      <c r="B81" s="25" t="n"/>
      <c r="C81" s="25" t="n"/>
      <c r="D81" s="25" t="n"/>
      <c r="E81" s="26" t="n"/>
      <c r="F81" s="25" t="n"/>
      <c r="G81" s="25" t="n"/>
      <c r="H81" s="25" t="n"/>
      <c r="I81" s="25" t="n"/>
      <c r="J81" s="25" t="n"/>
      <c r="K81" s="25" t="n"/>
      <c r="L81" s="27" t="n"/>
      <c r="M81" s="27" t="n"/>
      <c r="N81" s="27" t="n"/>
      <c r="O81" s="27" t="n"/>
      <c r="P81" s="28" t="n"/>
      <c r="Q81" s="29" t="n"/>
      <c r="R81" s="30">
        <f>IF(B81="","",IF(C81="IWP",COUNTIFS(Restricciones!$D$6:$D$305,B81,Restricciones!$F$6:$F$305,"Abierta")+COUNTIFS(Restricciones!$D$6:$D$305,B81,Restricciones!$F$6:$F$305,"En gestión"),IF(C81="CWA",COUNTIFS(Restricciones!$C$6:$C$305,"CWP-"&amp;MID(B81,5,4)&amp;"-*",Restricciones!$F$6:$F$305,"Abierta")+COUNTIFS(Restricciones!$C$6:$C$305,"CWP-"&amp;MID(B81,5,4)&amp;"-*",Restricciones!$F$6:$F$305,"En gestión"),COUNTIFS(Restricciones!$C$6:$C$305,IF(C81="CWP",B81,H81),Restricciones!$F$6:$F$305,"Abierta")+COUNTIFS(Restricciones!$C$6:$C$305,IF(C81="CWP",B81,H81),Restricciones!$F$6:$F$305,"En gestión"))))</f>
        <v/>
      </c>
      <c r="S81" s="30">
        <f>IF(OR(B81="",M81=""),"",IF(O81&lt;&gt;"",MAX(0,O81-M81),IF(AND($B$3&gt;M81,K81&lt;&gt;"Cerrado"),$B$3-M81,0)))</f>
        <v/>
      </c>
      <c r="T81" s="31">
        <f>IF(B81="","",IF(K81="Cerrado",IF(S81&gt;0,"Cerrado con atraso","Cerrado"),IF(S81&gt;0,"Atrasado",IF(AND(N81="",L81&lt;&gt;"",$B$3&gt;L81),"Inicio atrasado","En plazo"))))</f>
        <v/>
      </c>
      <c r="U81" s="26" t="n"/>
    </row>
    <row r="82">
      <c r="A82" s="24" t="n"/>
      <c r="B82" s="25" t="n"/>
      <c r="C82" s="25" t="n"/>
      <c r="D82" s="25" t="n"/>
      <c r="E82" s="26" t="n"/>
      <c r="F82" s="25" t="n"/>
      <c r="G82" s="25" t="n"/>
      <c r="H82" s="25" t="n"/>
      <c r="I82" s="25" t="n"/>
      <c r="J82" s="25" t="n"/>
      <c r="K82" s="25" t="n"/>
      <c r="L82" s="27" t="n"/>
      <c r="M82" s="27" t="n"/>
      <c r="N82" s="27" t="n"/>
      <c r="O82" s="27" t="n"/>
      <c r="P82" s="28" t="n"/>
      <c r="Q82" s="29" t="n"/>
      <c r="R82" s="30">
        <f>IF(B82="","",IF(C82="IWP",COUNTIFS(Restricciones!$D$6:$D$305,B82,Restricciones!$F$6:$F$305,"Abierta")+COUNTIFS(Restricciones!$D$6:$D$305,B82,Restricciones!$F$6:$F$305,"En gestión"),IF(C82="CWA",COUNTIFS(Restricciones!$C$6:$C$305,"CWP-"&amp;MID(B82,5,4)&amp;"-*",Restricciones!$F$6:$F$305,"Abierta")+COUNTIFS(Restricciones!$C$6:$C$305,"CWP-"&amp;MID(B82,5,4)&amp;"-*",Restricciones!$F$6:$F$305,"En gestión"),COUNTIFS(Restricciones!$C$6:$C$305,IF(C82="CWP",B82,H82),Restricciones!$F$6:$F$305,"Abierta")+COUNTIFS(Restricciones!$C$6:$C$305,IF(C82="CWP",B82,H82),Restricciones!$F$6:$F$305,"En gestión"))))</f>
        <v/>
      </c>
      <c r="S82" s="30">
        <f>IF(OR(B82="",M82=""),"",IF(O82&lt;&gt;"",MAX(0,O82-M82),IF(AND($B$3&gt;M82,K82&lt;&gt;"Cerrado"),$B$3-M82,0)))</f>
        <v/>
      </c>
      <c r="T82" s="31">
        <f>IF(B82="","",IF(K82="Cerrado",IF(S82&gt;0,"Cerrado con atraso","Cerrado"),IF(S82&gt;0,"Atrasado",IF(AND(N82="",L82&lt;&gt;"",$B$3&gt;L82),"Inicio atrasado","En plazo"))))</f>
        <v/>
      </c>
      <c r="U82" s="26" t="n"/>
    </row>
    <row r="83">
      <c r="A83" s="24" t="n"/>
      <c r="B83" s="25" t="n"/>
      <c r="C83" s="25" t="n"/>
      <c r="D83" s="25" t="n"/>
      <c r="E83" s="26" t="n"/>
      <c r="F83" s="25" t="n"/>
      <c r="G83" s="25" t="n"/>
      <c r="H83" s="25" t="n"/>
      <c r="I83" s="25" t="n"/>
      <c r="J83" s="25" t="n"/>
      <c r="K83" s="25" t="n"/>
      <c r="L83" s="27" t="n"/>
      <c r="M83" s="27" t="n"/>
      <c r="N83" s="27" t="n"/>
      <c r="O83" s="27" t="n"/>
      <c r="P83" s="28" t="n"/>
      <c r="Q83" s="29" t="n"/>
      <c r="R83" s="30">
        <f>IF(B83="","",IF(C83="IWP",COUNTIFS(Restricciones!$D$6:$D$305,B83,Restricciones!$F$6:$F$305,"Abierta")+COUNTIFS(Restricciones!$D$6:$D$305,B83,Restricciones!$F$6:$F$305,"En gestión"),IF(C83="CWA",COUNTIFS(Restricciones!$C$6:$C$305,"CWP-"&amp;MID(B83,5,4)&amp;"-*",Restricciones!$F$6:$F$305,"Abierta")+COUNTIFS(Restricciones!$C$6:$C$305,"CWP-"&amp;MID(B83,5,4)&amp;"-*",Restricciones!$F$6:$F$305,"En gestión"),COUNTIFS(Restricciones!$C$6:$C$305,IF(C83="CWP",B83,H83),Restricciones!$F$6:$F$305,"Abierta")+COUNTIFS(Restricciones!$C$6:$C$305,IF(C83="CWP",B83,H83),Restricciones!$F$6:$F$305,"En gestión"))))</f>
        <v/>
      </c>
      <c r="S83" s="30">
        <f>IF(OR(B83="",M83=""),"",IF(O83&lt;&gt;"",MAX(0,O83-M83),IF(AND($B$3&gt;M83,K83&lt;&gt;"Cerrado"),$B$3-M83,0)))</f>
        <v/>
      </c>
      <c r="T83" s="31">
        <f>IF(B83="","",IF(K83="Cerrado",IF(S83&gt;0,"Cerrado con atraso","Cerrado"),IF(S83&gt;0,"Atrasado",IF(AND(N83="",L83&lt;&gt;"",$B$3&gt;L83),"Inicio atrasado","En plazo"))))</f>
        <v/>
      </c>
      <c r="U83" s="26" t="n"/>
    </row>
    <row r="84">
      <c r="A84" s="24" t="n"/>
      <c r="B84" s="25" t="n"/>
      <c r="C84" s="25" t="n"/>
      <c r="D84" s="25" t="n"/>
      <c r="E84" s="26" t="n"/>
      <c r="F84" s="25" t="n"/>
      <c r="G84" s="25" t="n"/>
      <c r="H84" s="25" t="n"/>
      <c r="I84" s="25" t="n"/>
      <c r="J84" s="25" t="n"/>
      <c r="K84" s="25" t="n"/>
      <c r="L84" s="27" t="n"/>
      <c r="M84" s="27" t="n"/>
      <c r="N84" s="27" t="n"/>
      <c r="O84" s="27" t="n"/>
      <c r="P84" s="28" t="n"/>
      <c r="Q84" s="29" t="n"/>
      <c r="R84" s="30">
        <f>IF(B84="","",IF(C84="IWP",COUNTIFS(Restricciones!$D$6:$D$305,B84,Restricciones!$F$6:$F$305,"Abierta")+COUNTIFS(Restricciones!$D$6:$D$305,B84,Restricciones!$F$6:$F$305,"En gestión"),IF(C84="CWA",COUNTIFS(Restricciones!$C$6:$C$305,"CWP-"&amp;MID(B84,5,4)&amp;"-*",Restricciones!$F$6:$F$305,"Abierta")+COUNTIFS(Restricciones!$C$6:$C$305,"CWP-"&amp;MID(B84,5,4)&amp;"-*",Restricciones!$F$6:$F$305,"En gestión"),COUNTIFS(Restricciones!$C$6:$C$305,IF(C84="CWP",B84,H84),Restricciones!$F$6:$F$305,"Abierta")+COUNTIFS(Restricciones!$C$6:$C$305,IF(C84="CWP",B84,H84),Restricciones!$F$6:$F$305,"En gestión"))))</f>
        <v/>
      </c>
      <c r="S84" s="30">
        <f>IF(OR(B84="",M84=""),"",IF(O84&lt;&gt;"",MAX(0,O84-M84),IF(AND($B$3&gt;M84,K84&lt;&gt;"Cerrado"),$B$3-M84,0)))</f>
        <v/>
      </c>
      <c r="T84" s="31">
        <f>IF(B84="","",IF(K84="Cerrado",IF(S84&gt;0,"Cerrado con atraso","Cerrado"),IF(S84&gt;0,"Atrasado",IF(AND(N84="",L84&lt;&gt;"",$B$3&gt;L84),"Inicio atrasado","En plazo"))))</f>
        <v/>
      </c>
      <c r="U84" s="26" t="n"/>
    </row>
    <row r="85">
      <c r="A85" s="24" t="n"/>
      <c r="B85" s="25" t="n"/>
      <c r="C85" s="25" t="n"/>
      <c r="D85" s="25" t="n"/>
      <c r="E85" s="26" t="n"/>
      <c r="F85" s="25" t="n"/>
      <c r="G85" s="25" t="n"/>
      <c r="H85" s="25" t="n"/>
      <c r="I85" s="25" t="n"/>
      <c r="J85" s="25" t="n"/>
      <c r="K85" s="25" t="n"/>
      <c r="L85" s="27" t="n"/>
      <c r="M85" s="27" t="n"/>
      <c r="N85" s="27" t="n"/>
      <c r="O85" s="27" t="n"/>
      <c r="P85" s="28" t="n"/>
      <c r="Q85" s="29" t="n"/>
      <c r="R85" s="30">
        <f>IF(B85="","",IF(C85="IWP",COUNTIFS(Restricciones!$D$6:$D$305,B85,Restricciones!$F$6:$F$305,"Abierta")+COUNTIFS(Restricciones!$D$6:$D$305,B85,Restricciones!$F$6:$F$305,"En gestión"),IF(C85="CWA",COUNTIFS(Restricciones!$C$6:$C$305,"CWP-"&amp;MID(B85,5,4)&amp;"-*",Restricciones!$F$6:$F$305,"Abierta")+COUNTIFS(Restricciones!$C$6:$C$305,"CWP-"&amp;MID(B85,5,4)&amp;"-*",Restricciones!$F$6:$F$305,"En gestión"),COUNTIFS(Restricciones!$C$6:$C$305,IF(C85="CWP",B85,H85),Restricciones!$F$6:$F$305,"Abierta")+COUNTIFS(Restricciones!$C$6:$C$305,IF(C85="CWP",B85,H85),Restricciones!$F$6:$F$305,"En gestión"))))</f>
        <v/>
      </c>
      <c r="S85" s="30">
        <f>IF(OR(B85="",M85=""),"",IF(O85&lt;&gt;"",MAX(0,O85-M85),IF(AND($B$3&gt;M85,K85&lt;&gt;"Cerrado"),$B$3-M85,0)))</f>
        <v/>
      </c>
      <c r="T85" s="31">
        <f>IF(B85="","",IF(K85="Cerrado",IF(S85&gt;0,"Cerrado con atraso","Cerrado"),IF(S85&gt;0,"Atrasado",IF(AND(N85="",L85&lt;&gt;"",$B$3&gt;L85),"Inicio atrasado","En plazo"))))</f>
        <v/>
      </c>
      <c r="U85" s="26" t="n"/>
    </row>
    <row r="86">
      <c r="A86" s="24" t="n"/>
      <c r="B86" s="25" t="n"/>
      <c r="C86" s="25" t="n"/>
      <c r="D86" s="25" t="n"/>
      <c r="E86" s="26" t="n"/>
      <c r="F86" s="25" t="n"/>
      <c r="G86" s="25" t="n"/>
      <c r="H86" s="25" t="n"/>
      <c r="I86" s="25" t="n"/>
      <c r="J86" s="25" t="n"/>
      <c r="K86" s="25" t="n"/>
      <c r="L86" s="27" t="n"/>
      <c r="M86" s="27" t="n"/>
      <c r="N86" s="27" t="n"/>
      <c r="O86" s="27" t="n"/>
      <c r="P86" s="28" t="n"/>
      <c r="Q86" s="29" t="n"/>
      <c r="R86" s="30">
        <f>IF(B86="","",IF(C86="IWP",COUNTIFS(Restricciones!$D$6:$D$305,B86,Restricciones!$F$6:$F$305,"Abierta")+COUNTIFS(Restricciones!$D$6:$D$305,B86,Restricciones!$F$6:$F$305,"En gestión"),IF(C86="CWA",COUNTIFS(Restricciones!$C$6:$C$305,"CWP-"&amp;MID(B86,5,4)&amp;"-*",Restricciones!$F$6:$F$305,"Abierta")+COUNTIFS(Restricciones!$C$6:$C$305,"CWP-"&amp;MID(B86,5,4)&amp;"-*",Restricciones!$F$6:$F$305,"En gestión"),COUNTIFS(Restricciones!$C$6:$C$305,IF(C86="CWP",B86,H86),Restricciones!$F$6:$F$305,"Abierta")+COUNTIFS(Restricciones!$C$6:$C$305,IF(C86="CWP",B86,H86),Restricciones!$F$6:$F$305,"En gestión"))))</f>
        <v/>
      </c>
      <c r="S86" s="30">
        <f>IF(OR(B86="",M86=""),"",IF(O86&lt;&gt;"",MAX(0,O86-M86),IF(AND($B$3&gt;M86,K86&lt;&gt;"Cerrado"),$B$3-M86,0)))</f>
        <v/>
      </c>
      <c r="T86" s="31">
        <f>IF(B86="","",IF(K86="Cerrado",IF(S86&gt;0,"Cerrado con atraso","Cerrado"),IF(S86&gt;0,"Atrasado",IF(AND(N86="",L86&lt;&gt;"",$B$3&gt;L86),"Inicio atrasado","En plazo"))))</f>
        <v/>
      </c>
      <c r="U86" s="26" t="n"/>
    </row>
    <row r="87">
      <c r="A87" s="24" t="n"/>
      <c r="B87" s="25" t="n"/>
      <c r="C87" s="25" t="n"/>
      <c r="D87" s="25" t="n"/>
      <c r="E87" s="26" t="n"/>
      <c r="F87" s="25" t="n"/>
      <c r="G87" s="25" t="n"/>
      <c r="H87" s="25" t="n"/>
      <c r="I87" s="25" t="n"/>
      <c r="J87" s="25" t="n"/>
      <c r="K87" s="25" t="n"/>
      <c r="L87" s="27" t="n"/>
      <c r="M87" s="27" t="n"/>
      <c r="N87" s="27" t="n"/>
      <c r="O87" s="27" t="n"/>
      <c r="P87" s="28" t="n"/>
      <c r="Q87" s="29" t="n"/>
      <c r="R87" s="30">
        <f>IF(B87="","",IF(C87="IWP",COUNTIFS(Restricciones!$D$6:$D$305,B87,Restricciones!$F$6:$F$305,"Abierta")+COUNTIFS(Restricciones!$D$6:$D$305,B87,Restricciones!$F$6:$F$305,"En gestión"),IF(C87="CWA",COUNTIFS(Restricciones!$C$6:$C$305,"CWP-"&amp;MID(B87,5,4)&amp;"-*",Restricciones!$F$6:$F$305,"Abierta")+COUNTIFS(Restricciones!$C$6:$C$305,"CWP-"&amp;MID(B87,5,4)&amp;"-*",Restricciones!$F$6:$F$305,"En gestión"),COUNTIFS(Restricciones!$C$6:$C$305,IF(C87="CWP",B87,H87),Restricciones!$F$6:$F$305,"Abierta")+COUNTIFS(Restricciones!$C$6:$C$305,IF(C87="CWP",B87,H87),Restricciones!$F$6:$F$305,"En gestión"))))</f>
        <v/>
      </c>
      <c r="S87" s="30">
        <f>IF(OR(B87="",M87=""),"",IF(O87&lt;&gt;"",MAX(0,O87-M87),IF(AND($B$3&gt;M87,K87&lt;&gt;"Cerrado"),$B$3-M87,0)))</f>
        <v/>
      </c>
      <c r="T87" s="31">
        <f>IF(B87="","",IF(K87="Cerrado",IF(S87&gt;0,"Cerrado con atraso","Cerrado"),IF(S87&gt;0,"Atrasado",IF(AND(N87="",L87&lt;&gt;"",$B$3&gt;L87),"Inicio atrasado","En plazo"))))</f>
        <v/>
      </c>
      <c r="U87" s="26" t="n"/>
    </row>
    <row r="88">
      <c r="A88" s="24" t="n"/>
      <c r="B88" s="25" t="n"/>
      <c r="C88" s="25" t="n"/>
      <c r="D88" s="25" t="n"/>
      <c r="E88" s="26" t="n"/>
      <c r="F88" s="25" t="n"/>
      <c r="G88" s="25" t="n"/>
      <c r="H88" s="25" t="n"/>
      <c r="I88" s="25" t="n"/>
      <c r="J88" s="25" t="n"/>
      <c r="K88" s="25" t="n"/>
      <c r="L88" s="27" t="n"/>
      <c r="M88" s="27" t="n"/>
      <c r="N88" s="27" t="n"/>
      <c r="O88" s="27" t="n"/>
      <c r="P88" s="28" t="n"/>
      <c r="Q88" s="29" t="n"/>
      <c r="R88" s="30">
        <f>IF(B88="","",IF(C88="IWP",COUNTIFS(Restricciones!$D$6:$D$305,B88,Restricciones!$F$6:$F$305,"Abierta")+COUNTIFS(Restricciones!$D$6:$D$305,B88,Restricciones!$F$6:$F$305,"En gestión"),IF(C88="CWA",COUNTIFS(Restricciones!$C$6:$C$305,"CWP-"&amp;MID(B88,5,4)&amp;"-*",Restricciones!$F$6:$F$305,"Abierta")+COUNTIFS(Restricciones!$C$6:$C$305,"CWP-"&amp;MID(B88,5,4)&amp;"-*",Restricciones!$F$6:$F$305,"En gestión"),COUNTIFS(Restricciones!$C$6:$C$305,IF(C88="CWP",B88,H88),Restricciones!$F$6:$F$305,"Abierta")+COUNTIFS(Restricciones!$C$6:$C$305,IF(C88="CWP",B88,H88),Restricciones!$F$6:$F$305,"En gestión"))))</f>
        <v/>
      </c>
      <c r="S88" s="30">
        <f>IF(OR(B88="",M88=""),"",IF(O88&lt;&gt;"",MAX(0,O88-M88),IF(AND($B$3&gt;M88,K88&lt;&gt;"Cerrado"),$B$3-M88,0)))</f>
        <v/>
      </c>
      <c r="T88" s="31">
        <f>IF(B88="","",IF(K88="Cerrado",IF(S88&gt;0,"Cerrado con atraso","Cerrado"),IF(S88&gt;0,"Atrasado",IF(AND(N88="",L88&lt;&gt;"",$B$3&gt;L88),"Inicio atrasado","En plazo"))))</f>
        <v/>
      </c>
      <c r="U88" s="26" t="n"/>
    </row>
    <row r="89">
      <c r="A89" s="24" t="n"/>
      <c r="B89" s="25" t="n"/>
      <c r="C89" s="25" t="n"/>
      <c r="D89" s="25" t="n"/>
      <c r="E89" s="26" t="n"/>
      <c r="F89" s="25" t="n"/>
      <c r="G89" s="25" t="n"/>
      <c r="H89" s="25" t="n"/>
      <c r="I89" s="25" t="n"/>
      <c r="J89" s="25" t="n"/>
      <c r="K89" s="25" t="n"/>
      <c r="L89" s="27" t="n"/>
      <c r="M89" s="27" t="n"/>
      <c r="N89" s="27" t="n"/>
      <c r="O89" s="27" t="n"/>
      <c r="P89" s="28" t="n"/>
      <c r="Q89" s="29" t="n"/>
      <c r="R89" s="30">
        <f>IF(B89="","",IF(C89="IWP",COUNTIFS(Restricciones!$D$6:$D$305,B89,Restricciones!$F$6:$F$305,"Abierta")+COUNTIFS(Restricciones!$D$6:$D$305,B89,Restricciones!$F$6:$F$305,"En gestión"),IF(C89="CWA",COUNTIFS(Restricciones!$C$6:$C$305,"CWP-"&amp;MID(B89,5,4)&amp;"-*",Restricciones!$F$6:$F$305,"Abierta")+COUNTIFS(Restricciones!$C$6:$C$305,"CWP-"&amp;MID(B89,5,4)&amp;"-*",Restricciones!$F$6:$F$305,"En gestión"),COUNTIFS(Restricciones!$C$6:$C$305,IF(C89="CWP",B89,H89),Restricciones!$F$6:$F$305,"Abierta")+COUNTIFS(Restricciones!$C$6:$C$305,IF(C89="CWP",B89,H89),Restricciones!$F$6:$F$305,"En gestión"))))</f>
        <v/>
      </c>
      <c r="S89" s="30">
        <f>IF(OR(B89="",M89=""),"",IF(O89&lt;&gt;"",MAX(0,O89-M89),IF(AND($B$3&gt;M89,K89&lt;&gt;"Cerrado"),$B$3-M89,0)))</f>
        <v/>
      </c>
      <c r="T89" s="31">
        <f>IF(B89="","",IF(K89="Cerrado",IF(S89&gt;0,"Cerrado con atraso","Cerrado"),IF(S89&gt;0,"Atrasado",IF(AND(N89="",L89&lt;&gt;"",$B$3&gt;L89),"Inicio atrasado","En plazo"))))</f>
        <v/>
      </c>
      <c r="U89" s="26" t="n"/>
    </row>
    <row r="90">
      <c r="A90" s="24" t="n"/>
      <c r="B90" s="25" t="n"/>
      <c r="C90" s="25" t="n"/>
      <c r="D90" s="25" t="n"/>
      <c r="E90" s="26" t="n"/>
      <c r="F90" s="25" t="n"/>
      <c r="G90" s="25" t="n"/>
      <c r="H90" s="25" t="n"/>
      <c r="I90" s="25" t="n"/>
      <c r="J90" s="25" t="n"/>
      <c r="K90" s="25" t="n"/>
      <c r="L90" s="27" t="n"/>
      <c r="M90" s="27" t="n"/>
      <c r="N90" s="27" t="n"/>
      <c r="O90" s="27" t="n"/>
      <c r="P90" s="28" t="n"/>
      <c r="Q90" s="29" t="n"/>
      <c r="R90" s="30">
        <f>IF(B90="","",IF(C90="IWP",COUNTIFS(Restricciones!$D$6:$D$305,B90,Restricciones!$F$6:$F$305,"Abierta")+COUNTIFS(Restricciones!$D$6:$D$305,B90,Restricciones!$F$6:$F$305,"En gestión"),IF(C90="CWA",COUNTIFS(Restricciones!$C$6:$C$305,"CWP-"&amp;MID(B90,5,4)&amp;"-*",Restricciones!$F$6:$F$305,"Abierta")+COUNTIFS(Restricciones!$C$6:$C$305,"CWP-"&amp;MID(B90,5,4)&amp;"-*",Restricciones!$F$6:$F$305,"En gestión"),COUNTIFS(Restricciones!$C$6:$C$305,IF(C90="CWP",B90,H90),Restricciones!$F$6:$F$305,"Abierta")+COUNTIFS(Restricciones!$C$6:$C$305,IF(C90="CWP",B90,H90),Restricciones!$F$6:$F$305,"En gestión"))))</f>
        <v/>
      </c>
      <c r="S90" s="30">
        <f>IF(OR(B90="",M90=""),"",IF(O90&lt;&gt;"",MAX(0,O90-M90),IF(AND($B$3&gt;M90,K90&lt;&gt;"Cerrado"),$B$3-M90,0)))</f>
        <v/>
      </c>
      <c r="T90" s="31">
        <f>IF(B90="","",IF(K90="Cerrado",IF(S90&gt;0,"Cerrado con atraso","Cerrado"),IF(S90&gt;0,"Atrasado",IF(AND(N90="",L90&lt;&gt;"",$B$3&gt;L90),"Inicio atrasado","En plazo"))))</f>
        <v/>
      </c>
      <c r="U90" s="26" t="n"/>
    </row>
    <row r="91">
      <c r="A91" s="24" t="n"/>
      <c r="B91" s="25" t="n"/>
      <c r="C91" s="25" t="n"/>
      <c r="D91" s="25" t="n"/>
      <c r="E91" s="26" t="n"/>
      <c r="F91" s="25" t="n"/>
      <c r="G91" s="25" t="n"/>
      <c r="H91" s="25" t="n"/>
      <c r="I91" s="25" t="n"/>
      <c r="J91" s="25" t="n"/>
      <c r="K91" s="25" t="n"/>
      <c r="L91" s="27" t="n"/>
      <c r="M91" s="27" t="n"/>
      <c r="N91" s="27" t="n"/>
      <c r="O91" s="27" t="n"/>
      <c r="P91" s="28" t="n"/>
      <c r="Q91" s="29" t="n"/>
      <c r="R91" s="30">
        <f>IF(B91="","",IF(C91="IWP",COUNTIFS(Restricciones!$D$6:$D$305,B91,Restricciones!$F$6:$F$305,"Abierta")+COUNTIFS(Restricciones!$D$6:$D$305,B91,Restricciones!$F$6:$F$305,"En gestión"),IF(C91="CWA",COUNTIFS(Restricciones!$C$6:$C$305,"CWP-"&amp;MID(B91,5,4)&amp;"-*",Restricciones!$F$6:$F$305,"Abierta")+COUNTIFS(Restricciones!$C$6:$C$305,"CWP-"&amp;MID(B91,5,4)&amp;"-*",Restricciones!$F$6:$F$305,"En gestión"),COUNTIFS(Restricciones!$C$6:$C$305,IF(C91="CWP",B91,H91),Restricciones!$F$6:$F$305,"Abierta")+COUNTIFS(Restricciones!$C$6:$C$305,IF(C91="CWP",B91,H91),Restricciones!$F$6:$F$305,"En gestión"))))</f>
        <v/>
      </c>
      <c r="S91" s="30">
        <f>IF(OR(B91="",M91=""),"",IF(O91&lt;&gt;"",MAX(0,O91-M91),IF(AND($B$3&gt;M91,K91&lt;&gt;"Cerrado"),$B$3-M91,0)))</f>
        <v/>
      </c>
      <c r="T91" s="31">
        <f>IF(B91="","",IF(K91="Cerrado",IF(S91&gt;0,"Cerrado con atraso","Cerrado"),IF(S91&gt;0,"Atrasado",IF(AND(N91="",L91&lt;&gt;"",$B$3&gt;L91),"Inicio atrasado","En plazo"))))</f>
        <v/>
      </c>
      <c r="U91" s="26" t="n"/>
    </row>
    <row r="92">
      <c r="A92" s="24" t="n"/>
      <c r="B92" s="25" t="n"/>
      <c r="C92" s="25" t="n"/>
      <c r="D92" s="25" t="n"/>
      <c r="E92" s="26" t="n"/>
      <c r="F92" s="25" t="n"/>
      <c r="G92" s="25" t="n"/>
      <c r="H92" s="25" t="n"/>
      <c r="I92" s="25" t="n"/>
      <c r="J92" s="25" t="n"/>
      <c r="K92" s="25" t="n"/>
      <c r="L92" s="27" t="n"/>
      <c r="M92" s="27" t="n"/>
      <c r="N92" s="27" t="n"/>
      <c r="O92" s="27" t="n"/>
      <c r="P92" s="28" t="n"/>
      <c r="Q92" s="29" t="n"/>
      <c r="R92" s="30">
        <f>IF(B92="","",IF(C92="IWP",COUNTIFS(Restricciones!$D$6:$D$305,B92,Restricciones!$F$6:$F$305,"Abierta")+COUNTIFS(Restricciones!$D$6:$D$305,B92,Restricciones!$F$6:$F$305,"En gestión"),IF(C92="CWA",COUNTIFS(Restricciones!$C$6:$C$305,"CWP-"&amp;MID(B92,5,4)&amp;"-*",Restricciones!$F$6:$F$305,"Abierta")+COUNTIFS(Restricciones!$C$6:$C$305,"CWP-"&amp;MID(B92,5,4)&amp;"-*",Restricciones!$F$6:$F$305,"En gestión"),COUNTIFS(Restricciones!$C$6:$C$305,IF(C92="CWP",B92,H92),Restricciones!$F$6:$F$305,"Abierta")+COUNTIFS(Restricciones!$C$6:$C$305,IF(C92="CWP",B92,H92),Restricciones!$F$6:$F$305,"En gestión"))))</f>
        <v/>
      </c>
      <c r="S92" s="30">
        <f>IF(OR(B92="",M92=""),"",IF(O92&lt;&gt;"",MAX(0,O92-M92),IF(AND($B$3&gt;M92,K92&lt;&gt;"Cerrado"),$B$3-M92,0)))</f>
        <v/>
      </c>
      <c r="T92" s="31">
        <f>IF(B92="","",IF(K92="Cerrado",IF(S92&gt;0,"Cerrado con atraso","Cerrado"),IF(S92&gt;0,"Atrasado",IF(AND(N92="",L92&lt;&gt;"",$B$3&gt;L92),"Inicio atrasado","En plazo"))))</f>
        <v/>
      </c>
      <c r="U92" s="26" t="n"/>
    </row>
    <row r="93">
      <c r="A93" s="24" t="n"/>
      <c r="B93" s="25" t="n"/>
      <c r="C93" s="25" t="n"/>
      <c r="D93" s="25" t="n"/>
      <c r="E93" s="26" t="n"/>
      <c r="F93" s="25" t="n"/>
      <c r="G93" s="25" t="n"/>
      <c r="H93" s="25" t="n"/>
      <c r="I93" s="25" t="n"/>
      <c r="J93" s="25" t="n"/>
      <c r="K93" s="25" t="n"/>
      <c r="L93" s="27" t="n"/>
      <c r="M93" s="27" t="n"/>
      <c r="N93" s="27" t="n"/>
      <c r="O93" s="27" t="n"/>
      <c r="P93" s="28" t="n"/>
      <c r="Q93" s="29" t="n"/>
      <c r="R93" s="30">
        <f>IF(B93="","",IF(C93="IWP",COUNTIFS(Restricciones!$D$6:$D$305,B93,Restricciones!$F$6:$F$305,"Abierta")+COUNTIFS(Restricciones!$D$6:$D$305,B93,Restricciones!$F$6:$F$305,"En gestión"),IF(C93="CWA",COUNTIFS(Restricciones!$C$6:$C$305,"CWP-"&amp;MID(B93,5,4)&amp;"-*",Restricciones!$F$6:$F$305,"Abierta")+COUNTIFS(Restricciones!$C$6:$C$305,"CWP-"&amp;MID(B93,5,4)&amp;"-*",Restricciones!$F$6:$F$305,"En gestión"),COUNTIFS(Restricciones!$C$6:$C$305,IF(C93="CWP",B93,H93),Restricciones!$F$6:$F$305,"Abierta")+COUNTIFS(Restricciones!$C$6:$C$305,IF(C93="CWP",B93,H93),Restricciones!$F$6:$F$305,"En gestión"))))</f>
        <v/>
      </c>
      <c r="S93" s="30">
        <f>IF(OR(B93="",M93=""),"",IF(O93&lt;&gt;"",MAX(0,O93-M93),IF(AND($B$3&gt;M93,K93&lt;&gt;"Cerrado"),$B$3-M93,0)))</f>
        <v/>
      </c>
      <c r="T93" s="31">
        <f>IF(B93="","",IF(K93="Cerrado",IF(S93&gt;0,"Cerrado con atraso","Cerrado"),IF(S93&gt;0,"Atrasado",IF(AND(N93="",L93&lt;&gt;"",$B$3&gt;L93),"Inicio atrasado","En plazo"))))</f>
        <v/>
      </c>
      <c r="U93" s="26" t="n"/>
    </row>
    <row r="94">
      <c r="A94" s="24" t="n"/>
      <c r="B94" s="25" t="n"/>
      <c r="C94" s="25" t="n"/>
      <c r="D94" s="25" t="n"/>
      <c r="E94" s="26" t="n"/>
      <c r="F94" s="25" t="n"/>
      <c r="G94" s="25" t="n"/>
      <c r="H94" s="25" t="n"/>
      <c r="I94" s="25" t="n"/>
      <c r="J94" s="25" t="n"/>
      <c r="K94" s="25" t="n"/>
      <c r="L94" s="27" t="n"/>
      <c r="M94" s="27" t="n"/>
      <c r="N94" s="27" t="n"/>
      <c r="O94" s="27" t="n"/>
      <c r="P94" s="28" t="n"/>
      <c r="Q94" s="29" t="n"/>
      <c r="R94" s="30">
        <f>IF(B94="","",IF(C94="IWP",COUNTIFS(Restricciones!$D$6:$D$305,B94,Restricciones!$F$6:$F$305,"Abierta")+COUNTIFS(Restricciones!$D$6:$D$305,B94,Restricciones!$F$6:$F$305,"En gestión"),IF(C94="CWA",COUNTIFS(Restricciones!$C$6:$C$305,"CWP-"&amp;MID(B94,5,4)&amp;"-*",Restricciones!$F$6:$F$305,"Abierta")+COUNTIFS(Restricciones!$C$6:$C$305,"CWP-"&amp;MID(B94,5,4)&amp;"-*",Restricciones!$F$6:$F$305,"En gestión"),COUNTIFS(Restricciones!$C$6:$C$305,IF(C94="CWP",B94,H94),Restricciones!$F$6:$F$305,"Abierta")+COUNTIFS(Restricciones!$C$6:$C$305,IF(C94="CWP",B94,H94),Restricciones!$F$6:$F$305,"En gestión"))))</f>
        <v/>
      </c>
      <c r="S94" s="30">
        <f>IF(OR(B94="",M94=""),"",IF(O94&lt;&gt;"",MAX(0,O94-M94),IF(AND($B$3&gt;M94,K94&lt;&gt;"Cerrado"),$B$3-M94,0)))</f>
        <v/>
      </c>
      <c r="T94" s="31">
        <f>IF(B94="","",IF(K94="Cerrado",IF(S94&gt;0,"Cerrado con atraso","Cerrado"),IF(S94&gt;0,"Atrasado",IF(AND(N94="",L94&lt;&gt;"",$B$3&gt;L94),"Inicio atrasado","En plazo"))))</f>
        <v/>
      </c>
      <c r="U94" s="26" t="n"/>
    </row>
    <row r="95">
      <c r="A95" s="24" t="n"/>
      <c r="B95" s="25" t="n"/>
      <c r="C95" s="25" t="n"/>
      <c r="D95" s="25" t="n"/>
      <c r="E95" s="26" t="n"/>
      <c r="F95" s="25" t="n"/>
      <c r="G95" s="25" t="n"/>
      <c r="H95" s="25" t="n"/>
      <c r="I95" s="25" t="n"/>
      <c r="J95" s="25" t="n"/>
      <c r="K95" s="25" t="n"/>
      <c r="L95" s="27" t="n"/>
      <c r="M95" s="27" t="n"/>
      <c r="N95" s="27" t="n"/>
      <c r="O95" s="27" t="n"/>
      <c r="P95" s="28" t="n"/>
      <c r="Q95" s="29" t="n"/>
      <c r="R95" s="30">
        <f>IF(B95="","",IF(C95="IWP",COUNTIFS(Restricciones!$D$6:$D$305,B95,Restricciones!$F$6:$F$305,"Abierta")+COUNTIFS(Restricciones!$D$6:$D$305,B95,Restricciones!$F$6:$F$305,"En gestión"),IF(C95="CWA",COUNTIFS(Restricciones!$C$6:$C$305,"CWP-"&amp;MID(B95,5,4)&amp;"-*",Restricciones!$F$6:$F$305,"Abierta")+COUNTIFS(Restricciones!$C$6:$C$305,"CWP-"&amp;MID(B95,5,4)&amp;"-*",Restricciones!$F$6:$F$305,"En gestión"),COUNTIFS(Restricciones!$C$6:$C$305,IF(C95="CWP",B95,H95),Restricciones!$F$6:$F$305,"Abierta")+COUNTIFS(Restricciones!$C$6:$C$305,IF(C95="CWP",B95,H95),Restricciones!$F$6:$F$305,"En gestión"))))</f>
        <v/>
      </c>
      <c r="S95" s="30">
        <f>IF(OR(B95="",M95=""),"",IF(O95&lt;&gt;"",MAX(0,O95-M95),IF(AND($B$3&gt;M95,K95&lt;&gt;"Cerrado"),$B$3-M95,0)))</f>
        <v/>
      </c>
      <c r="T95" s="31">
        <f>IF(B95="","",IF(K95="Cerrado",IF(S95&gt;0,"Cerrado con atraso","Cerrado"),IF(S95&gt;0,"Atrasado",IF(AND(N95="",L95&lt;&gt;"",$B$3&gt;L95),"Inicio atrasado","En plazo"))))</f>
        <v/>
      </c>
      <c r="U95" s="26" t="n"/>
    </row>
    <row r="96">
      <c r="A96" s="24" t="n"/>
      <c r="B96" s="25" t="n"/>
      <c r="C96" s="25" t="n"/>
      <c r="D96" s="25" t="n"/>
      <c r="E96" s="26" t="n"/>
      <c r="F96" s="25" t="n"/>
      <c r="G96" s="25" t="n"/>
      <c r="H96" s="25" t="n"/>
      <c r="I96" s="25" t="n"/>
      <c r="J96" s="25" t="n"/>
      <c r="K96" s="25" t="n"/>
      <c r="L96" s="27" t="n"/>
      <c r="M96" s="27" t="n"/>
      <c r="N96" s="27" t="n"/>
      <c r="O96" s="27" t="n"/>
      <c r="P96" s="28" t="n"/>
      <c r="Q96" s="29" t="n"/>
      <c r="R96" s="30">
        <f>IF(B96="","",IF(C96="IWP",COUNTIFS(Restricciones!$D$6:$D$305,B96,Restricciones!$F$6:$F$305,"Abierta")+COUNTIFS(Restricciones!$D$6:$D$305,B96,Restricciones!$F$6:$F$305,"En gestión"),IF(C96="CWA",COUNTIFS(Restricciones!$C$6:$C$305,"CWP-"&amp;MID(B96,5,4)&amp;"-*",Restricciones!$F$6:$F$305,"Abierta")+COUNTIFS(Restricciones!$C$6:$C$305,"CWP-"&amp;MID(B96,5,4)&amp;"-*",Restricciones!$F$6:$F$305,"En gestión"),COUNTIFS(Restricciones!$C$6:$C$305,IF(C96="CWP",B96,H96),Restricciones!$F$6:$F$305,"Abierta")+COUNTIFS(Restricciones!$C$6:$C$305,IF(C96="CWP",B96,H96),Restricciones!$F$6:$F$305,"En gestión"))))</f>
        <v/>
      </c>
      <c r="S96" s="30">
        <f>IF(OR(B96="",M96=""),"",IF(O96&lt;&gt;"",MAX(0,O96-M96),IF(AND($B$3&gt;M96,K96&lt;&gt;"Cerrado"),$B$3-M96,0)))</f>
        <v/>
      </c>
      <c r="T96" s="31">
        <f>IF(B96="","",IF(K96="Cerrado",IF(S96&gt;0,"Cerrado con atraso","Cerrado"),IF(S96&gt;0,"Atrasado",IF(AND(N96="",L96&lt;&gt;"",$B$3&gt;L96),"Inicio atrasado","En plazo"))))</f>
        <v/>
      </c>
      <c r="U96" s="26" t="n"/>
    </row>
    <row r="97">
      <c r="A97" s="24" t="n"/>
      <c r="B97" s="25" t="n"/>
      <c r="C97" s="25" t="n"/>
      <c r="D97" s="25" t="n"/>
      <c r="E97" s="26" t="n"/>
      <c r="F97" s="25" t="n"/>
      <c r="G97" s="25" t="n"/>
      <c r="H97" s="25" t="n"/>
      <c r="I97" s="25" t="n"/>
      <c r="J97" s="25" t="n"/>
      <c r="K97" s="25" t="n"/>
      <c r="L97" s="27" t="n"/>
      <c r="M97" s="27" t="n"/>
      <c r="N97" s="27" t="n"/>
      <c r="O97" s="27" t="n"/>
      <c r="P97" s="28" t="n"/>
      <c r="Q97" s="29" t="n"/>
      <c r="R97" s="30">
        <f>IF(B97="","",IF(C97="IWP",COUNTIFS(Restricciones!$D$6:$D$305,B97,Restricciones!$F$6:$F$305,"Abierta")+COUNTIFS(Restricciones!$D$6:$D$305,B97,Restricciones!$F$6:$F$305,"En gestión"),IF(C97="CWA",COUNTIFS(Restricciones!$C$6:$C$305,"CWP-"&amp;MID(B97,5,4)&amp;"-*",Restricciones!$F$6:$F$305,"Abierta")+COUNTIFS(Restricciones!$C$6:$C$305,"CWP-"&amp;MID(B97,5,4)&amp;"-*",Restricciones!$F$6:$F$305,"En gestión"),COUNTIFS(Restricciones!$C$6:$C$305,IF(C97="CWP",B97,H97),Restricciones!$F$6:$F$305,"Abierta")+COUNTIFS(Restricciones!$C$6:$C$305,IF(C97="CWP",B97,H97),Restricciones!$F$6:$F$305,"En gestión"))))</f>
        <v/>
      </c>
      <c r="S97" s="30">
        <f>IF(OR(B97="",M97=""),"",IF(O97&lt;&gt;"",MAX(0,O97-M97),IF(AND($B$3&gt;M97,K97&lt;&gt;"Cerrado"),$B$3-M97,0)))</f>
        <v/>
      </c>
      <c r="T97" s="31">
        <f>IF(B97="","",IF(K97="Cerrado",IF(S97&gt;0,"Cerrado con atraso","Cerrado"),IF(S97&gt;0,"Atrasado",IF(AND(N97="",L97&lt;&gt;"",$B$3&gt;L97),"Inicio atrasado","En plazo"))))</f>
        <v/>
      </c>
      <c r="U97" s="26" t="n"/>
    </row>
    <row r="98">
      <c r="A98" s="24" t="n"/>
      <c r="B98" s="25" t="n"/>
      <c r="C98" s="25" t="n"/>
      <c r="D98" s="25" t="n"/>
      <c r="E98" s="26" t="n"/>
      <c r="F98" s="25" t="n"/>
      <c r="G98" s="25" t="n"/>
      <c r="H98" s="25" t="n"/>
      <c r="I98" s="25" t="n"/>
      <c r="J98" s="25" t="n"/>
      <c r="K98" s="25" t="n"/>
      <c r="L98" s="27" t="n"/>
      <c r="M98" s="27" t="n"/>
      <c r="N98" s="27" t="n"/>
      <c r="O98" s="27" t="n"/>
      <c r="P98" s="28" t="n"/>
      <c r="Q98" s="29" t="n"/>
      <c r="R98" s="30">
        <f>IF(B98="","",IF(C98="IWP",COUNTIFS(Restricciones!$D$6:$D$305,B98,Restricciones!$F$6:$F$305,"Abierta")+COUNTIFS(Restricciones!$D$6:$D$305,B98,Restricciones!$F$6:$F$305,"En gestión"),IF(C98="CWA",COUNTIFS(Restricciones!$C$6:$C$305,"CWP-"&amp;MID(B98,5,4)&amp;"-*",Restricciones!$F$6:$F$305,"Abierta")+COUNTIFS(Restricciones!$C$6:$C$305,"CWP-"&amp;MID(B98,5,4)&amp;"-*",Restricciones!$F$6:$F$305,"En gestión"),COUNTIFS(Restricciones!$C$6:$C$305,IF(C98="CWP",B98,H98),Restricciones!$F$6:$F$305,"Abierta")+COUNTIFS(Restricciones!$C$6:$C$305,IF(C98="CWP",B98,H98),Restricciones!$F$6:$F$305,"En gestión"))))</f>
        <v/>
      </c>
      <c r="S98" s="30">
        <f>IF(OR(B98="",M98=""),"",IF(O98&lt;&gt;"",MAX(0,O98-M98),IF(AND($B$3&gt;M98,K98&lt;&gt;"Cerrado"),$B$3-M98,0)))</f>
        <v/>
      </c>
      <c r="T98" s="31">
        <f>IF(B98="","",IF(K98="Cerrado",IF(S98&gt;0,"Cerrado con atraso","Cerrado"),IF(S98&gt;0,"Atrasado",IF(AND(N98="",L98&lt;&gt;"",$B$3&gt;L98),"Inicio atrasado","En plazo"))))</f>
        <v/>
      </c>
      <c r="U98" s="26" t="n"/>
    </row>
    <row r="99">
      <c r="A99" s="24" t="n"/>
      <c r="B99" s="25" t="n"/>
      <c r="C99" s="25" t="n"/>
      <c r="D99" s="25" t="n"/>
      <c r="E99" s="26" t="n"/>
      <c r="F99" s="25" t="n"/>
      <c r="G99" s="25" t="n"/>
      <c r="H99" s="25" t="n"/>
      <c r="I99" s="25" t="n"/>
      <c r="J99" s="25" t="n"/>
      <c r="K99" s="25" t="n"/>
      <c r="L99" s="27" t="n"/>
      <c r="M99" s="27" t="n"/>
      <c r="N99" s="27" t="n"/>
      <c r="O99" s="27" t="n"/>
      <c r="P99" s="28" t="n"/>
      <c r="Q99" s="29" t="n"/>
      <c r="R99" s="30">
        <f>IF(B99="","",IF(C99="IWP",COUNTIFS(Restricciones!$D$6:$D$305,B99,Restricciones!$F$6:$F$305,"Abierta")+COUNTIFS(Restricciones!$D$6:$D$305,B99,Restricciones!$F$6:$F$305,"En gestión"),IF(C99="CWA",COUNTIFS(Restricciones!$C$6:$C$305,"CWP-"&amp;MID(B99,5,4)&amp;"-*",Restricciones!$F$6:$F$305,"Abierta")+COUNTIFS(Restricciones!$C$6:$C$305,"CWP-"&amp;MID(B99,5,4)&amp;"-*",Restricciones!$F$6:$F$305,"En gestión"),COUNTIFS(Restricciones!$C$6:$C$305,IF(C99="CWP",B99,H99),Restricciones!$F$6:$F$305,"Abierta")+COUNTIFS(Restricciones!$C$6:$C$305,IF(C99="CWP",B99,H99),Restricciones!$F$6:$F$305,"En gestión"))))</f>
        <v/>
      </c>
      <c r="S99" s="30">
        <f>IF(OR(B99="",M99=""),"",IF(O99&lt;&gt;"",MAX(0,O99-M99),IF(AND($B$3&gt;M99,K99&lt;&gt;"Cerrado"),$B$3-M99,0)))</f>
        <v/>
      </c>
      <c r="T99" s="31">
        <f>IF(B99="","",IF(K99="Cerrado",IF(S99&gt;0,"Cerrado con atraso","Cerrado"),IF(S99&gt;0,"Atrasado",IF(AND(N99="",L99&lt;&gt;"",$B$3&gt;L99),"Inicio atrasado","En plazo"))))</f>
        <v/>
      </c>
      <c r="U99" s="26" t="n"/>
    </row>
    <row r="100">
      <c r="A100" s="24" t="n"/>
      <c r="B100" s="25" t="n"/>
      <c r="C100" s="25" t="n"/>
      <c r="D100" s="25" t="n"/>
      <c r="E100" s="26" t="n"/>
      <c r="F100" s="25" t="n"/>
      <c r="G100" s="25" t="n"/>
      <c r="H100" s="25" t="n"/>
      <c r="I100" s="25" t="n"/>
      <c r="J100" s="25" t="n"/>
      <c r="K100" s="25" t="n"/>
      <c r="L100" s="27" t="n"/>
      <c r="M100" s="27" t="n"/>
      <c r="N100" s="27" t="n"/>
      <c r="O100" s="27" t="n"/>
      <c r="P100" s="28" t="n"/>
      <c r="Q100" s="29" t="n"/>
      <c r="R100" s="30">
        <f>IF(B100="","",IF(C100="IWP",COUNTIFS(Restricciones!$D$6:$D$305,B100,Restricciones!$F$6:$F$305,"Abierta")+COUNTIFS(Restricciones!$D$6:$D$305,B100,Restricciones!$F$6:$F$305,"En gestión"),IF(C100="CWA",COUNTIFS(Restricciones!$C$6:$C$305,"CWP-"&amp;MID(B100,5,4)&amp;"-*",Restricciones!$F$6:$F$305,"Abierta")+COUNTIFS(Restricciones!$C$6:$C$305,"CWP-"&amp;MID(B100,5,4)&amp;"-*",Restricciones!$F$6:$F$305,"En gestión"),COUNTIFS(Restricciones!$C$6:$C$305,IF(C100="CWP",B100,H100),Restricciones!$F$6:$F$305,"Abierta")+COUNTIFS(Restricciones!$C$6:$C$305,IF(C100="CWP",B100,H100),Restricciones!$F$6:$F$305,"En gestión"))))</f>
        <v/>
      </c>
      <c r="S100" s="30">
        <f>IF(OR(B100="",M100=""),"",IF(O100&lt;&gt;"",MAX(0,O100-M100),IF(AND($B$3&gt;M100,K100&lt;&gt;"Cerrado"),$B$3-M100,0)))</f>
        <v/>
      </c>
      <c r="T100" s="31">
        <f>IF(B100="","",IF(K100="Cerrado",IF(S100&gt;0,"Cerrado con atraso","Cerrado"),IF(S100&gt;0,"Atrasado",IF(AND(N100="",L100&lt;&gt;"",$B$3&gt;L100),"Inicio atrasado","En plazo"))))</f>
        <v/>
      </c>
      <c r="U100" s="26" t="n"/>
    </row>
    <row r="101">
      <c r="A101" s="24" t="n"/>
      <c r="B101" s="25" t="n"/>
      <c r="C101" s="25" t="n"/>
      <c r="D101" s="25" t="n"/>
      <c r="E101" s="26" t="n"/>
      <c r="F101" s="25" t="n"/>
      <c r="G101" s="25" t="n"/>
      <c r="H101" s="25" t="n"/>
      <c r="I101" s="25" t="n"/>
      <c r="J101" s="25" t="n"/>
      <c r="K101" s="25" t="n"/>
      <c r="L101" s="27" t="n"/>
      <c r="M101" s="27" t="n"/>
      <c r="N101" s="27" t="n"/>
      <c r="O101" s="27" t="n"/>
      <c r="P101" s="28" t="n"/>
      <c r="Q101" s="29" t="n"/>
      <c r="R101" s="30">
        <f>IF(B101="","",IF(C101="IWP",COUNTIFS(Restricciones!$D$6:$D$305,B101,Restricciones!$F$6:$F$305,"Abierta")+COUNTIFS(Restricciones!$D$6:$D$305,B101,Restricciones!$F$6:$F$305,"En gestión"),IF(C101="CWA",COUNTIFS(Restricciones!$C$6:$C$305,"CWP-"&amp;MID(B101,5,4)&amp;"-*",Restricciones!$F$6:$F$305,"Abierta")+COUNTIFS(Restricciones!$C$6:$C$305,"CWP-"&amp;MID(B101,5,4)&amp;"-*",Restricciones!$F$6:$F$305,"En gestión"),COUNTIFS(Restricciones!$C$6:$C$305,IF(C101="CWP",B101,H101),Restricciones!$F$6:$F$305,"Abierta")+COUNTIFS(Restricciones!$C$6:$C$305,IF(C101="CWP",B101,H101),Restricciones!$F$6:$F$305,"En gestión"))))</f>
        <v/>
      </c>
      <c r="S101" s="30">
        <f>IF(OR(B101="",M101=""),"",IF(O101&lt;&gt;"",MAX(0,O101-M101),IF(AND($B$3&gt;M101,K101&lt;&gt;"Cerrado"),$B$3-M101,0)))</f>
        <v/>
      </c>
      <c r="T101" s="31">
        <f>IF(B101="","",IF(K101="Cerrado",IF(S101&gt;0,"Cerrado con atraso","Cerrado"),IF(S101&gt;0,"Atrasado",IF(AND(N101="",L101&lt;&gt;"",$B$3&gt;L101),"Inicio atrasado","En plazo"))))</f>
        <v/>
      </c>
      <c r="U101" s="26" t="n"/>
    </row>
    <row r="102">
      <c r="A102" s="24" t="n"/>
      <c r="B102" s="25" t="n"/>
      <c r="C102" s="25" t="n"/>
      <c r="D102" s="25" t="n"/>
      <c r="E102" s="26" t="n"/>
      <c r="F102" s="25" t="n"/>
      <c r="G102" s="25" t="n"/>
      <c r="H102" s="25" t="n"/>
      <c r="I102" s="25" t="n"/>
      <c r="J102" s="25" t="n"/>
      <c r="K102" s="25" t="n"/>
      <c r="L102" s="27" t="n"/>
      <c r="M102" s="27" t="n"/>
      <c r="N102" s="27" t="n"/>
      <c r="O102" s="27" t="n"/>
      <c r="P102" s="28" t="n"/>
      <c r="Q102" s="29" t="n"/>
      <c r="R102" s="30">
        <f>IF(B102="","",IF(C102="IWP",COUNTIFS(Restricciones!$D$6:$D$305,B102,Restricciones!$F$6:$F$305,"Abierta")+COUNTIFS(Restricciones!$D$6:$D$305,B102,Restricciones!$F$6:$F$305,"En gestión"),IF(C102="CWA",COUNTIFS(Restricciones!$C$6:$C$305,"CWP-"&amp;MID(B102,5,4)&amp;"-*",Restricciones!$F$6:$F$305,"Abierta")+COUNTIFS(Restricciones!$C$6:$C$305,"CWP-"&amp;MID(B102,5,4)&amp;"-*",Restricciones!$F$6:$F$305,"En gestión"),COUNTIFS(Restricciones!$C$6:$C$305,IF(C102="CWP",B102,H102),Restricciones!$F$6:$F$305,"Abierta")+COUNTIFS(Restricciones!$C$6:$C$305,IF(C102="CWP",B102,H102),Restricciones!$F$6:$F$305,"En gestión"))))</f>
        <v/>
      </c>
      <c r="S102" s="30">
        <f>IF(OR(B102="",M102=""),"",IF(O102&lt;&gt;"",MAX(0,O102-M102),IF(AND($B$3&gt;M102,K102&lt;&gt;"Cerrado"),$B$3-M102,0)))</f>
        <v/>
      </c>
      <c r="T102" s="31">
        <f>IF(B102="","",IF(K102="Cerrado",IF(S102&gt;0,"Cerrado con atraso","Cerrado"),IF(S102&gt;0,"Atrasado",IF(AND(N102="",L102&lt;&gt;"",$B$3&gt;L102),"Inicio atrasado","En plazo"))))</f>
        <v/>
      </c>
      <c r="U102" s="26" t="n"/>
    </row>
    <row r="103">
      <c r="A103" s="24" t="n"/>
      <c r="B103" s="25" t="n"/>
      <c r="C103" s="25" t="n"/>
      <c r="D103" s="25" t="n"/>
      <c r="E103" s="26" t="n"/>
      <c r="F103" s="25" t="n"/>
      <c r="G103" s="25" t="n"/>
      <c r="H103" s="25" t="n"/>
      <c r="I103" s="25" t="n"/>
      <c r="J103" s="25" t="n"/>
      <c r="K103" s="25" t="n"/>
      <c r="L103" s="27" t="n"/>
      <c r="M103" s="27" t="n"/>
      <c r="N103" s="27" t="n"/>
      <c r="O103" s="27" t="n"/>
      <c r="P103" s="28" t="n"/>
      <c r="Q103" s="29" t="n"/>
      <c r="R103" s="30">
        <f>IF(B103="","",IF(C103="IWP",COUNTIFS(Restricciones!$D$6:$D$305,B103,Restricciones!$F$6:$F$305,"Abierta")+COUNTIFS(Restricciones!$D$6:$D$305,B103,Restricciones!$F$6:$F$305,"En gestión"),IF(C103="CWA",COUNTIFS(Restricciones!$C$6:$C$305,"CWP-"&amp;MID(B103,5,4)&amp;"-*",Restricciones!$F$6:$F$305,"Abierta")+COUNTIFS(Restricciones!$C$6:$C$305,"CWP-"&amp;MID(B103,5,4)&amp;"-*",Restricciones!$F$6:$F$305,"En gestión"),COUNTIFS(Restricciones!$C$6:$C$305,IF(C103="CWP",B103,H103),Restricciones!$F$6:$F$305,"Abierta")+COUNTIFS(Restricciones!$C$6:$C$305,IF(C103="CWP",B103,H103),Restricciones!$F$6:$F$305,"En gestión"))))</f>
        <v/>
      </c>
      <c r="S103" s="30">
        <f>IF(OR(B103="",M103=""),"",IF(O103&lt;&gt;"",MAX(0,O103-M103),IF(AND($B$3&gt;M103,K103&lt;&gt;"Cerrado"),$B$3-M103,0)))</f>
        <v/>
      </c>
      <c r="T103" s="31">
        <f>IF(B103="","",IF(K103="Cerrado",IF(S103&gt;0,"Cerrado con atraso","Cerrado"),IF(S103&gt;0,"Atrasado",IF(AND(N103="",L103&lt;&gt;"",$B$3&gt;L103),"Inicio atrasado","En plazo"))))</f>
        <v/>
      </c>
      <c r="U103" s="26" t="n"/>
    </row>
    <row r="104">
      <c r="A104" s="24" t="n"/>
      <c r="B104" s="25" t="n"/>
      <c r="C104" s="25" t="n"/>
      <c r="D104" s="25" t="n"/>
      <c r="E104" s="26" t="n"/>
      <c r="F104" s="25" t="n"/>
      <c r="G104" s="25" t="n"/>
      <c r="H104" s="25" t="n"/>
      <c r="I104" s="25" t="n"/>
      <c r="J104" s="25" t="n"/>
      <c r="K104" s="25" t="n"/>
      <c r="L104" s="27" t="n"/>
      <c r="M104" s="27" t="n"/>
      <c r="N104" s="27" t="n"/>
      <c r="O104" s="27" t="n"/>
      <c r="P104" s="28" t="n"/>
      <c r="Q104" s="29" t="n"/>
      <c r="R104" s="30">
        <f>IF(B104="","",IF(C104="IWP",COUNTIFS(Restricciones!$D$6:$D$305,B104,Restricciones!$F$6:$F$305,"Abierta")+COUNTIFS(Restricciones!$D$6:$D$305,B104,Restricciones!$F$6:$F$305,"En gestión"),IF(C104="CWA",COUNTIFS(Restricciones!$C$6:$C$305,"CWP-"&amp;MID(B104,5,4)&amp;"-*",Restricciones!$F$6:$F$305,"Abierta")+COUNTIFS(Restricciones!$C$6:$C$305,"CWP-"&amp;MID(B104,5,4)&amp;"-*",Restricciones!$F$6:$F$305,"En gestión"),COUNTIFS(Restricciones!$C$6:$C$305,IF(C104="CWP",B104,H104),Restricciones!$F$6:$F$305,"Abierta")+COUNTIFS(Restricciones!$C$6:$C$305,IF(C104="CWP",B104,H104),Restricciones!$F$6:$F$305,"En gestión"))))</f>
        <v/>
      </c>
      <c r="S104" s="30">
        <f>IF(OR(B104="",M104=""),"",IF(O104&lt;&gt;"",MAX(0,O104-M104),IF(AND($B$3&gt;M104,K104&lt;&gt;"Cerrado"),$B$3-M104,0)))</f>
        <v/>
      </c>
      <c r="T104" s="31">
        <f>IF(B104="","",IF(K104="Cerrado",IF(S104&gt;0,"Cerrado con atraso","Cerrado"),IF(S104&gt;0,"Atrasado",IF(AND(N104="",L104&lt;&gt;"",$B$3&gt;L104),"Inicio atrasado","En plazo"))))</f>
        <v/>
      </c>
      <c r="U104" s="26" t="n"/>
    </row>
    <row r="105">
      <c r="A105" s="24" t="n"/>
      <c r="B105" s="25" t="n"/>
      <c r="C105" s="25" t="n"/>
      <c r="D105" s="25" t="n"/>
      <c r="E105" s="26" t="n"/>
      <c r="F105" s="25" t="n"/>
      <c r="G105" s="25" t="n"/>
      <c r="H105" s="25" t="n"/>
      <c r="I105" s="25" t="n"/>
      <c r="J105" s="25" t="n"/>
      <c r="K105" s="25" t="n"/>
      <c r="L105" s="27" t="n"/>
      <c r="M105" s="27" t="n"/>
      <c r="N105" s="27" t="n"/>
      <c r="O105" s="27" t="n"/>
      <c r="P105" s="28" t="n"/>
      <c r="Q105" s="29" t="n"/>
      <c r="R105" s="30">
        <f>IF(B105="","",IF(C105="IWP",COUNTIFS(Restricciones!$D$6:$D$305,B105,Restricciones!$F$6:$F$305,"Abierta")+COUNTIFS(Restricciones!$D$6:$D$305,B105,Restricciones!$F$6:$F$305,"En gestión"),IF(C105="CWA",COUNTIFS(Restricciones!$C$6:$C$305,"CWP-"&amp;MID(B105,5,4)&amp;"-*",Restricciones!$F$6:$F$305,"Abierta")+COUNTIFS(Restricciones!$C$6:$C$305,"CWP-"&amp;MID(B105,5,4)&amp;"-*",Restricciones!$F$6:$F$305,"En gestión"),COUNTIFS(Restricciones!$C$6:$C$305,IF(C105="CWP",B105,H105),Restricciones!$F$6:$F$305,"Abierta")+COUNTIFS(Restricciones!$C$6:$C$305,IF(C105="CWP",B105,H105),Restricciones!$F$6:$F$305,"En gestión"))))</f>
        <v/>
      </c>
      <c r="S105" s="30">
        <f>IF(OR(B105="",M105=""),"",IF(O105&lt;&gt;"",MAX(0,O105-M105),IF(AND($B$3&gt;M105,K105&lt;&gt;"Cerrado"),$B$3-M105,0)))</f>
        <v/>
      </c>
      <c r="T105" s="31">
        <f>IF(B105="","",IF(K105="Cerrado",IF(S105&gt;0,"Cerrado con atraso","Cerrado"),IF(S105&gt;0,"Atrasado",IF(AND(N105="",L105&lt;&gt;"",$B$3&gt;L105),"Inicio atrasado","En plazo"))))</f>
        <v/>
      </c>
      <c r="U105" s="26" t="n"/>
    </row>
    <row r="106">
      <c r="A106" s="24" t="n"/>
      <c r="B106" s="25" t="n"/>
      <c r="C106" s="25" t="n"/>
      <c r="D106" s="25" t="n"/>
      <c r="E106" s="26" t="n"/>
      <c r="F106" s="25" t="n"/>
      <c r="G106" s="25" t="n"/>
      <c r="H106" s="25" t="n"/>
      <c r="I106" s="25" t="n"/>
      <c r="J106" s="25" t="n"/>
      <c r="K106" s="25" t="n"/>
      <c r="L106" s="27" t="n"/>
      <c r="M106" s="27" t="n"/>
      <c r="N106" s="27" t="n"/>
      <c r="O106" s="27" t="n"/>
      <c r="P106" s="28" t="n"/>
      <c r="Q106" s="29" t="n"/>
      <c r="R106" s="30">
        <f>IF(B106="","",IF(C106="IWP",COUNTIFS(Restricciones!$D$6:$D$305,B106,Restricciones!$F$6:$F$305,"Abierta")+COUNTIFS(Restricciones!$D$6:$D$305,B106,Restricciones!$F$6:$F$305,"En gestión"),IF(C106="CWA",COUNTIFS(Restricciones!$C$6:$C$305,"CWP-"&amp;MID(B106,5,4)&amp;"-*",Restricciones!$F$6:$F$305,"Abierta")+COUNTIFS(Restricciones!$C$6:$C$305,"CWP-"&amp;MID(B106,5,4)&amp;"-*",Restricciones!$F$6:$F$305,"En gestión"),COUNTIFS(Restricciones!$C$6:$C$305,IF(C106="CWP",B106,H106),Restricciones!$F$6:$F$305,"Abierta")+COUNTIFS(Restricciones!$C$6:$C$305,IF(C106="CWP",B106,H106),Restricciones!$F$6:$F$305,"En gestión"))))</f>
        <v/>
      </c>
      <c r="S106" s="30">
        <f>IF(OR(B106="",M106=""),"",IF(O106&lt;&gt;"",MAX(0,O106-M106),IF(AND($B$3&gt;M106,K106&lt;&gt;"Cerrado"),$B$3-M106,0)))</f>
        <v/>
      </c>
      <c r="T106" s="31">
        <f>IF(B106="","",IF(K106="Cerrado",IF(S106&gt;0,"Cerrado con atraso","Cerrado"),IF(S106&gt;0,"Atrasado",IF(AND(N106="",L106&lt;&gt;"",$B$3&gt;L106),"Inicio atrasado","En plazo"))))</f>
        <v/>
      </c>
      <c r="U106" s="26" t="n"/>
    </row>
    <row r="107">
      <c r="A107" s="24" t="n"/>
      <c r="B107" s="25" t="n"/>
      <c r="C107" s="25" t="n"/>
      <c r="D107" s="25" t="n"/>
      <c r="E107" s="26" t="n"/>
      <c r="F107" s="25" t="n"/>
      <c r="G107" s="25" t="n"/>
      <c r="H107" s="25" t="n"/>
      <c r="I107" s="25" t="n"/>
      <c r="J107" s="25" t="n"/>
      <c r="K107" s="25" t="n"/>
      <c r="L107" s="27" t="n"/>
      <c r="M107" s="27" t="n"/>
      <c r="N107" s="27" t="n"/>
      <c r="O107" s="27" t="n"/>
      <c r="P107" s="28" t="n"/>
      <c r="Q107" s="29" t="n"/>
      <c r="R107" s="30">
        <f>IF(B107="","",IF(C107="IWP",COUNTIFS(Restricciones!$D$6:$D$305,B107,Restricciones!$F$6:$F$305,"Abierta")+COUNTIFS(Restricciones!$D$6:$D$305,B107,Restricciones!$F$6:$F$305,"En gestión"),IF(C107="CWA",COUNTIFS(Restricciones!$C$6:$C$305,"CWP-"&amp;MID(B107,5,4)&amp;"-*",Restricciones!$F$6:$F$305,"Abierta")+COUNTIFS(Restricciones!$C$6:$C$305,"CWP-"&amp;MID(B107,5,4)&amp;"-*",Restricciones!$F$6:$F$305,"En gestión"),COUNTIFS(Restricciones!$C$6:$C$305,IF(C107="CWP",B107,H107),Restricciones!$F$6:$F$305,"Abierta")+COUNTIFS(Restricciones!$C$6:$C$305,IF(C107="CWP",B107,H107),Restricciones!$F$6:$F$305,"En gestión"))))</f>
        <v/>
      </c>
      <c r="S107" s="30">
        <f>IF(OR(B107="",M107=""),"",IF(O107&lt;&gt;"",MAX(0,O107-M107),IF(AND($B$3&gt;M107,K107&lt;&gt;"Cerrado"),$B$3-M107,0)))</f>
        <v/>
      </c>
      <c r="T107" s="31">
        <f>IF(B107="","",IF(K107="Cerrado",IF(S107&gt;0,"Cerrado con atraso","Cerrado"),IF(S107&gt;0,"Atrasado",IF(AND(N107="",L107&lt;&gt;"",$B$3&gt;L107),"Inicio atrasado","En plazo"))))</f>
        <v/>
      </c>
      <c r="U107" s="26" t="n"/>
    </row>
    <row r="108">
      <c r="A108" s="24" t="n"/>
      <c r="B108" s="25" t="n"/>
      <c r="C108" s="25" t="n"/>
      <c r="D108" s="25" t="n"/>
      <c r="E108" s="26" t="n"/>
      <c r="F108" s="25" t="n"/>
      <c r="G108" s="25" t="n"/>
      <c r="H108" s="25" t="n"/>
      <c r="I108" s="25" t="n"/>
      <c r="J108" s="25" t="n"/>
      <c r="K108" s="25" t="n"/>
      <c r="L108" s="27" t="n"/>
      <c r="M108" s="27" t="n"/>
      <c r="N108" s="27" t="n"/>
      <c r="O108" s="27" t="n"/>
      <c r="P108" s="28" t="n"/>
      <c r="Q108" s="29" t="n"/>
      <c r="R108" s="30">
        <f>IF(B108="","",IF(C108="IWP",COUNTIFS(Restricciones!$D$6:$D$305,B108,Restricciones!$F$6:$F$305,"Abierta")+COUNTIFS(Restricciones!$D$6:$D$305,B108,Restricciones!$F$6:$F$305,"En gestión"),IF(C108="CWA",COUNTIFS(Restricciones!$C$6:$C$305,"CWP-"&amp;MID(B108,5,4)&amp;"-*",Restricciones!$F$6:$F$305,"Abierta")+COUNTIFS(Restricciones!$C$6:$C$305,"CWP-"&amp;MID(B108,5,4)&amp;"-*",Restricciones!$F$6:$F$305,"En gestión"),COUNTIFS(Restricciones!$C$6:$C$305,IF(C108="CWP",B108,H108),Restricciones!$F$6:$F$305,"Abierta")+COUNTIFS(Restricciones!$C$6:$C$305,IF(C108="CWP",B108,H108),Restricciones!$F$6:$F$305,"En gestión"))))</f>
        <v/>
      </c>
      <c r="S108" s="30">
        <f>IF(OR(B108="",M108=""),"",IF(O108&lt;&gt;"",MAX(0,O108-M108),IF(AND($B$3&gt;M108,K108&lt;&gt;"Cerrado"),$B$3-M108,0)))</f>
        <v/>
      </c>
      <c r="T108" s="31">
        <f>IF(B108="","",IF(K108="Cerrado",IF(S108&gt;0,"Cerrado con atraso","Cerrado"),IF(S108&gt;0,"Atrasado",IF(AND(N108="",L108&lt;&gt;"",$B$3&gt;L108),"Inicio atrasado","En plazo"))))</f>
        <v/>
      </c>
      <c r="U108" s="26" t="n"/>
    </row>
    <row r="109">
      <c r="A109" s="24" t="n"/>
      <c r="B109" s="25" t="n"/>
      <c r="C109" s="25" t="n"/>
      <c r="D109" s="25" t="n"/>
      <c r="E109" s="26" t="n"/>
      <c r="F109" s="25" t="n"/>
      <c r="G109" s="25" t="n"/>
      <c r="H109" s="25" t="n"/>
      <c r="I109" s="25" t="n"/>
      <c r="J109" s="25" t="n"/>
      <c r="K109" s="25" t="n"/>
      <c r="L109" s="27" t="n"/>
      <c r="M109" s="27" t="n"/>
      <c r="N109" s="27" t="n"/>
      <c r="O109" s="27" t="n"/>
      <c r="P109" s="28" t="n"/>
      <c r="Q109" s="29" t="n"/>
      <c r="R109" s="30">
        <f>IF(B109="","",IF(C109="IWP",COUNTIFS(Restricciones!$D$6:$D$305,B109,Restricciones!$F$6:$F$305,"Abierta")+COUNTIFS(Restricciones!$D$6:$D$305,B109,Restricciones!$F$6:$F$305,"En gestión"),IF(C109="CWA",COUNTIFS(Restricciones!$C$6:$C$305,"CWP-"&amp;MID(B109,5,4)&amp;"-*",Restricciones!$F$6:$F$305,"Abierta")+COUNTIFS(Restricciones!$C$6:$C$305,"CWP-"&amp;MID(B109,5,4)&amp;"-*",Restricciones!$F$6:$F$305,"En gestión"),COUNTIFS(Restricciones!$C$6:$C$305,IF(C109="CWP",B109,H109),Restricciones!$F$6:$F$305,"Abierta")+COUNTIFS(Restricciones!$C$6:$C$305,IF(C109="CWP",B109,H109),Restricciones!$F$6:$F$305,"En gestión"))))</f>
        <v/>
      </c>
      <c r="S109" s="30">
        <f>IF(OR(B109="",M109=""),"",IF(O109&lt;&gt;"",MAX(0,O109-M109),IF(AND($B$3&gt;M109,K109&lt;&gt;"Cerrado"),$B$3-M109,0)))</f>
        <v/>
      </c>
      <c r="T109" s="31">
        <f>IF(B109="","",IF(K109="Cerrado",IF(S109&gt;0,"Cerrado con atraso","Cerrado"),IF(S109&gt;0,"Atrasado",IF(AND(N109="",L109&lt;&gt;"",$B$3&gt;L109),"Inicio atrasado","En plazo"))))</f>
        <v/>
      </c>
      <c r="U109" s="26" t="n"/>
    </row>
    <row r="110">
      <c r="A110" s="24" t="n"/>
      <c r="B110" s="25" t="n"/>
      <c r="C110" s="25" t="n"/>
      <c r="D110" s="25" t="n"/>
      <c r="E110" s="26" t="n"/>
      <c r="F110" s="25" t="n"/>
      <c r="G110" s="25" t="n"/>
      <c r="H110" s="25" t="n"/>
      <c r="I110" s="25" t="n"/>
      <c r="J110" s="25" t="n"/>
      <c r="K110" s="25" t="n"/>
      <c r="L110" s="27" t="n"/>
      <c r="M110" s="27" t="n"/>
      <c r="N110" s="27" t="n"/>
      <c r="O110" s="27" t="n"/>
      <c r="P110" s="28" t="n"/>
      <c r="Q110" s="29" t="n"/>
      <c r="R110" s="30">
        <f>IF(B110="","",IF(C110="IWP",COUNTIFS(Restricciones!$D$6:$D$305,B110,Restricciones!$F$6:$F$305,"Abierta")+COUNTIFS(Restricciones!$D$6:$D$305,B110,Restricciones!$F$6:$F$305,"En gestión"),IF(C110="CWA",COUNTIFS(Restricciones!$C$6:$C$305,"CWP-"&amp;MID(B110,5,4)&amp;"-*",Restricciones!$F$6:$F$305,"Abierta")+COUNTIFS(Restricciones!$C$6:$C$305,"CWP-"&amp;MID(B110,5,4)&amp;"-*",Restricciones!$F$6:$F$305,"En gestión"),COUNTIFS(Restricciones!$C$6:$C$305,IF(C110="CWP",B110,H110),Restricciones!$F$6:$F$305,"Abierta")+COUNTIFS(Restricciones!$C$6:$C$305,IF(C110="CWP",B110,H110),Restricciones!$F$6:$F$305,"En gestión"))))</f>
        <v/>
      </c>
      <c r="S110" s="30">
        <f>IF(OR(B110="",M110=""),"",IF(O110&lt;&gt;"",MAX(0,O110-M110),IF(AND($B$3&gt;M110,K110&lt;&gt;"Cerrado"),$B$3-M110,0)))</f>
        <v/>
      </c>
      <c r="T110" s="31">
        <f>IF(B110="","",IF(K110="Cerrado",IF(S110&gt;0,"Cerrado con atraso","Cerrado"),IF(S110&gt;0,"Atrasado",IF(AND(N110="",L110&lt;&gt;"",$B$3&gt;L110),"Inicio atrasado","En plazo"))))</f>
        <v/>
      </c>
      <c r="U110" s="26" t="n"/>
    </row>
    <row r="111">
      <c r="A111" s="24" t="n"/>
      <c r="B111" s="25" t="n"/>
      <c r="C111" s="25" t="n"/>
      <c r="D111" s="25" t="n"/>
      <c r="E111" s="26" t="n"/>
      <c r="F111" s="25" t="n"/>
      <c r="G111" s="25" t="n"/>
      <c r="H111" s="25" t="n"/>
      <c r="I111" s="25" t="n"/>
      <c r="J111" s="25" t="n"/>
      <c r="K111" s="25" t="n"/>
      <c r="L111" s="27" t="n"/>
      <c r="M111" s="27" t="n"/>
      <c r="N111" s="27" t="n"/>
      <c r="O111" s="27" t="n"/>
      <c r="P111" s="28" t="n"/>
      <c r="Q111" s="29" t="n"/>
      <c r="R111" s="30">
        <f>IF(B111="","",IF(C111="IWP",COUNTIFS(Restricciones!$D$6:$D$305,B111,Restricciones!$F$6:$F$305,"Abierta")+COUNTIFS(Restricciones!$D$6:$D$305,B111,Restricciones!$F$6:$F$305,"En gestión"),IF(C111="CWA",COUNTIFS(Restricciones!$C$6:$C$305,"CWP-"&amp;MID(B111,5,4)&amp;"-*",Restricciones!$F$6:$F$305,"Abierta")+COUNTIFS(Restricciones!$C$6:$C$305,"CWP-"&amp;MID(B111,5,4)&amp;"-*",Restricciones!$F$6:$F$305,"En gestión"),COUNTIFS(Restricciones!$C$6:$C$305,IF(C111="CWP",B111,H111),Restricciones!$F$6:$F$305,"Abierta")+COUNTIFS(Restricciones!$C$6:$C$305,IF(C111="CWP",B111,H111),Restricciones!$F$6:$F$305,"En gestión"))))</f>
        <v/>
      </c>
      <c r="S111" s="30">
        <f>IF(OR(B111="",M111=""),"",IF(O111&lt;&gt;"",MAX(0,O111-M111),IF(AND($B$3&gt;M111,K111&lt;&gt;"Cerrado"),$B$3-M111,0)))</f>
        <v/>
      </c>
      <c r="T111" s="31">
        <f>IF(B111="","",IF(K111="Cerrado",IF(S111&gt;0,"Cerrado con atraso","Cerrado"),IF(S111&gt;0,"Atrasado",IF(AND(N111="",L111&lt;&gt;"",$B$3&gt;L111),"Inicio atrasado","En plazo"))))</f>
        <v/>
      </c>
      <c r="U111" s="26" t="n"/>
    </row>
    <row r="112">
      <c r="A112" s="24" t="n"/>
      <c r="B112" s="25" t="n"/>
      <c r="C112" s="25" t="n"/>
      <c r="D112" s="25" t="n"/>
      <c r="E112" s="26" t="n"/>
      <c r="F112" s="25" t="n"/>
      <c r="G112" s="25" t="n"/>
      <c r="H112" s="25" t="n"/>
      <c r="I112" s="25" t="n"/>
      <c r="J112" s="25" t="n"/>
      <c r="K112" s="25" t="n"/>
      <c r="L112" s="27" t="n"/>
      <c r="M112" s="27" t="n"/>
      <c r="N112" s="27" t="n"/>
      <c r="O112" s="27" t="n"/>
      <c r="P112" s="28" t="n"/>
      <c r="Q112" s="29" t="n"/>
      <c r="R112" s="30">
        <f>IF(B112="","",IF(C112="IWP",COUNTIFS(Restricciones!$D$6:$D$305,B112,Restricciones!$F$6:$F$305,"Abierta")+COUNTIFS(Restricciones!$D$6:$D$305,B112,Restricciones!$F$6:$F$305,"En gestión"),IF(C112="CWA",COUNTIFS(Restricciones!$C$6:$C$305,"CWP-"&amp;MID(B112,5,4)&amp;"-*",Restricciones!$F$6:$F$305,"Abierta")+COUNTIFS(Restricciones!$C$6:$C$305,"CWP-"&amp;MID(B112,5,4)&amp;"-*",Restricciones!$F$6:$F$305,"En gestión"),COUNTIFS(Restricciones!$C$6:$C$305,IF(C112="CWP",B112,H112),Restricciones!$F$6:$F$305,"Abierta")+COUNTIFS(Restricciones!$C$6:$C$305,IF(C112="CWP",B112,H112),Restricciones!$F$6:$F$305,"En gestión"))))</f>
        <v/>
      </c>
      <c r="S112" s="30">
        <f>IF(OR(B112="",M112=""),"",IF(O112&lt;&gt;"",MAX(0,O112-M112),IF(AND($B$3&gt;M112,K112&lt;&gt;"Cerrado"),$B$3-M112,0)))</f>
        <v/>
      </c>
      <c r="T112" s="31">
        <f>IF(B112="","",IF(K112="Cerrado",IF(S112&gt;0,"Cerrado con atraso","Cerrado"),IF(S112&gt;0,"Atrasado",IF(AND(N112="",L112&lt;&gt;"",$B$3&gt;L112),"Inicio atrasado","En plazo"))))</f>
        <v/>
      </c>
      <c r="U112" s="26" t="n"/>
    </row>
    <row r="113">
      <c r="A113" s="24" t="n"/>
      <c r="B113" s="25" t="n"/>
      <c r="C113" s="25" t="n"/>
      <c r="D113" s="25" t="n"/>
      <c r="E113" s="26" t="n"/>
      <c r="F113" s="25" t="n"/>
      <c r="G113" s="25" t="n"/>
      <c r="H113" s="25" t="n"/>
      <c r="I113" s="25" t="n"/>
      <c r="J113" s="25" t="n"/>
      <c r="K113" s="25" t="n"/>
      <c r="L113" s="27" t="n"/>
      <c r="M113" s="27" t="n"/>
      <c r="N113" s="27" t="n"/>
      <c r="O113" s="27" t="n"/>
      <c r="P113" s="28" t="n"/>
      <c r="Q113" s="29" t="n"/>
      <c r="R113" s="30">
        <f>IF(B113="","",IF(C113="IWP",COUNTIFS(Restricciones!$D$6:$D$305,B113,Restricciones!$F$6:$F$305,"Abierta")+COUNTIFS(Restricciones!$D$6:$D$305,B113,Restricciones!$F$6:$F$305,"En gestión"),IF(C113="CWA",COUNTIFS(Restricciones!$C$6:$C$305,"CWP-"&amp;MID(B113,5,4)&amp;"-*",Restricciones!$F$6:$F$305,"Abierta")+COUNTIFS(Restricciones!$C$6:$C$305,"CWP-"&amp;MID(B113,5,4)&amp;"-*",Restricciones!$F$6:$F$305,"En gestión"),COUNTIFS(Restricciones!$C$6:$C$305,IF(C113="CWP",B113,H113),Restricciones!$F$6:$F$305,"Abierta")+COUNTIFS(Restricciones!$C$6:$C$305,IF(C113="CWP",B113,H113),Restricciones!$F$6:$F$305,"En gestión"))))</f>
        <v/>
      </c>
      <c r="S113" s="30">
        <f>IF(OR(B113="",M113=""),"",IF(O113&lt;&gt;"",MAX(0,O113-M113),IF(AND($B$3&gt;M113,K113&lt;&gt;"Cerrado"),$B$3-M113,0)))</f>
        <v/>
      </c>
      <c r="T113" s="31">
        <f>IF(B113="","",IF(K113="Cerrado",IF(S113&gt;0,"Cerrado con atraso","Cerrado"),IF(S113&gt;0,"Atrasado",IF(AND(N113="",L113&lt;&gt;"",$B$3&gt;L113),"Inicio atrasado","En plazo"))))</f>
        <v/>
      </c>
      <c r="U113" s="26" t="n"/>
    </row>
    <row r="114">
      <c r="A114" s="24" t="n"/>
      <c r="B114" s="25" t="n"/>
      <c r="C114" s="25" t="n"/>
      <c r="D114" s="25" t="n"/>
      <c r="E114" s="26" t="n"/>
      <c r="F114" s="25" t="n"/>
      <c r="G114" s="25" t="n"/>
      <c r="H114" s="25" t="n"/>
      <c r="I114" s="25" t="n"/>
      <c r="J114" s="25" t="n"/>
      <c r="K114" s="25" t="n"/>
      <c r="L114" s="27" t="n"/>
      <c r="M114" s="27" t="n"/>
      <c r="N114" s="27" t="n"/>
      <c r="O114" s="27" t="n"/>
      <c r="P114" s="28" t="n"/>
      <c r="Q114" s="29" t="n"/>
      <c r="R114" s="30">
        <f>IF(B114="","",IF(C114="IWP",COUNTIFS(Restricciones!$D$6:$D$305,B114,Restricciones!$F$6:$F$305,"Abierta")+COUNTIFS(Restricciones!$D$6:$D$305,B114,Restricciones!$F$6:$F$305,"En gestión"),IF(C114="CWA",COUNTIFS(Restricciones!$C$6:$C$305,"CWP-"&amp;MID(B114,5,4)&amp;"-*",Restricciones!$F$6:$F$305,"Abierta")+COUNTIFS(Restricciones!$C$6:$C$305,"CWP-"&amp;MID(B114,5,4)&amp;"-*",Restricciones!$F$6:$F$305,"En gestión"),COUNTIFS(Restricciones!$C$6:$C$305,IF(C114="CWP",B114,H114),Restricciones!$F$6:$F$305,"Abierta")+COUNTIFS(Restricciones!$C$6:$C$305,IF(C114="CWP",B114,H114),Restricciones!$F$6:$F$305,"En gestión"))))</f>
        <v/>
      </c>
      <c r="S114" s="30">
        <f>IF(OR(B114="",M114=""),"",IF(O114&lt;&gt;"",MAX(0,O114-M114),IF(AND($B$3&gt;M114,K114&lt;&gt;"Cerrado"),$B$3-M114,0)))</f>
        <v/>
      </c>
      <c r="T114" s="31">
        <f>IF(B114="","",IF(K114="Cerrado",IF(S114&gt;0,"Cerrado con atraso","Cerrado"),IF(S114&gt;0,"Atrasado",IF(AND(N114="",L114&lt;&gt;"",$B$3&gt;L114),"Inicio atrasado","En plazo"))))</f>
        <v/>
      </c>
      <c r="U114" s="26" t="n"/>
    </row>
    <row r="115">
      <c r="A115" s="24" t="n"/>
      <c r="B115" s="25" t="n"/>
      <c r="C115" s="25" t="n"/>
      <c r="D115" s="25" t="n"/>
      <c r="E115" s="26" t="n"/>
      <c r="F115" s="25" t="n"/>
      <c r="G115" s="25" t="n"/>
      <c r="H115" s="25" t="n"/>
      <c r="I115" s="25" t="n"/>
      <c r="J115" s="25" t="n"/>
      <c r="K115" s="25" t="n"/>
      <c r="L115" s="27" t="n"/>
      <c r="M115" s="27" t="n"/>
      <c r="N115" s="27" t="n"/>
      <c r="O115" s="27" t="n"/>
      <c r="P115" s="28" t="n"/>
      <c r="Q115" s="29" t="n"/>
      <c r="R115" s="30">
        <f>IF(B115="","",IF(C115="IWP",COUNTIFS(Restricciones!$D$6:$D$305,B115,Restricciones!$F$6:$F$305,"Abierta")+COUNTIFS(Restricciones!$D$6:$D$305,B115,Restricciones!$F$6:$F$305,"En gestión"),IF(C115="CWA",COUNTIFS(Restricciones!$C$6:$C$305,"CWP-"&amp;MID(B115,5,4)&amp;"-*",Restricciones!$F$6:$F$305,"Abierta")+COUNTIFS(Restricciones!$C$6:$C$305,"CWP-"&amp;MID(B115,5,4)&amp;"-*",Restricciones!$F$6:$F$305,"En gestión"),COUNTIFS(Restricciones!$C$6:$C$305,IF(C115="CWP",B115,H115),Restricciones!$F$6:$F$305,"Abierta")+COUNTIFS(Restricciones!$C$6:$C$305,IF(C115="CWP",B115,H115),Restricciones!$F$6:$F$305,"En gestión"))))</f>
        <v/>
      </c>
      <c r="S115" s="30">
        <f>IF(OR(B115="",M115=""),"",IF(O115&lt;&gt;"",MAX(0,O115-M115),IF(AND($B$3&gt;M115,K115&lt;&gt;"Cerrado"),$B$3-M115,0)))</f>
        <v/>
      </c>
      <c r="T115" s="31">
        <f>IF(B115="","",IF(K115="Cerrado",IF(S115&gt;0,"Cerrado con atraso","Cerrado"),IF(S115&gt;0,"Atrasado",IF(AND(N115="",L115&lt;&gt;"",$B$3&gt;L115),"Inicio atrasado","En plazo"))))</f>
        <v/>
      </c>
      <c r="U115" s="26" t="n"/>
    </row>
    <row r="116">
      <c r="A116" s="24" t="n"/>
      <c r="B116" s="25" t="n"/>
      <c r="C116" s="25" t="n"/>
      <c r="D116" s="25" t="n"/>
      <c r="E116" s="26" t="n"/>
      <c r="F116" s="25" t="n"/>
      <c r="G116" s="25" t="n"/>
      <c r="H116" s="25" t="n"/>
      <c r="I116" s="25" t="n"/>
      <c r="J116" s="25" t="n"/>
      <c r="K116" s="25" t="n"/>
      <c r="L116" s="27" t="n"/>
      <c r="M116" s="27" t="n"/>
      <c r="N116" s="27" t="n"/>
      <c r="O116" s="27" t="n"/>
      <c r="P116" s="28" t="n"/>
      <c r="Q116" s="29" t="n"/>
      <c r="R116" s="30">
        <f>IF(B116="","",IF(C116="IWP",COUNTIFS(Restricciones!$D$6:$D$305,B116,Restricciones!$F$6:$F$305,"Abierta")+COUNTIFS(Restricciones!$D$6:$D$305,B116,Restricciones!$F$6:$F$305,"En gestión"),IF(C116="CWA",COUNTIFS(Restricciones!$C$6:$C$305,"CWP-"&amp;MID(B116,5,4)&amp;"-*",Restricciones!$F$6:$F$305,"Abierta")+COUNTIFS(Restricciones!$C$6:$C$305,"CWP-"&amp;MID(B116,5,4)&amp;"-*",Restricciones!$F$6:$F$305,"En gestión"),COUNTIFS(Restricciones!$C$6:$C$305,IF(C116="CWP",B116,H116),Restricciones!$F$6:$F$305,"Abierta")+COUNTIFS(Restricciones!$C$6:$C$305,IF(C116="CWP",B116,H116),Restricciones!$F$6:$F$305,"En gestión"))))</f>
        <v/>
      </c>
      <c r="S116" s="30">
        <f>IF(OR(B116="",M116=""),"",IF(O116&lt;&gt;"",MAX(0,O116-M116),IF(AND($B$3&gt;M116,K116&lt;&gt;"Cerrado"),$B$3-M116,0)))</f>
        <v/>
      </c>
      <c r="T116" s="31">
        <f>IF(B116="","",IF(K116="Cerrado",IF(S116&gt;0,"Cerrado con atraso","Cerrado"),IF(S116&gt;0,"Atrasado",IF(AND(N116="",L116&lt;&gt;"",$B$3&gt;L116),"Inicio atrasado","En plazo"))))</f>
        <v/>
      </c>
      <c r="U116" s="26" t="n"/>
    </row>
    <row r="117">
      <c r="A117" s="24" t="n"/>
      <c r="B117" s="25" t="n"/>
      <c r="C117" s="25" t="n"/>
      <c r="D117" s="25" t="n"/>
      <c r="E117" s="26" t="n"/>
      <c r="F117" s="25" t="n"/>
      <c r="G117" s="25" t="n"/>
      <c r="H117" s="25" t="n"/>
      <c r="I117" s="25" t="n"/>
      <c r="J117" s="25" t="n"/>
      <c r="K117" s="25" t="n"/>
      <c r="L117" s="27" t="n"/>
      <c r="M117" s="27" t="n"/>
      <c r="N117" s="27" t="n"/>
      <c r="O117" s="27" t="n"/>
      <c r="P117" s="28" t="n"/>
      <c r="Q117" s="29" t="n"/>
      <c r="R117" s="30">
        <f>IF(B117="","",IF(C117="IWP",COUNTIFS(Restricciones!$D$6:$D$305,B117,Restricciones!$F$6:$F$305,"Abierta")+COUNTIFS(Restricciones!$D$6:$D$305,B117,Restricciones!$F$6:$F$305,"En gestión"),IF(C117="CWA",COUNTIFS(Restricciones!$C$6:$C$305,"CWP-"&amp;MID(B117,5,4)&amp;"-*",Restricciones!$F$6:$F$305,"Abierta")+COUNTIFS(Restricciones!$C$6:$C$305,"CWP-"&amp;MID(B117,5,4)&amp;"-*",Restricciones!$F$6:$F$305,"En gestión"),COUNTIFS(Restricciones!$C$6:$C$305,IF(C117="CWP",B117,H117),Restricciones!$F$6:$F$305,"Abierta")+COUNTIFS(Restricciones!$C$6:$C$305,IF(C117="CWP",B117,H117),Restricciones!$F$6:$F$305,"En gestión"))))</f>
        <v/>
      </c>
      <c r="S117" s="30">
        <f>IF(OR(B117="",M117=""),"",IF(O117&lt;&gt;"",MAX(0,O117-M117),IF(AND($B$3&gt;M117,K117&lt;&gt;"Cerrado"),$B$3-M117,0)))</f>
        <v/>
      </c>
      <c r="T117" s="31">
        <f>IF(B117="","",IF(K117="Cerrado",IF(S117&gt;0,"Cerrado con atraso","Cerrado"),IF(S117&gt;0,"Atrasado",IF(AND(N117="",L117&lt;&gt;"",$B$3&gt;L117),"Inicio atrasado","En plazo"))))</f>
        <v/>
      </c>
      <c r="U117" s="26" t="n"/>
    </row>
    <row r="118">
      <c r="A118" s="24" t="n"/>
      <c r="B118" s="25" t="n"/>
      <c r="C118" s="25" t="n"/>
      <c r="D118" s="25" t="n"/>
      <c r="E118" s="26" t="n"/>
      <c r="F118" s="25" t="n"/>
      <c r="G118" s="25" t="n"/>
      <c r="H118" s="25" t="n"/>
      <c r="I118" s="25" t="n"/>
      <c r="J118" s="25" t="n"/>
      <c r="K118" s="25" t="n"/>
      <c r="L118" s="27" t="n"/>
      <c r="M118" s="27" t="n"/>
      <c r="N118" s="27" t="n"/>
      <c r="O118" s="27" t="n"/>
      <c r="P118" s="28" t="n"/>
      <c r="Q118" s="29" t="n"/>
      <c r="R118" s="30">
        <f>IF(B118="","",IF(C118="IWP",COUNTIFS(Restricciones!$D$6:$D$305,B118,Restricciones!$F$6:$F$305,"Abierta")+COUNTIFS(Restricciones!$D$6:$D$305,B118,Restricciones!$F$6:$F$305,"En gestión"),IF(C118="CWA",COUNTIFS(Restricciones!$C$6:$C$305,"CWP-"&amp;MID(B118,5,4)&amp;"-*",Restricciones!$F$6:$F$305,"Abierta")+COUNTIFS(Restricciones!$C$6:$C$305,"CWP-"&amp;MID(B118,5,4)&amp;"-*",Restricciones!$F$6:$F$305,"En gestión"),COUNTIFS(Restricciones!$C$6:$C$305,IF(C118="CWP",B118,H118),Restricciones!$F$6:$F$305,"Abierta")+COUNTIFS(Restricciones!$C$6:$C$305,IF(C118="CWP",B118,H118),Restricciones!$F$6:$F$305,"En gestión"))))</f>
        <v/>
      </c>
      <c r="S118" s="30">
        <f>IF(OR(B118="",M118=""),"",IF(O118&lt;&gt;"",MAX(0,O118-M118),IF(AND($B$3&gt;M118,K118&lt;&gt;"Cerrado"),$B$3-M118,0)))</f>
        <v/>
      </c>
      <c r="T118" s="31">
        <f>IF(B118="","",IF(K118="Cerrado",IF(S118&gt;0,"Cerrado con atraso","Cerrado"),IF(S118&gt;0,"Atrasado",IF(AND(N118="",L118&lt;&gt;"",$B$3&gt;L118),"Inicio atrasado","En plazo"))))</f>
        <v/>
      </c>
      <c r="U118" s="26" t="n"/>
    </row>
    <row r="119">
      <c r="A119" s="24" t="n"/>
      <c r="B119" s="25" t="n"/>
      <c r="C119" s="25" t="n"/>
      <c r="D119" s="25" t="n"/>
      <c r="E119" s="26" t="n"/>
      <c r="F119" s="25" t="n"/>
      <c r="G119" s="25" t="n"/>
      <c r="H119" s="25" t="n"/>
      <c r="I119" s="25" t="n"/>
      <c r="J119" s="25" t="n"/>
      <c r="K119" s="25" t="n"/>
      <c r="L119" s="27" t="n"/>
      <c r="M119" s="27" t="n"/>
      <c r="N119" s="27" t="n"/>
      <c r="O119" s="27" t="n"/>
      <c r="P119" s="28" t="n"/>
      <c r="Q119" s="29" t="n"/>
      <c r="R119" s="30">
        <f>IF(B119="","",IF(C119="IWP",COUNTIFS(Restricciones!$D$6:$D$305,B119,Restricciones!$F$6:$F$305,"Abierta")+COUNTIFS(Restricciones!$D$6:$D$305,B119,Restricciones!$F$6:$F$305,"En gestión"),IF(C119="CWA",COUNTIFS(Restricciones!$C$6:$C$305,"CWP-"&amp;MID(B119,5,4)&amp;"-*",Restricciones!$F$6:$F$305,"Abierta")+COUNTIFS(Restricciones!$C$6:$C$305,"CWP-"&amp;MID(B119,5,4)&amp;"-*",Restricciones!$F$6:$F$305,"En gestión"),COUNTIFS(Restricciones!$C$6:$C$305,IF(C119="CWP",B119,H119),Restricciones!$F$6:$F$305,"Abierta")+COUNTIFS(Restricciones!$C$6:$C$305,IF(C119="CWP",B119,H119),Restricciones!$F$6:$F$305,"En gestión"))))</f>
        <v/>
      </c>
      <c r="S119" s="30">
        <f>IF(OR(B119="",M119=""),"",IF(O119&lt;&gt;"",MAX(0,O119-M119),IF(AND($B$3&gt;M119,K119&lt;&gt;"Cerrado"),$B$3-M119,0)))</f>
        <v/>
      </c>
      <c r="T119" s="31">
        <f>IF(B119="","",IF(K119="Cerrado",IF(S119&gt;0,"Cerrado con atraso","Cerrado"),IF(S119&gt;0,"Atrasado",IF(AND(N119="",L119&lt;&gt;"",$B$3&gt;L119),"Inicio atrasado","En plazo"))))</f>
        <v/>
      </c>
      <c r="U119" s="26" t="n"/>
    </row>
    <row r="120">
      <c r="A120" s="24" t="n"/>
      <c r="B120" s="25" t="n"/>
      <c r="C120" s="25" t="n"/>
      <c r="D120" s="25" t="n"/>
      <c r="E120" s="26" t="n"/>
      <c r="F120" s="25" t="n"/>
      <c r="G120" s="25" t="n"/>
      <c r="H120" s="25" t="n"/>
      <c r="I120" s="25" t="n"/>
      <c r="J120" s="25" t="n"/>
      <c r="K120" s="25" t="n"/>
      <c r="L120" s="27" t="n"/>
      <c r="M120" s="27" t="n"/>
      <c r="N120" s="27" t="n"/>
      <c r="O120" s="27" t="n"/>
      <c r="P120" s="28" t="n"/>
      <c r="Q120" s="29" t="n"/>
      <c r="R120" s="30">
        <f>IF(B120="","",IF(C120="IWP",COUNTIFS(Restricciones!$D$6:$D$305,B120,Restricciones!$F$6:$F$305,"Abierta")+COUNTIFS(Restricciones!$D$6:$D$305,B120,Restricciones!$F$6:$F$305,"En gestión"),IF(C120="CWA",COUNTIFS(Restricciones!$C$6:$C$305,"CWP-"&amp;MID(B120,5,4)&amp;"-*",Restricciones!$F$6:$F$305,"Abierta")+COUNTIFS(Restricciones!$C$6:$C$305,"CWP-"&amp;MID(B120,5,4)&amp;"-*",Restricciones!$F$6:$F$305,"En gestión"),COUNTIFS(Restricciones!$C$6:$C$305,IF(C120="CWP",B120,H120),Restricciones!$F$6:$F$305,"Abierta")+COUNTIFS(Restricciones!$C$6:$C$305,IF(C120="CWP",B120,H120),Restricciones!$F$6:$F$305,"En gestión"))))</f>
        <v/>
      </c>
      <c r="S120" s="30">
        <f>IF(OR(B120="",M120=""),"",IF(O120&lt;&gt;"",MAX(0,O120-M120),IF(AND($B$3&gt;M120,K120&lt;&gt;"Cerrado"),$B$3-M120,0)))</f>
        <v/>
      </c>
      <c r="T120" s="31">
        <f>IF(B120="","",IF(K120="Cerrado",IF(S120&gt;0,"Cerrado con atraso","Cerrado"),IF(S120&gt;0,"Atrasado",IF(AND(N120="",L120&lt;&gt;"",$B$3&gt;L120),"Inicio atrasado","En plazo"))))</f>
        <v/>
      </c>
      <c r="U120" s="26" t="n"/>
    </row>
    <row r="121">
      <c r="A121" s="24" t="n"/>
      <c r="B121" s="25" t="n"/>
      <c r="C121" s="25" t="n"/>
      <c r="D121" s="25" t="n"/>
      <c r="E121" s="26" t="n"/>
      <c r="F121" s="25" t="n"/>
      <c r="G121" s="25" t="n"/>
      <c r="H121" s="25" t="n"/>
      <c r="I121" s="25" t="n"/>
      <c r="J121" s="25" t="n"/>
      <c r="K121" s="25" t="n"/>
      <c r="L121" s="27" t="n"/>
      <c r="M121" s="27" t="n"/>
      <c r="N121" s="27" t="n"/>
      <c r="O121" s="27" t="n"/>
      <c r="P121" s="28" t="n"/>
      <c r="Q121" s="29" t="n"/>
      <c r="R121" s="30">
        <f>IF(B121="","",IF(C121="IWP",COUNTIFS(Restricciones!$D$6:$D$305,B121,Restricciones!$F$6:$F$305,"Abierta")+COUNTIFS(Restricciones!$D$6:$D$305,B121,Restricciones!$F$6:$F$305,"En gestión"),IF(C121="CWA",COUNTIFS(Restricciones!$C$6:$C$305,"CWP-"&amp;MID(B121,5,4)&amp;"-*",Restricciones!$F$6:$F$305,"Abierta")+COUNTIFS(Restricciones!$C$6:$C$305,"CWP-"&amp;MID(B121,5,4)&amp;"-*",Restricciones!$F$6:$F$305,"En gestión"),COUNTIFS(Restricciones!$C$6:$C$305,IF(C121="CWP",B121,H121),Restricciones!$F$6:$F$305,"Abierta")+COUNTIFS(Restricciones!$C$6:$C$305,IF(C121="CWP",B121,H121),Restricciones!$F$6:$F$305,"En gestión"))))</f>
        <v/>
      </c>
      <c r="S121" s="30">
        <f>IF(OR(B121="",M121=""),"",IF(O121&lt;&gt;"",MAX(0,O121-M121),IF(AND($B$3&gt;M121,K121&lt;&gt;"Cerrado"),$B$3-M121,0)))</f>
        <v/>
      </c>
      <c r="T121" s="31">
        <f>IF(B121="","",IF(K121="Cerrado",IF(S121&gt;0,"Cerrado con atraso","Cerrado"),IF(S121&gt;0,"Atrasado",IF(AND(N121="",L121&lt;&gt;"",$B$3&gt;L121),"Inicio atrasado","En plazo"))))</f>
        <v/>
      </c>
      <c r="U121" s="26" t="n"/>
    </row>
    <row r="122">
      <c r="A122" s="24" t="n"/>
      <c r="B122" s="25" t="n"/>
      <c r="C122" s="25" t="n"/>
      <c r="D122" s="25" t="n"/>
      <c r="E122" s="26" t="n"/>
      <c r="F122" s="25" t="n"/>
      <c r="G122" s="25" t="n"/>
      <c r="H122" s="25" t="n"/>
      <c r="I122" s="25" t="n"/>
      <c r="J122" s="25" t="n"/>
      <c r="K122" s="25" t="n"/>
      <c r="L122" s="27" t="n"/>
      <c r="M122" s="27" t="n"/>
      <c r="N122" s="27" t="n"/>
      <c r="O122" s="27" t="n"/>
      <c r="P122" s="28" t="n"/>
      <c r="Q122" s="29" t="n"/>
      <c r="R122" s="30">
        <f>IF(B122="","",IF(C122="IWP",COUNTIFS(Restricciones!$D$6:$D$305,B122,Restricciones!$F$6:$F$305,"Abierta")+COUNTIFS(Restricciones!$D$6:$D$305,B122,Restricciones!$F$6:$F$305,"En gestión"),IF(C122="CWA",COUNTIFS(Restricciones!$C$6:$C$305,"CWP-"&amp;MID(B122,5,4)&amp;"-*",Restricciones!$F$6:$F$305,"Abierta")+COUNTIFS(Restricciones!$C$6:$C$305,"CWP-"&amp;MID(B122,5,4)&amp;"-*",Restricciones!$F$6:$F$305,"En gestión"),COUNTIFS(Restricciones!$C$6:$C$305,IF(C122="CWP",B122,H122),Restricciones!$F$6:$F$305,"Abierta")+COUNTIFS(Restricciones!$C$6:$C$305,IF(C122="CWP",B122,H122),Restricciones!$F$6:$F$305,"En gestión"))))</f>
        <v/>
      </c>
      <c r="S122" s="30">
        <f>IF(OR(B122="",M122=""),"",IF(O122&lt;&gt;"",MAX(0,O122-M122),IF(AND($B$3&gt;M122,K122&lt;&gt;"Cerrado"),$B$3-M122,0)))</f>
        <v/>
      </c>
      <c r="T122" s="31">
        <f>IF(B122="","",IF(K122="Cerrado",IF(S122&gt;0,"Cerrado con atraso","Cerrado"),IF(S122&gt;0,"Atrasado",IF(AND(N122="",L122&lt;&gt;"",$B$3&gt;L122),"Inicio atrasado","En plazo"))))</f>
        <v/>
      </c>
      <c r="U122" s="26" t="n"/>
    </row>
    <row r="123">
      <c r="A123" s="24" t="n"/>
      <c r="B123" s="25" t="n"/>
      <c r="C123" s="25" t="n"/>
      <c r="D123" s="25" t="n"/>
      <c r="E123" s="26" t="n"/>
      <c r="F123" s="25" t="n"/>
      <c r="G123" s="25" t="n"/>
      <c r="H123" s="25" t="n"/>
      <c r="I123" s="25" t="n"/>
      <c r="J123" s="25" t="n"/>
      <c r="K123" s="25" t="n"/>
      <c r="L123" s="27" t="n"/>
      <c r="M123" s="27" t="n"/>
      <c r="N123" s="27" t="n"/>
      <c r="O123" s="27" t="n"/>
      <c r="P123" s="28" t="n"/>
      <c r="Q123" s="29" t="n"/>
      <c r="R123" s="30">
        <f>IF(B123="","",IF(C123="IWP",COUNTIFS(Restricciones!$D$6:$D$305,B123,Restricciones!$F$6:$F$305,"Abierta")+COUNTIFS(Restricciones!$D$6:$D$305,B123,Restricciones!$F$6:$F$305,"En gestión"),IF(C123="CWA",COUNTIFS(Restricciones!$C$6:$C$305,"CWP-"&amp;MID(B123,5,4)&amp;"-*",Restricciones!$F$6:$F$305,"Abierta")+COUNTIFS(Restricciones!$C$6:$C$305,"CWP-"&amp;MID(B123,5,4)&amp;"-*",Restricciones!$F$6:$F$305,"En gestión"),COUNTIFS(Restricciones!$C$6:$C$305,IF(C123="CWP",B123,H123),Restricciones!$F$6:$F$305,"Abierta")+COUNTIFS(Restricciones!$C$6:$C$305,IF(C123="CWP",B123,H123),Restricciones!$F$6:$F$305,"En gestión"))))</f>
        <v/>
      </c>
      <c r="S123" s="30">
        <f>IF(OR(B123="",M123=""),"",IF(O123&lt;&gt;"",MAX(0,O123-M123),IF(AND($B$3&gt;M123,K123&lt;&gt;"Cerrado"),$B$3-M123,0)))</f>
        <v/>
      </c>
      <c r="T123" s="31">
        <f>IF(B123="","",IF(K123="Cerrado",IF(S123&gt;0,"Cerrado con atraso","Cerrado"),IF(S123&gt;0,"Atrasado",IF(AND(N123="",L123&lt;&gt;"",$B$3&gt;L123),"Inicio atrasado","En plazo"))))</f>
        <v/>
      </c>
      <c r="U123" s="26" t="n"/>
    </row>
    <row r="124">
      <c r="A124" s="24" t="n"/>
      <c r="B124" s="25" t="n"/>
      <c r="C124" s="25" t="n"/>
      <c r="D124" s="25" t="n"/>
      <c r="E124" s="26" t="n"/>
      <c r="F124" s="25" t="n"/>
      <c r="G124" s="25" t="n"/>
      <c r="H124" s="25" t="n"/>
      <c r="I124" s="25" t="n"/>
      <c r="J124" s="25" t="n"/>
      <c r="K124" s="25" t="n"/>
      <c r="L124" s="27" t="n"/>
      <c r="M124" s="27" t="n"/>
      <c r="N124" s="27" t="n"/>
      <c r="O124" s="27" t="n"/>
      <c r="P124" s="28" t="n"/>
      <c r="Q124" s="29" t="n"/>
      <c r="R124" s="30">
        <f>IF(B124="","",IF(C124="IWP",COUNTIFS(Restricciones!$D$6:$D$305,B124,Restricciones!$F$6:$F$305,"Abierta")+COUNTIFS(Restricciones!$D$6:$D$305,B124,Restricciones!$F$6:$F$305,"En gestión"),IF(C124="CWA",COUNTIFS(Restricciones!$C$6:$C$305,"CWP-"&amp;MID(B124,5,4)&amp;"-*",Restricciones!$F$6:$F$305,"Abierta")+COUNTIFS(Restricciones!$C$6:$C$305,"CWP-"&amp;MID(B124,5,4)&amp;"-*",Restricciones!$F$6:$F$305,"En gestión"),COUNTIFS(Restricciones!$C$6:$C$305,IF(C124="CWP",B124,H124),Restricciones!$F$6:$F$305,"Abierta")+COUNTIFS(Restricciones!$C$6:$C$305,IF(C124="CWP",B124,H124),Restricciones!$F$6:$F$305,"En gestión"))))</f>
        <v/>
      </c>
      <c r="S124" s="30">
        <f>IF(OR(B124="",M124=""),"",IF(O124&lt;&gt;"",MAX(0,O124-M124),IF(AND($B$3&gt;M124,K124&lt;&gt;"Cerrado"),$B$3-M124,0)))</f>
        <v/>
      </c>
      <c r="T124" s="31">
        <f>IF(B124="","",IF(K124="Cerrado",IF(S124&gt;0,"Cerrado con atraso","Cerrado"),IF(S124&gt;0,"Atrasado",IF(AND(N124="",L124&lt;&gt;"",$B$3&gt;L124),"Inicio atrasado","En plazo"))))</f>
        <v/>
      </c>
      <c r="U124" s="26" t="n"/>
    </row>
    <row r="125">
      <c r="A125" s="24" t="n"/>
      <c r="B125" s="25" t="n"/>
      <c r="C125" s="25" t="n"/>
      <c r="D125" s="25" t="n"/>
      <c r="E125" s="26" t="n"/>
      <c r="F125" s="25" t="n"/>
      <c r="G125" s="25" t="n"/>
      <c r="H125" s="25" t="n"/>
      <c r="I125" s="25" t="n"/>
      <c r="J125" s="25" t="n"/>
      <c r="K125" s="25" t="n"/>
      <c r="L125" s="27" t="n"/>
      <c r="M125" s="27" t="n"/>
      <c r="N125" s="27" t="n"/>
      <c r="O125" s="27" t="n"/>
      <c r="P125" s="28" t="n"/>
      <c r="Q125" s="29" t="n"/>
      <c r="R125" s="30">
        <f>IF(B125="","",IF(C125="IWP",COUNTIFS(Restricciones!$D$6:$D$305,B125,Restricciones!$F$6:$F$305,"Abierta")+COUNTIFS(Restricciones!$D$6:$D$305,B125,Restricciones!$F$6:$F$305,"En gestión"),IF(C125="CWA",COUNTIFS(Restricciones!$C$6:$C$305,"CWP-"&amp;MID(B125,5,4)&amp;"-*",Restricciones!$F$6:$F$305,"Abierta")+COUNTIFS(Restricciones!$C$6:$C$305,"CWP-"&amp;MID(B125,5,4)&amp;"-*",Restricciones!$F$6:$F$305,"En gestión"),COUNTIFS(Restricciones!$C$6:$C$305,IF(C125="CWP",B125,H125),Restricciones!$F$6:$F$305,"Abierta")+COUNTIFS(Restricciones!$C$6:$C$305,IF(C125="CWP",B125,H125),Restricciones!$F$6:$F$305,"En gestión"))))</f>
        <v/>
      </c>
      <c r="S125" s="30">
        <f>IF(OR(B125="",M125=""),"",IF(O125&lt;&gt;"",MAX(0,O125-M125),IF(AND($B$3&gt;M125,K125&lt;&gt;"Cerrado"),$B$3-M125,0)))</f>
        <v/>
      </c>
      <c r="T125" s="31">
        <f>IF(B125="","",IF(K125="Cerrado",IF(S125&gt;0,"Cerrado con atraso","Cerrado"),IF(S125&gt;0,"Atrasado",IF(AND(N125="",L125&lt;&gt;"",$B$3&gt;L125),"Inicio atrasado","En plazo"))))</f>
        <v/>
      </c>
      <c r="U125" s="26" t="n"/>
    </row>
    <row r="126">
      <c r="A126" s="24" t="n"/>
      <c r="B126" s="25" t="n"/>
      <c r="C126" s="25" t="n"/>
      <c r="D126" s="25" t="n"/>
      <c r="E126" s="26" t="n"/>
      <c r="F126" s="25" t="n"/>
      <c r="G126" s="25" t="n"/>
      <c r="H126" s="25" t="n"/>
      <c r="I126" s="25" t="n"/>
      <c r="J126" s="25" t="n"/>
      <c r="K126" s="25" t="n"/>
      <c r="L126" s="27" t="n"/>
      <c r="M126" s="27" t="n"/>
      <c r="N126" s="27" t="n"/>
      <c r="O126" s="27" t="n"/>
      <c r="P126" s="28" t="n"/>
      <c r="Q126" s="29" t="n"/>
      <c r="R126" s="30">
        <f>IF(B126="","",IF(C126="IWP",COUNTIFS(Restricciones!$D$6:$D$305,B126,Restricciones!$F$6:$F$305,"Abierta")+COUNTIFS(Restricciones!$D$6:$D$305,B126,Restricciones!$F$6:$F$305,"En gestión"),IF(C126="CWA",COUNTIFS(Restricciones!$C$6:$C$305,"CWP-"&amp;MID(B126,5,4)&amp;"-*",Restricciones!$F$6:$F$305,"Abierta")+COUNTIFS(Restricciones!$C$6:$C$305,"CWP-"&amp;MID(B126,5,4)&amp;"-*",Restricciones!$F$6:$F$305,"En gestión"),COUNTIFS(Restricciones!$C$6:$C$305,IF(C126="CWP",B126,H126),Restricciones!$F$6:$F$305,"Abierta")+COUNTIFS(Restricciones!$C$6:$C$305,IF(C126="CWP",B126,H126),Restricciones!$F$6:$F$305,"En gestión"))))</f>
        <v/>
      </c>
      <c r="S126" s="30">
        <f>IF(OR(B126="",M126=""),"",IF(O126&lt;&gt;"",MAX(0,O126-M126),IF(AND($B$3&gt;M126,K126&lt;&gt;"Cerrado"),$B$3-M126,0)))</f>
        <v/>
      </c>
      <c r="T126" s="31">
        <f>IF(B126="","",IF(K126="Cerrado",IF(S126&gt;0,"Cerrado con atraso","Cerrado"),IF(S126&gt;0,"Atrasado",IF(AND(N126="",L126&lt;&gt;"",$B$3&gt;L126),"Inicio atrasado","En plazo"))))</f>
        <v/>
      </c>
      <c r="U126" s="26" t="n"/>
    </row>
    <row r="127">
      <c r="A127" s="24" t="n"/>
      <c r="B127" s="25" t="n"/>
      <c r="C127" s="25" t="n"/>
      <c r="D127" s="25" t="n"/>
      <c r="E127" s="26" t="n"/>
      <c r="F127" s="25" t="n"/>
      <c r="G127" s="25" t="n"/>
      <c r="H127" s="25" t="n"/>
      <c r="I127" s="25" t="n"/>
      <c r="J127" s="25" t="n"/>
      <c r="K127" s="25" t="n"/>
      <c r="L127" s="27" t="n"/>
      <c r="M127" s="27" t="n"/>
      <c r="N127" s="27" t="n"/>
      <c r="O127" s="27" t="n"/>
      <c r="P127" s="28" t="n"/>
      <c r="Q127" s="29" t="n"/>
      <c r="R127" s="30">
        <f>IF(B127="","",IF(C127="IWP",COUNTIFS(Restricciones!$D$6:$D$305,B127,Restricciones!$F$6:$F$305,"Abierta")+COUNTIFS(Restricciones!$D$6:$D$305,B127,Restricciones!$F$6:$F$305,"En gestión"),IF(C127="CWA",COUNTIFS(Restricciones!$C$6:$C$305,"CWP-"&amp;MID(B127,5,4)&amp;"-*",Restricciones!$F$6:$F$305,"Abierta")+COUNTIFS(Restricciones!$C$6:$C$305,"CWP-"&amp;MID(B127,5,4)&amp;"-*",Restricciones!$F$6:$F$305,"En gestión"),COUNTIFS(Restricciones!$C$6:$C$305,IF(C127="CWP",B127,H127),Restricciones!$F$6:$F$305,"Abierta")+COUNTIFS(Restricciones!$C$6:$C$305,IF(C127="CWP",B127,H127),Restricciones!$F$6:$F$305,"En gestión"))))</f>
        <v/>
      </c>
      <c r="S127" s="30">
        <f>IF(OR(B127="",M127=""),"",IF(O127&lt;&gt;"",MAX(0,O127-M127),IF(AND($B$3&gt;M127,K127&lt;&gt;"Cerrado"),$B$3-M127,0)))</f>
        <v/>
      </c>
      <c r="T127" s="31">
        <f>IF(B127="","",IF(K127="Cerrado",IF(S127&gt;0,"Cerrado con atraso","Cerrado"),IF(S127&gt;0,"Atrasado",IF(AND(N127="",L127&lt;&gt;"",$B$3&gt;L127),"Inicio atrasado","En plazo"))))</f>
        <v/>
      </c>
      <c r="U127" s="26" t="n"/>
    </row>
    <row r="128">
      <c r="A128" s="24" t="n"/>
      <c r="B128" s="25" t="n"/>
      <c r="C128" s="25" t="n"/>
      <c r="D128" s="25" t="n"/>
      <c r="E128" s="26" t="n"/>
      <c r="F128" s="25" t="n"/>
      <c r="G128" s="25" t="n"/>
      <c r="H128" s="25" t="n"/>
      <c r="I128" s="25" t="n"/>
      <c r="J128" s="25" t="n"/>
      <c r="K128" s="25" t="n"/>
      <c r="L128" s="27" t="n"/>
      <c r="M128" s="27" t="n"/>
      <c r="N128" s="27" t="n"/>
      <c r="O128" s="27" t="n"/>
      <c r="P128" s="28" t="n"/>
      <c r="Q128" s="29" t="n"/>
      <c r="R128" s="30">
        <f>IF(B128="","",IF(C128="IWP",COUNTIFS(Restricciones!$D$6:$D$305,B128,Restricciones!$F$6:$F$305,"Abierta")+COUNTIFS(Restricciones!$D$6:$D$305,B128,Restricciones!$F$6:$F$305,"En gestión"),IF(C128="CWA",COUNTIFS(Restricciones!$C$6:$C$305,"CWP-"&amp;MID(B128,5,4)&amp;"-*",Restricciones!$F$6:$F$305,"Abierta")+COUNTIFS(Restricciones!$C$6:$C$305,"CWP-"&amp;MID(B128,5,4)&amp;"-*",Restricciones!$F$6:$F$305,"En gestión"),COUNTIFS(Restricciones!$C$6:$C$305,IF(C128="CWP",B128,H128),Restricciones!$F$6:$F$305,"Abierta")+COUNTIFS(Restricciones!$C$6:$C$305,IF(C128="CWP",B128,H128),Restricciones!$F$6:$F$305,"En gestión"))))</f>
        <v/>
      </c>
      <c r="S128" s="30">
        <f>IF(OR(B128="",M128=""),"",IF(O128&lt;&gt;"",MAX(0,O128-M128),IF(AND($B$3&gt;M128,K128&lt;&gt;"Cerrado"),$B$3-M128,0)))</f>
        <v/>
      </c>
      <c r="T128" s="31">
        <f>IF(B128="","",IF(K128="Cerrado",IF(S128&gt;0,"Cerrado con atraso","Cerrado"),IF(S128&gt;0,"Atrasado",IF(AND(N128="",L128&lt;&gt;"",$B$3&gt;L128),"Inicio atrasado","En plazo"))))</f>
        <v/>
      </c>
      <c r="U128" s="26" t="n"/>
    </row>
    <row r="129">
      <c r="A129" s="24" t="n"/>
      <c r="B129" s="25" t="n"/>
      <c r="C129" s="25" t="n"/>
      <c r="D129" s="25" t="n"/>
      <c r="E129" s="26" t="n"/>
      <c r="F129" s="25" t="n"/>
      <c r="G129" s="25" t="n"/>
      <c r="H129" s="25" t="n"/>
      <c r="I129" s="25" t="n"/>
      <c r="J129" s="25" t="n"/>
      <c r="K129" s="25" t="n"/>
      <c r="L129" s="27" t="n"/>
      <c r="M129" s="27" t="n"/>
      <c r="N129" s="27" t="n"/>
      <c r="O129" s="27" t="n"/>
      <c r="P129" s="28" t="n"/>
      <c r="Q129" s="29" t="n"/>
      <c r="R129" s="30">
        <f>IF(B129="","",IF(C129="IWP",COUNTIFS(Restricciones!$D$6:$D$305,B129,Restricciones!$F$6:$F$305,"Abierta")+COUNTIFS(Restricciones!$D$6:$D$305,B129,Restricciones!$F$6:$F$305,"En gestión"),IF(C129="CWA",COUNTIFS(Restricciones!$C$6:$C$305,"CWP-"&amp;MID(B129,5,4)&amp;"-*",Restricciones!$F$6:$F$305,"Abierta")+COUNTIFS(Restricciones!$C$6:$C$305,"CWP-"&amp;MID(B129,5,4)&amp;"-*",Restricciones!$F$6:$F$305,"En gestión"),COUNTIFS(Restricciones!$C$6:$C$305,IF(C129="CWP",B129,H129),Restricciones!$F$6:$F$305,"Abierta")+COUNTIFS(Restricciones!$C$6:$C$305,IF(C129="CWP",B129,H129),Restricciones!$F$6:$F$305,"En gestión"))))</f>
        <v/>
      </c>
      <c r="S129" s="30">
        <f>IF(OR(B129="",M129=""),"",IF(O129&lt;&gt;"",MAX(0,O129-M129),IF(AND($B$3&gt;M129,K129&lt;&gt;"Cerrado"),$B$3-M129,0)))</f>
        <v/>
      </c>
      <c r="T129" s="31">
        <f>IF(B129="","",IF(K129="Cerrado",IF(S129&gt;0,"Cerrado con atraso","Cerrado"),IF(S129&gt;0,"Atrasado",IF(AND(N129="",L129&lt;&gt;"",$B$3&gt;L129),"Inicio atrasado","En plazo"))))</f>
        <v/>
      </c>
      <c r="U129" s="26" t="n"/>
    </row>
    <row r="130">
      <c r="A130" s="24" t="n"/>
      <c r="B130" s="25" t="n"/>
      <c r="C130" s="25" t="n"/>
      <c r="D130" s="25" t="n"/>
      <c r="E130" s="26" t="n"/>
      <c r="F130" s="25" t="n"/>
      <c r="G130" s="25" t="n"/>
      <c r="H130" s="25" t="n"/>
      <c r="I130" s="25" t="n"/>
      <c r="J130" s="25" t="n"/>
      <c r="K130" s="25" t="n"/>
      <c r="L130" s="27" t="n"/>
      <c r="M130" s="27" t="n"/>
      <c r="N130" s="27" t="n"/>
      <c r="O130" s="27" t="n"/>
      <c r="P130" s="28" t="n"/>
      <c r="Q130" s="29" t="n"/>
      <c r="R130" s="30">
        <f>IF(B130="","",IF(C130="IWP",COUNTIFS(Restricciones!$D$6:$D$305,B130,Restricciones!$F$6:$F$305,"Abierta")+COUNTIFS(Restricciones!$D$6:$D$305,B130,Restricciones!$F$6:$F$305,"En gestión"),IF(C130="CWA",COUNTIFS(Restricciones!$C$6:$C$305,"CWP-"&amp;MID(B130,5,4)&amp;"-*",Restricciones!$F$6:$F$305,"Abierta")+COUNTIFS(Restricciones!$C$6:$C$305,"CWP-"&amp;MID(B130,5,4)&amp;"-*",Restricciones!$F$6:$F$305,"En gestión"),COUNTIFS(Restricciones!$C$6:$C$305,IF(C130="CWP",B130,H130),Restricciones!$F$6:$F$305,"Abierta")+COUNTIFS(Restricciones!$C$6:$C$305,IF(C130="CWP",B130,H130),Restricciones!$F$6:$F$305,"En gestión"))))</f>
        <v/>
      </c>
      <c r="S130" s="30">
        <f>IF(OR(B130="",M130=""),"",IF(O130&lt;&gt;"",MAX(0,O130-M130),IF(AND($B$3&gt;M130,K130&lt;&gt;"Cerrado"),$B$3-M130,0)))</f>
        <v/>
      </c>
      <c r="T130" s="31">
        <f>IF(B130="","",IF(K130="Cerrado",IF(S130&gt;0,"Cerrado con atraso","Cerrado"),IF(S130&gt;0,"Atrasado",IF(AND(N130="",L130&lt;&gt;"",$B$3&gt;L130),"Inicio atrasado","En plazo"))))</f>
        <v/>
      </c>
      <c r="U130" s="26" t="n"/>
    </row>
    <row r="131">
      <c r="A131" s="24" t="n"/>
      <c r="B131" s="25" t="n"/>
      <c r="C131" s="25" t="n"/>
      <c r="D131" s="25" t="n"/>
      <c r="E131" s="26" t="n"/>
      <c r="F131" s="25" t="n"/>
      <c r="G131" s="25" t="n"/>
      <c r="H131" s="25" t="n"/>
      <c r="I131" s="25" t="n"/>
      <c r="J131" s="25" t="n"/>
      <c r="K131" s="25" t="n"/>
      <c r="L131" s="27" t="n"/>
      <c r="M131" s="27" t="n"/>
      <c r="N131" s="27" t="n"/>
      <c r="O131" s="27" t="n"/>
      <c r="P131" s="28" t="n"/>
      <c r="Q131" s="29" t="n"/>
      <c r="R131" s="30">
        <f>IF(B131="","",IF(C131="IWP",COUNTIFS(Restricciones!$D$6:$D$305,B131,Restricciones!$F$6:$F$305,"Abierta")+COUNTIFS(Restricciones!$D$6:$D$305,B131,Restricciones!$F$6:$F$305,"En gestión"),IF(C131="CWA",COUNTIFS(Restricciones!$C$6:$C$305,"CWP-"&amp;MID(B131,5,4)&amp;"-*",Restricciones!$F$6:$F$305,"Abierta")+COUNTIFS(Restricciones!$C$6:$C$305,"CWP-"&amp;MID(B131,5,4)&amp;"-*",Restricciones!$F$6:$F$305,"En gestión"),COUNTIFS(Restricciones!$C$6:$C$305,IF(C131="CWP",B131,H131),Restricciones!$F$6:$F$305,"Abierta")+COUNTIFS(Restricciones!$C$6:$C$305,IF(C131="CWP",B131,H131),Restricciones!$F$6:$F$305,"En gestión"))))</f>
        <v/>
      </c>
      <c r="S131" s="30">
        <f>IF(OR(B131="",M131=""),"",IF(O131&lt;&gt;"",MAX(0,O131-M131),IF(AND($B$3&gt;M131,K131&lt;&gt;"Cerrado"),$B$3-M131,0)))</f>
        <v/>
      </c>
      <c r="T131" s="31">
        <f>IF(B131="","",IF(K131="Cerrado",IF(S131&gt;0,"Cerrado con atraso","Cerrado"),IF(S131&gt;0,"Atrasado",IF(AND(N131="",L131&lt;&gt;"",$B$3&gt;L131),"Inicio atrasado","En plazo"))))</f>
        <v/>
      </c>
      <c r="U131" s="26" t="n"/>
    </row>
    <row r="132">
      <c r="A132" s="24" t="n"/>
      <c r="B132" s="25" t="n"/>
      <c r="C132" s="25" t="n"/>
      <c r="D132" s="25" t="n"/>
      <c r="E132" s="26" t="n"/>
      <c r="F132" s="25" t="n"/>
      <c r="G132" s="25" t="n"/>
      <c r="H132" s="25" t="n"/>
      <c r="I132" s="25" t="n"/>
      <c r="J132" s="25" t="n"/>
      <c r="K132" s="25" t="n"/>
      <c r="L132" s="27" t="n"/>
      <c r="M132" s="27" t="n"/>
      <c r="N132" s="27" t="n"/>
      <c r="O132" s="27" t="n"/>
      <c r="P132" s="28" t="n"/>
      <c r="Q132" s="29" t="n"/>
      <c r="R132" s="30">
        <f>IF(B132="","",IF(C132="IWP",COUNTIFS(Restricciones!$D$6:$D$305,B132,Restricciones!$F$6:$F$305,"Abierta")+COUNTIFS(Restricciones!$D$6:$D$305,B132,Restricciones!$F$6:$F$305,"En gestión"),IF(C132="CWA",COUNTIFS(Restricciones!$C$6:$C$305,"CWP-"&amp;MID(B132,5,4)&amp;"-*",Restricciones!$F$6:$F$305,"Abierta")+COUNTIFS(Restricciones!$C$6:$C$305,"CWP-"&amp;MID(B132,5,4)&amp;"-*",Restricciones!$F$6:$F$305,"En gestión"),COUNTIFS(Restricciones!$C$6:$C$305,IF(C132="CWP",B132,H132),Restricciones!$F$6:$F$305,"Abierta")+COUNTIFS(Restricciones!$C$6:$C$305,IF(C132="CWP",B132,H132),Restricciones!$F$6:$F$305,"En gestión"))))</f>
        <v/>
      </c>
      <c r="S132" s="30">
        <f>IF(OR(B132="",M132=""),"",IF(O132&lt;&gt;"",MAX(0,O132-M132),IF(AND($B$3&gt;M132,K132&lt;&gt;"Cerrado"),$B$3-M132,0)))</f>
        <v/>
      </c>
      <c r="T132" s="31">
        <f>IF(B132="","",IF(K132="Cerrado",IF(S132&gt;0,"Cerrado con atraso","Cerrado"),IF(S132&gt;0,"Atrasado",IF(AND(N132="",L132&lt;&gt;"",$B$3&gt;L132),"Inicio atrasado","En plazo"))))</f>
        <v/>
      </c>
      <c r="U132" s="26" t="n"/>
    </row>
    <row r="133">
      <c r="A133" s="24" t="n"/>
      <c r="B133" s="25" t="n"/>
      <c r="C133" s="25" t="n"/>
      <c r="D133" s="25" t="n"/>
      <c r="E133" s="26" t="n"/>
      <c r="F133" s="25" t="n"/>
      <c r="G133" s="25" t="n"/>
      <c r="H133" s="25" t="n"/>
      <c r="I133" s="25" t="n"/>
      <c r="J133" s="25" t="n"/>
      <c r="K133" s="25" t="n"/>
      <c r="L133" s="27" t="n"/>
      <c r="M133" s="27" t="n"/>
      <c r="N133" s="27" t="n"/>
      <c r="O133" s="27" t="n"/>
      <c r="P133" s="28" t="n"/>
      <c r="Q133" s="29" t="n"/>
      <c r="R133" s="30">
        <f>IF(B133="","",IF(C133="IWP",COUNTIFS(Restricciones!$D$6:$D$305,B133,Restricciones!$F$6:$F$305,"Abierta")+COUNTIFS(Restricciones!$D$6:$D$305,B133,Restricciones!$F$6:$F$305,"En gestión"),IF(C133="CWA",COUNTIFS(Restricciones!$C$6:$C$305,"CWP-"&amp;MID(B133,5,4)&amp;"-*",Restricciones!$F$6:$F$305,"Abierta")+COUNTIFS(Restricciones!$C$6:$C$305,"CWP-"&amp;MID(B133,5,4)&amp;"-*",Restricciones!$F$6:$F$305,"En gestión"),COUNTIFS(Restricciones!$C$6:$C$305,IF(C133="CWP",B133,H133),Restricciones!$F$6:$F$305,"Abierta")+COUNTIFS(Restricciones!$C$6:$C$305,IF(C133="CWP",B133,H133),Restricciones!$F$6:$F$305,"En gestión"))))</f>
        <v/>
      </c>
      <c r="S133" s="30">
        <f>IF(OR(B133="",M133=""),"",IF(O133&lt;&gt;"",MAX(0,O133-M133),IF(AND($B$3&gt;M133,K133&lt;&gt;"Cerrado"),$B$3-M133,0)))</f>
        <v/>
      </c>
      <c r="T133" s="31">
        <f>IF(B133="","",IF(K133="Cerrado",IF(S133&gt;0,"Cerrado con atraso","Cerrado"),IF(S133&gt;0,"Atrasado",IF(AND(N133="",L133&lt;&gt;"",$B$3&gt;L133),"Inicio atrasado","En plazo"))))</f>
        <v/>
      </c>
      <c r="U133" s="26" t="n"/>
    </row>
    <row r="134">
      <c r="A134" s="24" t="n"/>
      <c r="B134" s="25" t="n"/>
      <c r="C134" s="25" t="n"/>
      <c r="D134" s="25" t="n"/>
      <c r="E134" s="26" t="n"/>
      <c r="F134" s="25" t="n"/>
      <c r="G134" s="25" t="n"/>
      <c r="H134" s="25" t="n"/>
      <c r="I134" s="25" t="n"/>
      <c r="J134" s="25" t="n"/>
      <c r="K134" s="25" t="n"/>
      <c r="L134" s="27" t="n"/>
      <c r="M134" s="27" t="n"/>
      <c r="N134" s="27" t="n"/>
      <c r="O134" s="27" t="n"/>
      <c r="P134" s="28" t="n"/>
      <c r="Q134" s="29" t="n"/>
      <c r="R134" s="30">
        <f>IF(B134="","",IF(C134="IWP",COUNTIFS(Restricciones!$D$6:$D$305,B134,Restricciones!$F$6:$F$305,"Abierta")+COUNTIFS(Restricciones!$D$6:$D$305,B134,Restricciones!$F$6:$F$305,"En gestión"),IF(C134="CWA",COUNTIFS(Restricciones!$C$6:$C$305,"CWP-"&amp;MID(B134,5,4)&amp;"-*",Restricciones!$F$6:$F$305,"Abierta")+COUNTIFS(Restricciones!$C$6:$C$305,"CWP-"&amp;MID(B134,5,4)&amp;"-*",Restricciones!$F$6:$F$305,"En gestión"),COUNTIFS(Restricciones!$C$6:$C$305,IF(C134="CWP",B134,H134),Restricciones!$F$6:$F$305,"Abierta")+COUNTIFS(Restricciones!$C$6:$C$305,IF(C134="CWP",B134,H134),Restricciones!$F$6:$F$305,"En gestión"))))</f>
        <v/>
      </c>
      <c r="S134" s="30">
        <f>IF(OR(B134="",M134=""),"",IF(O134&lt;&gt;"",MAX(0,O134-M134),IF(AND($B$3&gt;M134,K134&lt;&gt;"Cerrado"),$B$3-M134,0)))</f>
        <v/>
      </c>
      <c r="T134" s="31">
        <f>IF(B134="","",IF(K134="Cerrado",IF(S134&gt;0,"Cerrado con atraso","Cerrado"),IF(S134&gt;0,"Atrasado",IF(AND(N134="",L134&lt;&gt;"",$B$3&gt;L134),"Inicio atrasado","En plazo"))))</f>
        <v/>
      </c>
      <c r="U134" s="26" t="n"/>
    </row>
    <row r="135">
      <c r="A135" s="24" t="n"/>
      <c r="B135" s="25" t="n"/>
      <c r="C135" s="25" t="n"/>
      <c r="D135" s="25" t="n"/>
      <c r="E135" s="26" t="n"/>
      <c r="F135" s="25" t="n"/>
      <c r="G135" s="25" t="n"/>
      <c r="H135" s="25" t="n"/>
      <c r="I135" s="25" t="n"/>
      <c r="J135" s="25" t="n"/>
      <c r="K135" s="25" t="n"/>
      <c r="L135" s="27" t="n"/>
      <c r="M135" s="27" t="n"/>
      <c r="N135" s="27" t="n"/>
      <c r="O135" s="27" t="n"/>
      <c r="P135" s="28" t="n"/>
      <c r="Q135" s="29" t="n"/>
      <c r="R135" s="30">
        <f>IF(B135="","",IF(C135="IWP",COUNTIFS(Restricciones!$D$6:$D$305,B135,Restricciones!$F$6:$F$305,"Abierta")+COUNTIFS(Restricciones!$D$6:$D$305,B135,Restricciones!$F$6:$F$305,"En gestión"),IF(C135="CWA",COUNTIFS(Restricciones!$C$6:$C$305,"CWP-"&amp;MID(B135,5,4)&amp;"-*",Restricciones!$F$6:$F$305,"Abierta")+COUNTIFS(Restricciones!$C$6:$C$305,"CWP-"&amp;MID(B135,5,4)&amp;"-*",Restricciones!$F$6:$F$305,"En gestión"),COUNTIFS(Restricciones!$C$6:$C$305,IF(C135="CWP",B135,H135),Restricciones!$F$6:$F$305,"Abierta")+COUNTIFS(Restricciones!$C$6:$C$305,IF(C135="CWP",B135,H135),Restricciones!$F$6:$F$305,"En gestión"))))</f>
        <v/>
      </c>
      <c r="S135" s="30">
        <f>IF(OR(B135="",M135=""),"",IF(O135&lt;&gt;"",MAX(0,O135-M135),IF(AND($B$3&gt;M135,K135&lt;&gt;"Cerrado"),$B$3-M135,0)))</f>
        <v/>
      </c>
      <c r="T135" s="31">
        <f>IF(B135="","",IF(K135="Cerrado",IF(S135&gt;0,"Cerrado con atraso","Cerrado"),IF(S135&gt;0,"Atrasado",IF(AND(N135="",L135&lt;&gt;"",$B$3&gt;L135),"Inicio atrasado","En plazo"))))</f>
        <v/>
      </c>
      <c r="U135" s="26" t="n"/>
    </row>
    <row r="136">
      <c r="A136" s="24" t="n"/>
      <c r="B136" s="25" t="n"/>
      <c r="C136" s="25" t="n"/>
      <c r="D136" s="25" t="n"/>
      <c r="E136" s="26" t="n"/>
      <c r="F136" s="25" t="n"/>
      <c r="G136" s="25" t="n"/>
      <c r="H136" s="25" t="n"/>
      <c r="I136" s="25" t="n"/>
      <c r="J136" s="25" t="n"/>
      <c r="K136" s="25" t="n"/>
      <c r="L136" s="27" t="n"/>
      <c r="M136" s="27" t="n"/>
      <c r="N136" s="27" t="n"/>
      <c r="O136" s="27" t="n"/>
      <c r="P136" s="28" t="n"/>
      <c r="Q136" s="29" t="n"/>
      <c r="R136" s="30">
        <f>IF(B136="","",IF(C136="IWP",COUNTIFS(Restricciones!$D$6:$D$305,B136,Restricciones!$F$6:$F$305,"Abierta")+COUNTIFS(Restricciones!$D$6:$D$305,B136,Restricciones!$F$6:$F$305,"En gestión"),IF(C136="CWA",COUNTIFS(Restricciones!$C$6:$C$305,"CWP-"&amp;MID(B136,5,4)&amp;"-*",Restricciones!$F$6:$F$305,"Abierta")+COUNTIFS(Restricciones!$C$6:$C$305,"CWP-"&amp;MID(B136,5,4)&amp;"-*",Restricciones!$F$6:$F$305,"En gestión"),COUNTIFS(Restricciones!$C$6:$C$305,IF(C136="CWP",B136,H136),Restricciones!$F$6:$F$305,"Abierta")+COUNTIFS(Restricciones!$C$6:$C$305,IF(C136="CWP",B136,H136),Restricciones!$F$6:$F$305,"En gestión"))))</f>
        <v/>
      </c>
      <c r="S136" s="30">
        <f>IF(OR(B136="",M136=""),"",IF(O136&lt;&gt;"",MAX(0,O136-M136),IF(AND($B$3&gt;M136,K136&lt;&gt;"Cerrado"),$B$3-M136,0)))</f>
        <v/>
      </c>
      <c r="T136" s="31">
        <f>IF(B136="","",IF(K136="Cerrado",IF(S136&gt;0,"Cerrado con atraso","Cerrado"),IF(S136&gt;0,"Atrasado",IF(AND(N136="",L136&lt;&gt;"",$B$3&gt;L136),"Inicio atrasado","En plazo"))))</f>
        <v/>
      </c>
      <c r="U136" s="26" t="n"/>
    </row>
    <row r="137">
      <c r="A137" s="24" t="n"/>
      <c r="B137" s="25" t="n"/>
      <c r="C137" s="25" t="n"/>
      <c r="D137" s="25" t="n"/>
      <c r="E137" s="26" t="n"/>
      <c r="F137" s="25" t="n"/>
      <c r="G137" s="25" t="n"/>
      <c r="H137" s="25" t="n"/>
      <c r="I137" s="25" t="n"/>
      <c r="J137" s="25" t="n"/>
      <c r="K137" s="25" t="n"/>
      <c r="L137" s="27" t="n"/>
      <c r="M137" s="27" t="n"/>
      <c r="N137" s="27" t="n"/>
      <c r="O137" s="27" t="n"/>
      <c r="P137" s="28" t="n"/>
      <c r="Q137" s="29" t="n"/>
      <c r="R137" s="30">
        <f>IF(B137="","",IF(C137="IWP",COUNTIFS(Restricciones!$D$6:$D$305,B137,Restricciones!$F$6:$F$305,"Abierta")+COUNTIFS(Restricciones!$D$6:$D$305,B137,Restricciones!$F$6:$F$305,"En gestión"),IF(C137="CWA",COUNTIFS(Restricciones!$C$6:$C$305,"CWP-"&amp;MID(B137,5,4)&amp;"-*",Restricciones!$F$6:$F$305,"Abierta")+COUNTIFS(Restricciones!$C$6:$C$305,"CWP-"&amp;MID(B137,5,4)&amp;"-*",Restricciones!$F$6:$F$305,"En gestión"),COUNTIFS(Restricciones!$C$6:$C$305,IF(C137="CWP",B137,H137),Restricciones!$F$6:$F$305,"Abierta")+COUNTIFS(Restricciones!$C$6:$C$305,IF(C137="CWP",B137,H137),Restricciones!$F$6:$F$305,"En gestión"))))</f>
        <v/>
      </c>
      <c r="S137" s="30">
        <f>IF(OR(B137="",M137=""),"",IF(O137&lt;&gt;"",MAX(0,O137-M137),IF(AND($B$3&gt;M137,K137&lt;&gt;"Cerrado"),$B$3-M137,0)))</f>
        <v/>
      </c>
      <c r="T137" s="31">
        <f>IF(B137="","",IF(K137="Cerrado",IF(S137&gt;0,"Cerrado con atraso","Cerrado"),IF(S137&gt;0,"Atrasado",IF(AND(N137="",L137&lt;&gt;"",$B$3&gt;L137),"Inicio atrasado","En plazo"))))</f>
        <v/>
      </c>
      <c r="U137" s="26" t="n"/>
    </row>
    <row r="138">
      <c r="A138" s="24" t="n"/>
      <c r="B138" s="25" t="n"/>
      <c r="C138" s="25" t="n"/>
      <c r="D138" s="25" t="n"/>
      <c r="E138" s="26" t="n"/>
      <c r="F138" s="25" t="n"/>
      <c r="G138" s="25" t="n"/>
      <c r="H138" s="25" t="n"/>
      <c r="I138" s="25" t="n"/>
      <c r="J138" s="25" t="n"/>
      <c r="K138" s="25" t="n"/>
      <c r="L138" s="27" t="n"/>
      <c r="M138" s="27" t="n"/>
      <c r="N138" s="27" t="n"/>
      <c r="O138" s="27" t="n"/>
      <c r="P138" s="28" t="n"/>
      <c r="Q138" s="29" t="n"/>
      <c r="R138" s="30">
        <f>IF(B138="","",IF(C138="IWP",COUNTIFS(Restricciones!$D$6:$D$305,B138,Restricciones!$F$6:$F$305,"Abierta")+COUNTIFS(Restricciones!$D$6:$D$305,B138,Restricciones!$F$6:$F$305,"En gestión"),IF(C138="CWA",COUNTIFS(Restricciones!$C$6:$C$305,"CWP-"&amp;MID(B138,5,4)&amp;"-*",Restricciones!$F$6:$F$305,"Abierta")+COUNTIFS(Restricciones!$C$6:$C$305,"CWP-"&amp;MID(B138,5,4)&amp;"-*",Restricciones!$F$6:$F$305,"En gestión"),COUNTIFS(Restricciones!$C$6:$C$305,IF(C138="CWP",B138,H138),Restricciones!$F$6:$F$305,"Abierta")+COUNTIFS(Restricciones!$C$6:$C$305,IF(C138="CWP",B138,H138),Restricciones!$F$6:$F$305,"En gestión"))))</f>
        <v/>
      </c>
      <c r="S138" s="30">
        <f>IF(OR(B138="",M138=""),"",IF(O138&lt;&gt;"",MAX(0,O138-M138),IF(AND($B$3&gt;M138,K138&lt;&gt;"Cerrado"),$B$3-M138,0)))</f>
        <v/>
      </c>
      <c r="T138" s="31">
        <f>IF(B138="","",IF(K138="Cerrado",IF(S138&gt;0,"Cerrado con atraso","Cerrado"),IF(S138&gt;0,"Atrasado",IF(AND(N138="",L138&lt;&gt;"",$B$3&gt;L138),"Inicio atrasado","En plazo"))))</f>
        <v/>
      </c>
      <c r="U138" s="26" t="n"/>
    </row>
    <row r="139">
      <c r="A139" s="24" t="n"/>
      <c r="B139" s="25" t="n"/>
      <c r="C139" s="25" t="n"/>
      <c r="D139" s="25" t="n"/>
      <c r="E139" s="26" t="n"/>
      <c r="F139" s="25" t="n"/>
      <c r="G139" s="25" t="n"/>
      <c r="H139" s="25" t="n"/>
      <c r="I139" s="25" t="n"/>
      <c r="J139" s="25" t="n"/>
      <c r="K139" s="25" t="n"/>
      <c r="L139" s="27" t="n"/>
      <c r="M139" s="27" t="n"/>
      <c r="N139" s="27" t="n"/>
      <c r="O139" s="27" t="n"/>
      <c r="P139" s="28" t="n"/>
      <c r="Q139" s="29" t="n"/>
      <c r="R139" s="30">
        <f>IF(B139="","",IF(C139="IWP",COUNTIFS(Restricciones!$D$6:$D$305,B139,Restricciones!$F$6:$F$305,"Abierta")+COUNTIFS(Restricciones!$D$6:$D$305,B139,Restricciones!$F$6:$F$305,"En gestión"),IF(C139="CWA",COUNTIFS(Restricciones!$C$6:$C$305,"CWP-"&amp;MID(B139,5,4)&amp;"-*",Restricciones!$F$6:$F$305,"Abierta")+COUNTIFS(Restricciones!$C$6:$C$305,"CWP-"&amp;MID(B139,5,4)&amp;"-*",Restricciones!$F$6:$F$305,"En gestión"),COUNTIFS(Restricciones!$C$6:$C$305,IF(C139="CWP",B139,H139),Restricciones!$F$6:$F$305,"Abierta")+COUNTIFS(Restricciones!$C$6:$C$305,IF(C139="CWP",B139,H139),Restricciones!$F$6:$F$305,"En gestión"))))</f>
        <v/>
      </c>
      <c r="S139" s="30">
        <f>IF(OR(B139="",M139=""),"",IF(O139&lt;&gt;"",MAX(0,O139-M139),IF(AND($B$3&gt;M139,K139&lt;&gt;"Cerrado"),$B$3-M139,0)))</f>
        <v/>
      </c>
      <c r="T139" s="31">
        <f>IF(B139="","",IF(K139="Cerrado",IF(S139&gt;0,"Cerrado con atraso","Cerrado"),IF(S139&gt;0,"Atrasado",IF(AND(N139="",L139&lt;&gt;"",$B$3&gt;L139),"Inicio atrasado","En plazo"))))</f>
        <v/>
      </c>
      <c r="U139" s="26" t="n"/>
    </row>
    <row r="140">
      <c r="A140" s="24" t="n"/>
      <c r="B140" s="25" t="n"/>
      <c r="C140" s="25" t="n"/>
      <c r="D140" s="25" t="n"/>
      <c r="E140" s="26" t="n"/>
      <c r="F140" s="25" t="n"/>
      <c r="G140" s="25" t="n"/>
      <c r="H140" s="25" t="n"/>
      <c r="I140" s="25" t="n"/>
      <c r="J140" s="25" t="n"/>
      <c r="K140" s="25" t="n"/>
      <c r="L140" s="27" t="n"/>
      <c r="M140" s="27" t="n"/>
      <c r="N140" s="27" t="n"/>
      <c r="O140" s="27" t="n"/>
      <c r="P140" s="28" t="n"/>
      <c r="Q140" s="29" t="n"/>
      <c r="R140" s="30">
        <f>IF(B140="","",IF(C140="IWP",COUNTIFS(Restricciones!$D$6:$D$305,B140,Restricciones!$F$6:$F$305,"Abierta")+COUNTIFS(Restricciones!$D$6:$D$305,B140,Restricciones!$F$6:$F$305,"En gestión"),IF(C140="CWA",COUNTIFS(Restricciones!$C$6:$C$305,"CWP-"&amp;MID(B140,5,4)&amp;"-*",Restricciones!$F$6:$F$305,"Abierta")+COUNTIFS(Restricciones!$C$6:$C$305,"CWP-"&amp;MID(B140,5,4)&amp;"-*",Restricciones!$F$6:$F$305,"En gestión"),COUNTIFS(Restricciones!$C$6:$C$305,IF(C140="CWP",B140,H140),Restricciones!$F$6:$F$305,"Abierta")+COUNTIFS(Restricciones!$C$6:$C$305,IF(C140="CWP",B140,H140),Restricciones!$F$6:$F$305,"En gestión"))))</f>
        <v/>
      </c>
      <c r="S140" s="30">
        <f>IF(OR(B140="",M140=""),"",IF(O140&lt;&gt;"",MAX(0,O140-M140),IF(AND($B$3&gt;M140,K140&lt;&gt;"Cerrado"),$B$3-M140,0)))</f>
        <v/>
      </c>
      <c r="T140" s="31">
        <f>IF(B140="","",IF(K140="Cerrado",IF(S140&gt;0,"Cerrado con atraso","Cerrado"),IF(S140&gt;0,"Atrasado",IF(AND(N140="",L140&lt;&gt;"",$B$3&gt;L140),"Inicio atrasado","En plazo"))))</f>
        <v/>
      </c>
      <c r="U140" s="26" t="n"/>
    </row>
    <row r="141">
      <c r="A141" s="24" t="n"/>
      <c r="B141" s="25" t="n"/>
      <c r="C141" s="25" t="n"/>
      <c r="D141" s="25" t="n"/>
      <c r="E141" s="26" t="n"/>
      <c r="F141" s="25" t="n"/>
      <c r="G141" s="25" t="n"/>
      <c r="H141" s="25" t="n"/>
      <c r="I141" s="25" t="n"/>
      <c r="J141" s="25" t="n"/>
      <c r="K141" s="25" t="n"/>
      <c r="L141" s="27" t="n"/>
      <c r="M141" s="27" t="n"/>
      <c r="N141" s="27" t="n"/>
      <c r="O141" s="27" t="n"/>
      <c r="P141" s="28" t="n"/>
      <c r="Q141" s="29" t="n"/>
      <c r="R141" s="30">
        <f>IF(B141="","",IF(C141="IWP",COUNTIFS(Restricciones!$D$6:$D$305,B141,Restricciones!$F$6:$F$305,"Abierta")+COUNTIFS(Restricciones!$D$6:$D$305,B141,Restricciones!$F$6:$F$305,"En gestión"),IF(C141="CWA",COUNTIFS(Restricciones!$C$6:$C$305,"CWP-"&amp;MID(B141,5,4)&amp;"-*",Restricciones!$F$6:$F$305,"Abierta")+COUNTIFS(Restricciones!$C$6:$C$305,"CWP-"&amp;MID(B141,5,4)&amp;"-*",Restricciones!$F$6:$F$305,"En gestión"),COUNTIFS(Restricciones!$C$6:$C$305,IF(C141="CWP",B141,H141),Restricciones!$F$6:$F$305,"Abierta")+COUNTIFS(Restricciones!$C$6:$C$305,IF(C141="CWP",B141,H141),Restricciones!$F$6:$F$305,"En gestión"))))</f>
        <v/>
      </c>
      <c r="S141" s="30">
        <f>IF(OR(B141="",M141=""),"",IF(O141&lt;&gt;"",MAX(0,O141-M141),IF(AND($B$3&gt;M141,K141&lt;&gt;"Cerrado"),$B$3-M141,0)))</f>
        <v/>
      </c>
      <c r="T141" s="31">
        <f>IF(B141="","",IF(K141="Cerrado",IF(S141&gt;0,"Cerrado con atraso","Cerrado"),IF(S141&gt;0,"Atrasado",IF(AND(N141="",L141&lt;&gt;"",$B$3&gt;L141),"Inicio atrasado","En plazo"))))</f>
        <v/>
      </c>
      <c r="U141" s="26" t="n"/>
    </row>
    <row r="142">
      <c r="A142" s="24" t="n"/>
      <c r="B142" s="25" t="n"/>
      <c r="C142" s="25" t="n"/>
      <c r="D142" s="25" t="n"/>
      <c r="E142" s="26" t="n"/>
      <c r="F142" s="25" t="n"/>
      <c r="G142" s="25" t="n"/>
      <c r="H142" s="25" t="n"/>
      <c r="I142" s="25" t="n"/>
      <c r="J142" s="25" t="n"/>
      <c r="K142" s="25" t="n"/>
      <c r="L142" s="27" t="n"/>
      <c r="M142" s="27" t="n"/>
      <c r="N142" s="27" t="n"/>
      <c r="O142" s="27" t="n"/>
      <c r="P142" s="28" t="n"/>
      <c r="Q142" s="29" t="n"/>
      <c r="R142" s="30">
        <f>IF(B142="","",IF(C142="IWP",COUNTIFS(Restricciones!$D$6:$D$305,B142,Restricciones!$F$6:$F$305,"Abierta")+COUNTIFS(Restricciones!$D$6:$D$305,B142,Restricciones!$F$6:$F$305,"En gestión"),IF(C142="CWA",COUNTIFS(Restricciones!$C$6:$C$305,"CWP-"&amp;MID(B142,5,4)&amp;"-*",Restricciones!$F$6:$F$305,"Abierta")+COUNTIFS(Restricciones!$C$6:$C$305,"CWP-"&amp;MID(B142,5,4)&amp;"-*",Restricciones!$F$6:$F$305,"En gestión"),COUNTIFS(Restricciones!$C$6:$C$305,IF(C142="CWP",B142,H142),Restricciones!$F$6:$F$305,"Abierta")+COUNTIFS(Restricciones!$C$6:$C$305,IF(C142="CWP",B142,H142),Restricciones!$F$6:$F$305,"En gestión"))))</f>
        <v/>
      </c>
      <c r="S142" s="30">
        <f>IF(OR(B142="",M142=""),"",IF(O142&lt;&gt;"",MAX(0,O142-M142),IF(AND($B$3&gt;M142,K142&lt;&gt;"Cerrado"),$B$3-M142,0)))</f>
        <v/>
      </c>
      <c r="T142" s="31">
        <f>IF(B142="","",IF(K142="Cerrado",IF(S142&gt;0,"Cerrado con atraso","Cerrado"),IF(S142&gt;0,"Atrasado",IF(AND(N142="",L142&lt;&gt;"",$B$3&gt;L142),"Inicio atrasado","En plazo"))))</f>
        <v/>
      </c>
      <c r="U142" s="26" t="n"/>
    </row>
    <row r="143">
      <c r="A143" s="24" t="n"/>
      <c r="B143" s="25" t="n"/>
      <c r="C143" s="25" t="n"/>
      <c r="D143" s="25" t="n"/>
      <c r="E143" s="26" t="n"/>
      <c r="F143" s="25" t="n"/>
      <c r="G143" s="25" t="n"/>
      <c r="H143" s="25" t="n"/>
      <c r="I143" s="25" t="n"/>
      <c r="J143" s="25" t="n"/>
      <c r="K143" s="25" t="n"/>
      <c r="L143" s="27" t="n"/>
      <c r="M143" s="27" t="n"/>
      <c r="N143" s="27" t="n"/>
      <c r="O143" s="27" t="n"/>
      <c r="P143" s="28" t="n"/>
      <c r="Q143" s="29" t="n"/>
      <c r="R143" s="30">
        <f>IF(B143="","",IF(C143="IWP",COUNTIFS(Restricciones!$D$6:$D$305,B143,Restricciones!$F$6:$F$305,"Abierta")+COUNTIFS(Restricciones!$D$6:$D$305,B143,Restricciones!$F$6:$F$305,"En gestión"),IF(C143="CWA",COUNTIFS(Restricciones!$C$6:$C$305,"CWP-"&amp;MID(B143,5,4)&amp;"-*",Restricciones!$F$6:$F$305,"Abierta")+COUNTIFS(Restricciones!$C$6:$C$305,"CWP-"&amp;MID(B143,5,4)&amp;"-*",Restricciones!$F$6:$F$305,"En gestión"),COUNTIFS(Restricciones!$C$6:$C$305,IF(C143="CWP",B143,H143),Restricciones!$F$6:$F$305,"Abierta")+COUNTIFS(Restricciones!$C$6:$C$305,IF(C143="CWP",B143,H143),Restricciones!$F$6:$F$305,"En gestión"))))</f>
        <v/>
      </c>
      <c r="S143" s="30">
        <f>IF(OR(B143="",M143=""),"",IF(O143&lt;&gt;"",MAX(0,O143-M143),IF(AND($B$3&gt;M143,K143&lt;&gt;"Cerrado"),$B$3-M143,0)))</f>
        <v/>
      </c>
      <c r="T143" s="31">
        <f>IF(B143="","",IF(K143="Cerrado",IF(S143&gt;0,"Cerrado con atraso","Cerrado"),IF(S143&gt;0,"Atrasado",IF(AND(N143="",L143&lt;&gt;"",$B$3&gt;L143),"Inicio atrasado","En plazo"))))</f>
        <v/>
      </c>
      <c r="U143" s="26" t="n"/>
    </row>
    <row r="144">
      <c r="A144" s="24" t="n"/>
      <c r="B144" s="25" t="n"/>
      <c r="C144" s="25" t="n"/>
      <c r="D144" s="25" t="n"/>
      <c r="E144" s="26" t="n"/>
      <c r="F144" s="25" t="n"/>
      <c r="G144" s="25" t="n"/>
      <c r="H144" s="25" t="n"/>
      <c r="I144" s="25" t="n"/>
      <c r="J144" s="25" t="n"/>
      <c r="K144" s="25" t="n"/>
      <c r="L144" s="27" t="n"/>
      <c r="M144" s="27" t="n"/>
      <c r="N144" s="27" t="n"/>
      <c r="O144" s="27" t="n"/>
      <c r="P144" s="28" t="n"/>
      <c r="Q144" s="29" t="n"/>
      <c r="R144" s="30">
        <f>IF(B144="","",IF(C144="IWP",COUNTIFS(Restricciones!$D$6:$D$305,B144,Restricciones!$F$6:$F$305,"Abierta")+COUNTIFS(Restricciones!$D$6:$D$305,B144,Restricciones!$F$6:$F$305,"En gestión"),IF(C144="CWA",COUNTIFS(Restricciones!$C$6:$C$305,"CWP-"&amp;MID(B144,5,4)&amp;"-*",Restricciones!$F$6:$F$305,"Abierta")+COUNTIFS(Restricciones!$C$6:$C$305,"CWP-"&amp;MID(B144,5,4)&amp;"-*",Restricciones!$F$6:$F$305,"En gestión"),COUNTIFS(Restricciones!$C$6:$C$305,IF(C144="CWP",B144,H144),Restricciones!$F$6:$F$305,"Abierta")+COUNTIFS(Restricciones!$C$6:$C$305,IF(C144="CWP",B144,H144),Restricciones!$F$6:$F$305,"En gestión"))))</f>
        <v/>
      </c>
      <c r="S144" s="30">
        <f>IF(OR(B144="",M144=""),"",IF(O144&lt;&gt;"",MAX(0,O144-M144),IF(AND($B$3&gt;M144,K144&lt;&gt;"Cerrado"),$B$3-M144,0)))</f>
        <v/>
      </c>
      <c r="T144" s="31">
        <f>IF(B144="","",IF(K144="Cerrado",IF(S144&gt;0,"Cerrado con atraso","Cerrado"),IF(S144&gt;0,"Atrasado",IF(AND(N144="",L144&lt;&gt;"",$B$3&gt;L144),"Inicio atrasado","En plazo"))))</f>
        <v/>
      </c>
      <c r="U144" s="26" t="n"/>
    </row>
    <row r="145">
      <c r="A145" s="24" t="n"/>
      <c r="B145" s="25" t="n"/>
      <c r="C145" s="25" t="n"/>
      <c r="D145" s="25" t="n"/>
      <c r="E145" s="26" t="n"/>
      <c r="F145" s="25" t="n"/>
      <c r="G145" s="25" t="n"/>
      <c r="H145" s="25" t="n"/>
      <c r="I145" s="25" t="n"/>
      <c r="J145" s="25" t="n"/>
      <c r="K145" s="25" t="n"/>
      <c r="L145" s="27" t="n"/>
      <c r="M145" s="27" t="n"/>
      <c r="N145" s="27" t="n"/>
      <c r="O145" s="27" t="n"/>
      <c r="P145" s="28" t="n"/>
      <c r="Q145" s="29" t="n"/>
      <c r="R145" s="30">
        <f>IF(B145="","",IF(C145="IWP",COUNTIFS(Restricciones!$D$6:$D$305,B145,Restricciones!$F$6:$F$305,"Abierta")+COUNTIFS(Restricciones!$D$6:$D$305,B145,Restricciones!$F$6:$F$305,"En gestión"),IF(C145="CWA",COUNTIFS(Restricciones!$C$6:$C$305,"CWP-"&amp;MID(B145,5,4)&amp;"-*",Restricciones!$F$6:$F$305,"Abierta")+COUNTIFS(Restricciones!$C$6:$C$305,"CWP-"&amp;MID(B145,5,4)&amp;"-*",Restricciones!$F$6:$F$305,"En gestión"),COUNTIFS(Restricciones!$C$6:$C$305,IF(C145="CWP",B145,H145),Restricciones!$F$6:$F$305,"Abierta")+COUNTIFS(Restricciones!$C$6:$C$305,IF(C145="CWP",B145,H145),Restricciones!$F$6:$F$305,"En gestión"))))</f>
        <v/>
      </c>
      <c r="S145" s="30">
        <f>IF(OR(B145="",M145=""),"",IF(O145&lt;&gt;"",MAX(0,O145-M145),IF(AND($B$3&gt;M145,K145&lt;&gt;"Cerrado"),$B$3-M145,0)))</f>
        <v/>
      </c>
      <c r="T145" s="31">
        <f>IF(B145="","",IF(K145="Cerrado",IF(S145&gt;0,"Cerrado con atraso","Cerrado"),IF(S145&gt;0,"Atrasado",IF(AND(N145="",L145&lt;&gt;"",$B$3&gt;L145),"Inicio atrasado","En plazo"))))</f>
        <v/>
      </c>
      <c r="U145" s="26" t="n"/>
    </row>
    <row r="146">
      <c r="A146" s="24" t="n"/>
      <c r="B146" s="25" t="n"/>
      <c r="C146" s="25" t="n"/>
      <c r="D146" s="25" t="n"/>
      <c r="E146" s="26" t="n"/>
      <c r="F146" s="25" t="n"/>
      <c r="G146" s="25" t="n"/>
      <c r="H146" s="25" t="n"/>
      <c r="I146" s="25" t="n"/>
      <c r="J146" s="25" t="n"/>
      <c r="K146" s="25" t="n"/>
      <c r="L146" s="27" t="n"/>
      <c r="M146" s="27" t="n"/>
      <c r="N146" s="27" t="n"/>
      <c r="O146" s="27" t="n"/>
      <c r="P146" s="28" t="n"/>
      <c r="Q146" s="29" t="n"/>
      <c r="R146" s="30">
        <f>IF(B146="","",IF(C146="IWP",COUNTIFS(Restricciones!$D$6:$D$305,B146,Restricciones!$F$6:$F$305,"Abierta")+COUNTIFS(Restricciones!$D$6:$D$305,B146,Restricciones!$F$6:$F$305,"En gestión"),IF(C146="CWA",COUNTIFS(Restricciones!$C$6:$C$305,"CWP-"&amp;MID(B146,5,4)&amp;"-*",Restricciones!$F$6:$F$305,"Abierta")+COUNTIFS(Restricciones!$C$6:$C$305,"CWP-"&amp;MID(B146,5,4)&amp;"-*",Restricciones!$F$6:$F$305,"En gestión"),COUNTIFS(Restricciones!$C$6:$C$305,IF(C146="CWP",B146,H146),Restricciones!$F$6:$F$305,"Abierta")+COUNTIFS(Restricciones!$C$6:$C$305,IF(C146="CWP",B146,H146),Restricciones!$F$6:$F$305,"En gestión"))))</f>
        <v/>
      </c>
      <c r="S146" s="30">
        <f>IF(OR(B146="",M146=""),"",IF(O146&lt;&gt;"",MAX(0,O146-M146),IF(AND($B$3&gt;M146,K146&lt;&gt;"Cerrado"),$B$3-M146,0)))</f>
        <v/>
      </c>
      <c r="T146" s="31">
        <f>IF(B146="","",IF(K146="Cerrado",IF(S146&gt;0,"Cerrado con atraso","Cerrado"),IF(S146&gt;0,"Atrasado",IF(AND(N146="",L146&lt;&gt;"",$B$3&gt;L146),"Inicio atrasado","En plazo"))))</f>
        <v/>
      </c>
      <c r="U146" s="26" t="n"/>
    </row>
    <row r="147">
      <c r="A147" s="24" t="n"/>
      <c r="B147" s="25" t="n"/>
      <c r="C147" s="25" t="n"/>
      <c r="D147" s="25" t="n"/>
      <c r="E147" s="26" t="n"/>
      <c r="F147" s="25" t="n"/>
      <c r="G147" s="25" t="n"/>
      <c r="H147" s="25" t="n"/>
      <c r="I147" s="25" t="n"/>
      <c r="J147" s="25" t="n"/>
      <c r="K147" s="25" t="n"/>
      <c r="L147" s="27" t="n"/>
      <c r="M147" s="27" t="n"/>
      <c r="N147" s="27" t="n"/>
      <c r="O147" s="27" t="n"/>
      <c r="P147" s="28" t="n"/>
      <c r="Q147" s="29" t="n"/>
      <c r="R147" s="30">
        <f>IF(B147="","",IF(C147="IWP",COUNTIFS(Restricciones!$D$6:$D$305,B147,Restricciones!$F$6:$F$305,"Abierta")+COUNTIFS(Restricciones!$D$6:$D$305,B147,Restricciones!$F$6:$F$305,"En gestión"),IF(C147="CWA",COUNTIFS(Restricciones!$C$6:$C$305,"CWP-"&amp;MID(B147,5,4)&amp;"-*",Restricciones!$F$6:$F$305,"Abierta")+COUNTIFS(Restricciones!$C$6:$C$305,"CWP-"&amp;MID(B147,5,4)&amp;"-*",Restricciones!$F$6:$F$305,"En gestión"),COUNTIFS(Restricciones!$C$6:$C$305,IF(C147="CWP",B147,H147),Restricciones!$F$6:$F$305,"Abierta")+COUNTIFS(Restricciones!$C$6:$C$305,IF(C147="CWP",B147,H147),Restricciones!$F$6:$F$305,"En gestión"))))</f>
        <v/>
      </c>
      <c r="S147" s="30">
        <f>IF(OR(B147="",M147=""),"",IF(O147&lt;&gt;"",MAX(0,O147-M147),IF(AND($B$3&gt;M147,K147&lt;&gt;"Cerrado"),$B$3-M147,0)))</f>
        <v/>
      </c>
      <c r="T147" s="31">
        <f>IF(B147="","",IF(K147="Cerrado",IF(S147&gt;0,"Cerrado con atraso","Cerrado"),IF(S147&gt;0,"Atrasado",IF(AND(N147="",L147&lt;&gt;"",$B$3&gt;L147),"Inicio atrasado","En plazo"))))</f>
        <v/>
      </c>
      <c r="U147" s="26" t="n"/>
    </row>
    <row r="148">
      <c r="A148" s="24" t="n"/>
      <c r="B148" s="25" t="n"/>
      <c r="C148" s="25" t="n"/>
      <c r="D148" s="25" t="n"/>
      <c r="E148" s="26" t="n"/>
      <c r="F148" s="25" t="n"/>
      <c r="G148" s="25" t="n"/>
      <c r="H148" s="25" t="n"/>
      <c r="I148" s="25" t="n"/>
      <c r="J148" s="25" t="n"/>
      <c r="K148" s="25" t="n"/>
      <c r="L148" s="27" t="n"/>
      <c r="M148" s="27" t="n"/>
      <c r="N148" s="27" t="n"/>
      <c r="O148" s="27" t="n"/>
      <c r="P148" s="28" t="n"/>
      <c r="Q148" s="29" t="n"/>
      <c r="R148" s="30">
        <f>IF(B148="","",IF(C148="IWP",COUNTIFS(Restricciones!$D$6:$D$305,B148,Restricciones!$F$6:$F$305,"Abierta")+COUNTIFS(Restricciones!$D$6:$D$305,B148,Restricciones!$F$6:$F$305,"En gestión"),IF(C148="CWA",COUNTIFS(Restricciones!$C$6:$C$305,"CWP-"&amp;MID(B148,5,4)&amp;"-*",Restricciones!$F$6:$F$305,"Abierta")+COUNTIFS(Restricciones!$C$6:$C$305,"CWP-"&amp;MID(B148,5,4)&amp;"-*",Restricciones!$F$6:$F$305,"En gestión"),COUNTIFS(Restricciones!$C$6:$C$305,IF(C148="CWP",B148,H148),Restricciones!$F$6:$F$305,"Abierta")+COUNTIFS(Restricciones!$C$6:$C$305,IF(C148="CWP",B148,H148),Restricciones!$F$6:$F$305,"En gestión"))))</f>
        <v/>
      </c>
      <c r="S148" s="30">
        <f>IF(OR(B148="",M148=""),"",IF(O148&lt;&gt;"",MAX(0,O148-M148),IF(AND($B$3&gt;M148,K148&lt;&gt;"Cerrado"),$B$3-M148,0)))</f>
        <v/>
      </c>
      <c r="T148" s="31">
        <f>IF(B148="","",IF(K148="Cerrado",IF(S148&gt;0,"Cerrado con atraso","Cerrado"),IF(S148&gt;0,"Atrasado",IF(AND(N148="",L148&lt;&gt;"",$B$3&gt;L148),"Inicio atrasado","En plazo"))))</f>
        <v/>
      </c>
      <c r="U148" s="26" t="n"/>
    </row>
    <row r="149">
      <c r="A149" s="24" t="n"/>
      <c r="B149" s="25" t="n"/>
      <c r="C149" s="25" t="n"/>
      <c r="D149" s="25" t="n"/>
      <c r="E149" s="26" t="n"/>
      <c r="F149" s="25" t="n"/>
      <c r="G149" s="25" t="n"/>
      <c r="H149" s="25" t="n"/>
      <c r="I149" s="25" t="n"/>
      <c r="J149" s="25" t="n"/>
      <c r="K149" s="25" t="n"/>
      <c r="L149" s="27" t="n"/>
      <c r="M149" s="27" t="n"/>
      <c r="N149" s="27" t="n"/>
      <c r="O149" s="27" t="n"/>
      <c r="P149" s="28" t="n"/>
      <c r="Q149" s="29" t="n"/>
      <c r="R149" s="30">
        <f>IF(B149="","",IF(C149="IWP",COUNTIFS(Restricciones!$D$6:$D$305,B149,Restricciones!$F$6:$F$305,"Abierta")+COUNTIFS(Restricciones!$D$6:$D$305,B149,Restricciones!$F$6:$F$305,"En gestión"),IF(C149="CWA",COUNTIFS(Restricciones!$C$6:$C$305,"CWP-"&amp;MID(B149,5,4)&amp;"-*",Restricciones!$F$6:$F$305,"Abierta")+COUNTIFS(Restricciones!$C$6:$C$305,"CWP-"&amp;MID(B149,5,4)&amp;"-*",Restricciones!$F$6:$F$305,"En gestión"),COUNTIFS(Restricciones!$C$6:$C$305,IF(C149="CWP",B149,H149),Restricciones!$F$6:$F$305,"Abierta")+COUNTIFS(Restricciones!$C$6:$C$305,IF(C149="CWP",B149,H149),Restricciones!$F$6:$F$305,"En gestión"))))</f>
        <v/>
      </c>
      <c r="S149" s="30">
        <f>IF(OR(B149="",M149=""),"",IF(O149&lt;&gt;"",MAX(0,O149-M149),IF(AND($B$3&gt;M149,K149&lt;&gt;"Cerrado"),$B$3-M149,0)))</f>
        <v/>
      </c>
      <c r="T149" s="31">
        <f>IF(B149="","",IF(K149="Cerrado",IF(S149&gt;0,"Cerrado con atraso","Cerrado"),IF(S149&gt;0,"Atrasado",IF(AND(N149="",L149&lt;&gt;"",$B$3&gt;L149),"Inicio atrasado","En plazo"))))</f>
        <v/>
      </c>
      <c r="U149" s="26" t="n"/>
    </row>
    <row r="150">
      <c r="A150" s="24" t="n"/>
      <c r="B150" s="25" t="n"/>
      <c r="C150" s="25" t="n"/>
      <c r="D150" s="25" t="n"/>
      <c r="E150" s="26" t="n"/>
      <c r="F150" s="25" t="n"/>
      <c r="G150" s="25" t="n"/>
      <c r="H150" s="25" t="n"/>
      <c r="I150" s="25" t="n"/>
      <c r="J150" s="25" t="n"/>
      <c r="K150" s="25" t="n"/>
      <c r="L150" s="27" t="n"/>
      <c r="M150" s="27" t="n"/>
      <c r="N150" s="27" t="n"/>
      <c r="O150" s="27" t="n"/>
      <c r="P150" s="28" t="n"/>
      <c r="Q150" s="29" t="n"/>
      <c r="R150" s="30">
        <f>IF(B150="","",IF(C150="IWP",COUNTIFS(Restricciones!$D$6:$D$305,B150,Restricciones!$F$6:$F$305,"Abierta")+COUNTIFS(Restricciones!$D$6:$D$305,B150,Restricciones!$F$6:$F$305,"En gestión"),IF(C150="CWA",COUNTIFS(Restricciones!$C$6:$C$305,"CWP-"&amp;MID(B150,5,4)&amp;"-*",Restricciones!$F$6:$F$305,"Abierta")+COUNTIFS(Restricciones!$C$6:$C$305,"CWP-"&amp;MID(B150,5,4)&amp;"-*",Restricciones!$F$6:$F$305,"En gestión"),COUNTIFS(Restricciones!$C$6:$C$305,IF(C150="CWP",B150,H150),Restricciones!$F$6:$F$305,"Abierta")+COUNTIFS(Restricciones!$C$6:$C$305,IF(C150="CWP",B150,H150),Restricciones!$F$6:$F$305,"En gestión"))))</f>
        <v/>
      </c>
      <c r="S150" s="30">
        <f>IF(OR(B150="",M150=""),"",IF(O150&lt;&gt;"",MAX(0,O150-M150),IF(AND($B$3&gt;M150,K150&lt;&gt;"Cerrado"),$B$3-M150,0)))</f>
        <v/>
      </c>
      <c r="T150" s="31">
        <f>IF(B150="","",IF(K150="Cerrado",IF(S150&gt;0,"Cerrado con atraso","Cerrado"),IF(S150&gt;0,"Atrasado",IF(AND(N150="",L150&lt;&gt;"",$B$3&gt;L150),"Inicio atrasado","En plazo"))))</f>
        <v/>
      </c>
      <c r="U150" s="26" t="n"/>
    </row>
    <row r="151">
      <c r="A151" s="24" t="n"/>
      <c r="B151" s="25" t="n"/>
      <c r="C151" s="25" t="n"/>
      <c r="D151" s="25" t="n"/>
      <c r="E151" s="26" t="n"/>
      <c r="F151" s="25" t="n"/>
      <c r="G151" s="25" t="n"/>
      <c r="H151" s="25" t="n"/>
      <c r="I151" s="25" t="n"/>
      <c r="J151" s="25" t="n"/>
      <c r="K151" s="25" t="n"/>
      <c r="L151" s="27" t="n"/>
      <c r="M151" s="27" t="n"/>
      <c r="N151" s="27" t="n"/>
      <c r="O151" s="27" t="n"/>
      <c r="P151" s="28" t="n"/>
      <c r="Q151" s="29" t="n"/>
      <c r="R151" s="30">
        <f>IF(B151="","",IF(C151="IWP",COUNTIFS(Restricciones!$D$6:$D$305,B151,Restricciones!$F$6:$F$305,"Abierta")+COUNTIFS(Restricciones!$D$6:$D$305,B151,Restricciones!$F$6:$F$305,"En gestión"),IF(C151="CWA",COUNTIFS(Restricciones!$C$6:$C$305,"CWP-"&amp;MID(B151,5,4)&amp;"-*",Restricciones!$F$6:$F$305,"Abierta")+COUNTIFS(Restricciones!$C$6:$C$305,"CWP-"&amp;MID(B151,5,4)&amp;"-*",Restricciones!$F$6:$F$305,"En gestión"),COUNTIFS(Restricciones!$C$6:$C$305,IF(C151="CWP",B151,H151),Restricciones!$F$6:$F$305,"Abierta")+COUNTIFS(Restricciones!$C$6:$C$305,IF(C151="CWP",B151,H151),Restricciones!$F$6:$F$305,"En gestión"))))</f>
        <v/>
      </c>
      <c r="S151" s="30">
        <f>IF(OR(B151="",M151=""),"",IF(O151&lt;&gt;"",MAX(0,O151-M151),IF(AND($B$3&gt;M151,K151&lt;&gt;"Cerrado"),$B$3-M151,0)))</f>
        <v/>
      </c>
      <c r="T151" s="31">
        <f>IF(B151="","",IF(K151="Cerrado",IF(S151&gt;0,"Cerrado con atraso","Cerrado"),IF(S151&gt;0,"Atrasado",IF(AND(N151="",L151&lt;&gt;"",$B$3&gt;L151),"Inicio atrasado","En plazo"))))</f>
        <v/>
      </c>
      <c r="U151" s="26" t="n"/>
    </row>
    <row r="152">
      <c r="A152" s="24" t="n"/>
      <c r="B152" s="25" t="n"/>
      <c r="C152" s="25" t="n"/>
      <c r="D152" s="25" t="n"/>
      <c r="E152" s="26" t="n"/>
      <c r="F152" s="25" t="n"/>
      <c r="G152" s="25" t="n"/>
      <c r="H152" s="25" t="n"/>
      <c r="I152" s="25" t="n"/>
      <c r="J152" s="25" t="n"/>
      <c r="K152" s="25" t="n"/>
      <c r="L152" s="27" t="n"/>
      <c r="M152" s="27" t="n"/>
      <c r="N152" s="27" t="n"/>
      <c r="O152" s="27" t="n"/>
      <c r="P152" s="28" t="n"/>
      <c r="Q152" s="29" t="n"/>
      <c r="R152" s="30">
        <f>IF(B152="","",IF(C152="IWP",COUNTIFS(Restricciones!$D$6:$D$305,B152,Restricciones!$F$6:$F$305,"Abierta")+COUNTIFS(Restricciones!$D$6:$D$305,B152,Restricciones!$F$6:$F$305,"En gestión"),IF(C152="CWA",COUNTIFS(Restricciones!$C$6:$C$305,"CWP-"&amp;MID(B152,5,4)&amp;"-*",Restricciones!$F$6:$F$305,"Abierta")+COUNTIFS(Restricciones!$C$6:$C$305,"CWP-"&amp;MID(B152,5,4)&amp;"-*",Restricciones!$F$6:$F$305,"En gestión"),COUNTIFS(Restricciones!$C$6:$C$305,IF(C152="CWP",B152,H152),Restricciones!$F$6:$F$305,"Abierta")+COUNTIFS(Restricciones!$C$6:$C$305,IF(C152="CWP",B152,H152),Restricciones!$F$6:$F$305,"En gestión"))))</f>
        <v/>
      </c>
      <c r="S152" s="30">
        <f>IF(OR(B152="",M152=""),"",IF(O152&lt;&gt;"",MAX(0,O152-M152),IF(AND($B$3&gt;M152,K152&lt;&gt;"Cerrado"),$B$3-M152,0)))</f>
        <v/>
      </c>
      <c r="T152" s="31">
        <f>IF(B152="","",IF(K152="Cerrado",IF(S152&gt;0,"Cerrado con atraso","Cerrado"),IF(S152&gt;0,"Atrasado",IF(AND(N152="",L152&lt;&gt;"",$B$3&gt;L152),"Inicio atrasado","En plazo"))))</f>
        <v/>
      </c>
      <c r="U152" s="26" t="n"/>
    </row>
    <row r="153">
      <c r="A153" s="24" t="n"/>
      <c r="B153" s="25" t="n"/>
      <c r="C153" s="25" t="n"/>
      <c r="D153" s="25" t="n"/>
      <c r="E153" s="26" t="n"/>
      <c r="F153" s="25" t="n"/>
      <c r="G153" s="25" t="n"/>
      <c r="H153" s="25" t="n"/>
      <c r="I153" s="25" t="n"/>
      <c r="J153" s="25" t="n"/>
      <c r="K153" s="25" t="n"/>
      <c r="L153" s="27" t="n"/>
      <c r="M153" s="27" t="n"/>
      <c r="N153" s="27" t="n"/>
      <c r="O153" s="27" t="n"/>
      <c r="P153" s="28" t="n"/>
      <c r="Q153" s="29" t="n"/>
      <c r="R153" s="30">
        <f>IF(B153="","",IF(C153="IWP",COUNTIFS(Restricciones!$D$6:$D$305,B153,Restricciones!$F$6:$F$305,"Abierta")+COUNTIFS(Restricciones!$D$6:$D$305,B153,Restricciones!$F$6:$F$305,"En gestión"),IF(C153="CWA",COUNTIFS(Restricciones!$C$6:$C$305,"CWP-"&amp;MID(B153,5,4)&amp;"-*",Restricciones!$F$6:$F$305,"Abierta")+COUNTIFS(Restricciones!$C$6:$C$305,"CWP-"&amp;MID(B153,5,4)&amp;"-*",Restricciones!$F$6:$F$305,"En gestión"),COUNTIFS(Restricciones!$C$6:$C$305,IF(C153="CWP",B153,H153),Restricciones!$F$6:$F$305,"Abierta")+COUNTIFS(Restricciones!$C$6:$C$305,IF(C153="CWP",B153,H153),Restricciones!$F$6:$F$305,"En gestión"))))</f>
        <v/>
      </c>
      <c r="S153" s="30">
        <f>IF(OR(B153="",M153=""),"",IF(O153&lt;&gt;"",MAX(0,O153-M153),IF(AND($B$3&gt;M153,K153&lt;&gt;"Cerrado"),$B$3-M153,0)))</f>
        <v/>
      </c>
      <c r="T153" s="31">
        <f>IF(B153="","",IF(K153="Cerrado",IF(S153&gt;0,"Cerrado con atraso","Cerrado"),IF(S153&gt;0,"Atrasado",IF(AND(N153="",L153&lt;&gt;"",$B$3&gt;L153),"Inicio atrasado","En plazo"))))</f>
        <v/>
      </c>
      <c r="U153" s="26" t="n"/>
    </row>
    <row r="154">
      <c r="A154" s="24" t="n"/>
      <c r="B154" s="25" t="n"/>
      <c r="C154" s="25" t="n"/>
      <c r="D154" s="25" t="n"/>
      <c r="E154" s="26" t="n"/>
      <c r="F154" s="25" t="n"/>
      <c r="G154" s="25" t="n"/>
      <c r="H154" s="25" t="n"/>
      <c r="I154" s="25" t="n"/>
      <c r="J154" s="25" t="n"/>
      <c r="K154" s="25" t="n"/>
      <c r="L154" s="27" t="n"/>
      <c r="M154" s="27" t="n"/>
      <c r="N154" s="27" t="n"/>
      <c r="O154" s="27" t="n"/>
      <c r="P154" s="28" t="n"/>
      <c r="Q154" s="29" t="n"/>
      <c r="R154" s="30">
        <f>IF(B154="","",IF(C154="IWP",COUNTIFS(Restricciones!$D$6:$D$305,B154,Restricciones!$F$6:$F$305,"Abierta")+COUNTIFS(Restricciones!$D$6:$D$305,B154,Restricciones!$F$6:$F$305,"En gestión"),IF(C154="CWA",COUNTIFS(Restricciones!$C$6:$C$305,"CWP-"&amp;MID(B154,5,4)&amp;"-*",Restricciones!$F$6:$F$305,"Abierta")+COUNTIFS(Restricciones!$C$6:$C$305,"CWP-"&amp;MID(B154,5,4)&amp;"-*",Restricciones!$F$6:$F$305,"En gestión"),COUNTIFS(Restricciones!$C$6:$C$305,IF(C154="CWP",B154,H154),Restricciones!$F$6:$F$305,"Abierta")+COUNTIFS(Restricciones!$C$6:$C$305,IF(C154="CWP",B154,H154),Restricciones!$F$6:$F$305,"En gestión"))))</f>
        <v/>
      </c>
      <c r="S154" s="30">
        <f>IF(OR(B154="",M154=""),"",IF(O154&lt;&gt;"",MAX(0,O154-M154),IF(AND($B$3&gt;M154,K154&lt;&gt;"Cerrado"),$B$3-M154,0)))</f>
        <v/>
      </c>
      <c r="T154" s="31">
        <f>IF(B154="","",IF(K154="Cerrado",IF(S154&gt;0,"Cerrado con atraso","Cerrado"),IF(S154&gt;0,"Atrasado",IF(AND(N154="",L154&lt;&gt;"",$B$3&gt;L154),"Inicio atrasado","En plazo"))))</f>
        <v/>
      </c>
      <c r="U154" s="26" t="n"/>
    </row>
    <row r="155">
      <c r="A155" s="24" t="n"/>
      <c r="B155" s="25" t="n"/>
      <c r="C155" s="25" t="n"/>
      <c r="D155" s="25" t="n"/>
      <c r="E155" s="26" t="n"/>
      <c r="F155" s="25" t="n"/>
      <c r="G155" s="25" t="n"/>
      <c r="H155" s="25" t="n"/>
      <c r="I155" s="25" t="n"/>
      <c r="J155" s="25" t="n"/>
      <c r="K155" s="25" t="n"/>
      <c r="L155" s="27" t="n"/>
      <c r="M155" s="27" t="n"/>
      <c r="N155" s="27" t="n"/>
      <c r="O155" s="27" t="n"/>
      <c r="P155" s="28" t="n"/>
      <c r="Q155" s="29" t="n"/>
      <c r="R155" s="30">
        <f>IF(B155="","",IF(C155="IWP",COUNTIFS(Restricciones!$D$6:$D$305,B155,Restricciones!$F$6:$F$305,"Abierta")+COUNTIFS(Restricciones!$D$6:$D$305,B155,Restricciones!$F$6:$F$305,"En gestión"),IF(C155="CWA",COUNTIFS(Restricciones!$C$6:$C$305,"CWP-"&amp;MID(B155,5,4)&amp;"-*",Restricciones!$F$6:$F$305,"Abierta")+COUNTIFS(Restricciones!$C$6:$C$305,"CWP-"&amp;MID(B155,5,4)&amp;"-*",Restricciones!$F$6:$F$305,"En gestión"),COUNTIFS(Restricciones!$C$6:$C$305,IF(C155="CWP",B155,H155),Restricciones!$F$6:$F$305,"Abierta")+COUNTIFS(Restricciones!$C$6:$C$305,IF(C155="CWP",B155,H155),Restricciones!$F$6:$F$305,"En gestión"))))</f>
        <v/>
      </c>
      <c r="S155" s="30">
        <f>IF(OR(B155="",M155=""),"",IF(O155&lt;&gt;"",MAX(0,O155-M155),IF(AND($B$3&gt;M155,K155&lt;&gt;"Cerrado"),$B$3-M155,0)))</f>
        <v/>
      </c>
      <c r="T155" s="31">
        <f>IF(B155="","",IF(K155="Cerrado",IF(S155&gt;0,"Cerrado con atraso","Cerrado"),IF(S155&gt;0,"Atrasado",IF(AND(N155="",L155&lt;&gt;"",$B$3&gt;L155),"Inicio atrasado","En plazo"))))</f>
        <v/>
      </c>
      <c r="U155" s="26" t="n"/>
    </row>
    <row r="156">
      <c r="A156" s="24" t="n"/>
      <c r="B156" s="25" t="n"/>
      <c r="C156" s="25" t="n"/>
      <c r="D156" s="25" t="n"/>
      <c r="E156" s="26" t="n"/>
      <c r="F156" s="25" t="n"/>
      <c r="G156" s="25" t="n"/>
      <c r="H156" s="25" t="n"/>
      <c r="I156" s="25" t="n"/>
      <c r="J156" s="25" t="n"/>
      <c r="K156" s="25" t="n"/>
      <c r="L156" s="27" t="n"/>
      <c r="M156" s="27" t="n"/>
      <c r="N156" s="27" t="n"/>
      <c r="O156" s="27" t="n"/>
      <c r="P156" s="28" t="n"/>
      <c r="Q156" s="29" t="n"/>
      <c r="R156" s="30">
        <f>IF(B156="","",IF(C156="IWP",COUNTIFS(Restricciones!$D$6:$D$305,B156,Restricciones!$F$6:$F$305,"Abierta")+COUNTIFS(Restricciones!$D$6:$D$305,B156,Restricciones!$F$6:$F$305,"En gestión"),IF(C156="CWA",COUNTIFS(Restricciones!$C$6:$C$305,"CWP-"&amp;MID(B156,5,4)&amp;"-*",Restricciones!$F$6:$F$305,"Abierta")+COUNTIFS(Restricciones!$C$6:$C$305,"CWP-"&amp;MID(B156,5,4)&amp;"-*",Restricciones!$F$6:$F$305,"En gestión"),COUNTIFS(Restricciones!$C$6:$C$305,IF(C156="CWP",B156,H156),Restricciones!$F$6:$F$305,"Abierta")+COUNTIFS(Restricciones!$C$6:$C$305,IF(C156="CWP",B156,H156),Restricciones!$F$6:$F$305,"En gestión"))))</f>
        <v/>
      </c>
      <c r="S156" s="30">
        <f>IF(OR(B156="",M156=""),"",IF(O156&lt;&gt;"",MAX(0,O156-M156),IF(AND($B$3&gt;M156,K156&lt;&gt;"Cerrado"),$B$3-M156,0)))</f>
        <v/>
      </c>
      <c r="T156" s="31">
        <f>IF(B156="","",IF(K156="Cerrado",IF(S156&gt;0,"Cerrado con atraso","Cerrado"),IF(S156&gt;0,"Atrasado",IF(AND(N156="",L156&lt;&gt;"",$B$3&gt;L156),"Inicio atrasado","En plazo"))))</f>
        <v/>
      </c>
      <c r="U156" s="26" t="n"/>
    </row>
    <row r="157">
      <c r="A157" s="24" t="n"/>
      <c r="B157" s="25" t="n"/>
      <c r="C157" s="25" t="n"/>
      <c r="D157" s="25" t="n"/>
      <c r="E157" s="26" t="n"/>
      <c r="F157" s="25" t="n"/>
      <c r="G157" s="25" t="n"/>
      <c r="H157" s="25" t="n"/>
      <c r="I157" s="25" t="n"/>
      <c r="J157" s="25" t="n"/>
      <c r="K157" s="25" t="n"/>
      <c r="L157" s="27" t="n"/>
      <c r="M157" s="27" t="n"/>
      <c r="N157" s="27" t="n"/>
      <c r="O157" s="27" t="n"/>
      <c r="P157" s="28" t="n"/>
      <c r="Q157" s="29" t="n"/>
      <c r="R157" s="30">
        <f>IF(B157="","",IF(C157="IWP",COUNTIFS(Restricciones!$D$6:$D$305,B157,Restricciones!$F$6:$F$305,"Abierta")+COUNTIFS(Restricciones!$D$6:$D$305,B157,Restricciones!$F$6:$F$305,"En gestión"),IF(C157="CWA",COUNTIFS(Restricciones!$C$6:$C$305,"CWP-"&amp;MID(B157,5,4)&amp;"-*",Restricciones!$F$6:$F$305,"Abierta")+COUNTIFS(Restricciones!$C$6:$C$305,"CWP-"&amp;MID(B157,5,4)&amp;"-*",Restricciones!$F$6:$F$305,"En gestión"),COUNTIFS(Restricciones!$C$6:$C$305,IF(C157="CWP",B157,H157),Restricciones!$F$6:$F$305,"Abierta")+COUNTIFS(Restricciones!$C$6:$C$305,IF(C157="CWP",B157,H157),Restricciones!$F$6:$F$305,"En gestión"))))</f>
        <v/>
      </c>
      <c r="S157" s="30">
        <f>IF(OR(B157="",M157=""),"",IF(O157&lt;&gt;"",MAX(0,O157-M157),IF(AND($B$3&gt;M157,K157&lt;&gt;"Cerrado"),$B$3-M157,0)))</f>
        <v/>
      </c>
      <c r="T157" s="31">
        <f>IF(B157="","",IF(K157="Cerrado",IF(S157&gt;0,"Cerrado con atraso","Cerrado"),IF(S157&gt;0,"Atrasado",IF(AND(N157="",L157&lt;&gt;"",$B$3&gt;L157),"Inicio atrasado","En plazo"))))</f>
        <v/>
      </c>
      <c r="U157" s="26" t="n"/>
    </row>
    <row r="158">
      <c r="A158" s="24" t="n"/>
      <c r="B158" s="25" t="n"/>
      <c r="C158" s="25" t="n"/>
      <c r="D158" s="25" t="n"/>
      <c r="E158" s="26" t="n"/>
      <c r="F158" s="25" t="n"/>
      <c r="G158" s="25" t="n"/>
      <c r="H158" s="25" t="n"/>
      <c r="I158" s="25" t="n"/>
      <c r="J158" s="25" t="n"/>
      <c r="K158" s="25" t="n"/>
      <c r="L158" s="27" t="n"/>
      <c r="M158" s="27" t="n"/>
      <c r="N158" s="27" t="n"/>
      <c r="O158" s="27" t="n"/>
      <c r="P158" s="28" t="n"/>
      <c r="Q158" s="29" t="n"/>
      <c r="R158" s="30">
        <f>IF(B158="","",IF(C158="IWP",COUNTIFS(Restricciones!$D$6:$D$305,B158,Restricciones!$F$6:$F$305,"Abierta")+COUNTIFS(Restricciones!$D$6:$D$305,B158,Restricciones!$F$6:$F$305,"En gestión"),IF(C158="CWA",COUNTIFS(Restricciones!$C$6:$C$305,"CWP-"&amp;MID(B158,5,4)&amp;"-*",Restricciones!$F$6:$F$305,"Abierta")+COUNTIFS(Restricciones!$C$6:$C$305,"CWP-"&amp;MID(B158,5,4)&amp;"-*",Restricciones!$F$6:$F$305,"En gestión"),COUNTIFS(Restricciones!$C$6:$C$305,IF(C158="CWP",B158,H158),Restricciones!$F$6:$F$305,"Abierta")+COUNTIFS(Restricciones!$C$6:$C$305,IF(C158="CWP",B158,H158),Restricciones!$F$6:$F$305,"En gestión"))))</f>
        <v/>
      </c>
      <c r="S158" s="30">
        <f>IF(OR(B158="",M158=""),"",IF(O158&lt;&gt;"",MAX(0,O158-M158),IF(AND($B$3&gt;M158,K158&lt;&gt;"Cerrado"),$B$3-M158,0)))</f>
        <v/>
      </c>
      <c r="T158" s="31">
        <f>IF(B158="","",IF(K158="Cerrado",IF(S158&gt;0,"Cerrado con atraso","Cerrado"),IF(S158&gt;0,"Atrasado",IF(AND(N158="",L158&lt;&gt;"",$B$3&gt;L158),"Inicio atrasado","En plazo"))))</f>
        <v/>
      </c>
      <c r="U158" s="26" t="n"/>
    </row>
    <row r="159">
      <c r="A159" s="24" t="n"/>
      <c r="B159" s="25" t="n"/>
      <c r="C159" s="25" t="n"/>
      <c r="D159" s="25" t="n"/>
      <c r="E159" s="26" t="n"/>
      <c r="F159" s="25" t="n"/>
      <c r="G159" s="25" t="n"/>
      <c r="H159" s="25" t="n"/>
      <c r="I159" s="25" t="n"/>
      <c r="J159" s="25" t="n"/>
      <c r="K159" s="25" t="n"/>
      <c r="L159" s="27" t="n"/>
      <c r="M159" s="27" t="n"/>
      <c r="N159" s="27" t="n"/>
      <c r="O159" s="27" t="n"/>
      <c r="P159" s="28" t="n"/>
      <c r="Q159" s="29" t="n"/>
      <c r="R159" s="30">
        <f>IF(B159="","",IF(C159="IWP",COUNTIFS(Restricciones!$D$6:$D$305,B159,Restricciones!$F$6:$F$305,"Abierta")+COUNTIFS(Restricciones!$D$6:$D$305,B159,Restricciones!$F$6:$F$305,"En gestión"),IF(C159="CWA",COUNTIFS(Restricciones!$C$6:$C$305,"CWP-"&amp;MID(B159,5,4)&amp;"-*",Restricciones!$F$6:$F$305,"Abierta")+COUNTIFS(Restricciones!$C$6:$C$305,"CWP-"&amp;MID(B159,5,4)&amp;"-*",Restricciones!$F$6:$F$305,"En gestión"),COUNTIFS(Restricciones!$C$6:$C$305,IF(C159="CWP",B159,H159),Restricciones!$F$6:$F$305,"Abierta")+COUNTIFS(Restricciones!$C$6:$C$305,IF(C159="CWP",B159,H159),Restricciones!$F$6:$F$305,"En gestión"))))</f>
        <v/>
      </c>
      <c r="S159" s="30">
        <f>IF(OR(B159="",M159=""),"",IF(O159&lt;&gt;"",MAX(0,O159-M159),IF(AND($B$3&gt;M159,K159&lt;&gt;"Cerrado"),$B$3-M159,0)))</f>
        <v/>
      </c>
      <c r="T159" s="31">
        <f>IF(B159="","",IF(K159="Cerrado",IF(S159&gt;0,"Cerrado con atraso","Cerrado"),IF(S159&gt;0,"Atrasado",IF(AND(N159="",L159&lt;&gt;"",$B$3&gt;L159),"Inicio atrasado","En plazo"))))</f>
        <v/>
      </c>
      <c r="U159" s="26" t="n"/>
    </row>
    <row r="160">
      <c r="A160" s="24" t="n"/>
      <c r="B160" s="25" t="n"/>
      <c r="C160" s="25" t="n"/>
      <c r="D160" s="25" t="n"/>
      <c r="E160" s="26" t="n"/>
      <c r="F160" s="25" t="n"/>
      <c r="G160" s="25" t="n"/>
      <c r="H160" s="25" t="n"/>
      <c r="I160" s="25" t="n"/>
      <c r="J160" s="25" t="n"/>
      <c r="K160" s="25" t="n"/>
      <c r="L160" s="27" t="n"/>
      <c r="M160" s="27" t="n"/>
      <c r="N160" s="27" t="n"/>
      <c r="O160" s="27" t="n"/>
      <c r="P160" s="28" t="n"/>
      <c r="Q160" s="29" t="n"/>
      <c r="R160" s="30">
        <f>IF(B160="","",IF(C160="IWP",COUNTIFS(Restricciones!$D$6:$D$305,B160,Restricciones!$F$6:$F$305,"Abierta")+COUNTIFS(Restricciones!$D$6:$D$305,B160,Restricciones!$F$6:$F$305,"En gestión"),IF(C160="CWA",COUNTIFS(Restricciones!$C$6:$C$305,"CWP-"&amp;MID(B160,5,4)&amp;"-*",Restricciones!$F$6:$F$305,"Abierta")+COUNTIFS(Restricciones!$C$6:$C$305,"CWP-"&amp;MID(B160,5,4)&amp;"-*",Restricciones!$F$6:$F$305,"En gestión"),COUNTIFS(Restricciones!$C$6:$C$305,IF(C160="CWP",B160,H160),Restricciones!$F$6:$F$305,"Abierta")+COUNTIFS(Restricciones!$C$6:$C$305,IF(C160="CWP",B160,H160),Restricciones!$F$6:$F$305,"En gestión"))))</f>
        <v/>
      </c>
      <c r="S160" s="30">
        <f>IF(OR(B160="",M160=""),"",IF(O160&lt;&gt;"",MAX(0,O160-M160),IF(AND($B$3&gt;M160,K160&lt;&gt;"Cerrado"),$B$3-M160,0)))</f>
        <v/>
      </c>
      <c r="T160" s="31">
        <f>IF(B160="","",IF(K160="Cerrado",IF(S160&gt;0,"Cerrado con atraso","Cerrado"),IF(S160&gt;0,"Atrasado",IF(AND(N160="",L160&lt;&gt;"",$B$3&gt;L160),"Inicio atrasado","En plazo"))))</f>
        <v/>
      </c>
      <c r="U160" s="26" t="n"/>
    </row>
    <row r="161">
      <c r="A161" s="24" t="n"/>
      <c r="B161" s="25" t="n"/>
      <c r="C161" s="25" t="n"/>
      <c r="D161" s="25" t="n"/>
      <c r="E161" s="26" t="n"/>
      <c r="F161" s="25" t="n"/>
      <c r="G161" s="25" t="n"/>
      <c r="H161" s="25" t="n"/>
      <c r="I161" s="25" t="n"/>
      <c r="J161" s="25" t="n"/>
      <c r="K161" s="25" t="n"/>
      <c r="L161" s="27" t="n"/>
      <c r="M161" s="27" t="n"/>
      <c r="N161" s="27" t="n"/>
      <c r="O161" s="27" t="n"/>
      <c r="P161" s="28" t="n"/>
      <c r="Q161" s="29" t="n"/>
      <c r="R161" s="30">
        <f>IF(B161="","",IF(C161="IWP",COUNTIFS(Restricciones!$D$6:$D$305,B161,Restricciones!$F$6:$F$305,"Abierta")+COUNTIFS(Restricciones!$D$6:$D$305,B161,Restricciones!$F$6:$F$305,"En gestión"),IF(C161="CWA",COUNTIFS(Restricciones!$C$6:$C$305,"CWP-"&amp;MID(B161,5,4)&amp;"-*",Restricciones!$F$6:$F$305,"Abierta")+COUNTIFS(Restricciones!$C$6:$C$305,"CWP-"&amp;MID(B161,5,4)&amp;"-*",Restricciones!$F$6:$F$305,"En gestión"),COUNTIFS(Restricciones!$C$6:$C$305,IF(C161="CWP",B161,H161),Restricciones!$F$6:$F$305,"Abierta")+COUNTIFS(Restricciones!$C$6:$C$305,IF(C161="CWP",B161,H161),Restricciones!$F$6:$F$305,"En gestión"))))</f>
        <v/>
      </c>
      <c r="S161" s="30">
        <f>IF(OR(B161="",M161=""),"",IF(O161&lt;&gt;"",MAX(0,O161-M161),IF(AND($B$3&gt;M161,K161&lt;&gt;"Cerrado"),$B$3-M161,0)))</f>
        <v/>
      </c>
      <c r="T161" s="31">
        <f>IF(B161="","",IF(K161="Cerrado",IF(S161&gt;0,"Cerrado con atraso","Cerrado"),IF(S161&gt;0,"Atrasado",IF(AND(N161="",L161&lt;&gt;"",$B$3&gt;L161),"Inicio atrasado","En plazo"))))</f>
        <v/>
      </c>
      <c r="U161" s="26" t="n"/>
    </row>
    <row r="162">
      <c r="A162" s="24" t="n"/>
      <c r="B162" s="25" t="n"/>
      <c r="C162" s="25" t="n"/>
      <c r="D162" s="25" t="n"/>
      <c r="E162" s="26" t="n"/>
      <c r="F162" s="25" t="n"/>
      <c r="G162" s="25" t="n"/>
      <c r="H162" s="25" t="n"/>
      <c r="I162" s="25" t="n"/>
      <c r="J162" s="25" t="n"/>
      <c r="K162" s="25" t="n"/>
      <c r="L162" s="27" t="n"/>
      <c r="M162" s="27" t="n"/>
      <c r="N162" s="27" t="n"/>
      <c r="O162" s="27" t="n"/>
      <c r="P162" s="28" t="n"/>
      <c r="Q162" s="29" t="n"/>
      <c r="R162" s="30">
        <f>IF(B162="","",IF(C162="IWP",COUNTIFS(Restricciones!$D$6:$D$305,B162,Restricciones!$F$6:$F$305,"Abierta")+COUNTIFS(Restricciones!$D$6:$D$305,B162,Restricciones!$F$6:$F$305,"En gestión"),IF(C162="CWA",COUNTIFS(Restricciones!$C$6:$C$305,"CWP-"&amp;MID(B162,5,4)&amp;"-*",Restricciones!$F$6:$F$305,"Abierta")+COUNTIFS(Restricciones!$C$6:$C$305,"CWP-"&amp;MID(B162,5,4)&amp;"-*",Restricciones!$F$6:$F$305,"En gestión"),COUNTIFS(Restricciones!$C$6:$C$305,IF(C162="CWP",B162,H162),Restricciones!$F$6:$F$305,"Abierta")+COUNTIFS(Restricciones!$C$6:$C$305,IF(C162="CWP",B162,H162),Restricciones!$F$6:$F$305,"En gestión"))))</f>
        <v/>
      </c>
      <c r="S162" s="30">
        <f>IF(OR(B162="",M162=""),"",IF(O162&lt;&gt;"",MAX(0,O162-M162),IF(AND($B$3&gt;M162,K162&lt;&gt;"Cerrado"),$B$3-M162,0)))</f>
        <v/>
      </c>
      <c r="T162" s="31">
        <f>IF(B162="","",IF(K162="Cerrado",IF(S162&gt;0,"Cerrado con atraso","Cerrado"),IF(S162&gt;0,"Atrasado",IF(AND(N162="",L162&lt;&gt;"",$B$3&gt;L162),"Inicio atrasado","En plazo"))))</f>
        <v/>
      </c>
      <c r="U162" s="26" t="n"/>
    </row>
    <row r="163">
      <c r="A163" s="24" t="n"/>
      <c r="B163" s="25" t="n"/>
      <c r="C163" s="25" t="n"/>
      <c r="D163" s="25" t="n"/>
      <c r="E163" s="26" t="n"/>
      <c r="F163" s="25" t="n"/>
      <c r="G163" s="25" t="n"/>
      <c r="H163" s="25" t="n"/>
      <c r="I163" s="25" t="n"/>
      <c r="J163" s="25" t="n"/>
      <c r="K163" s="25" t="n"/>
      <c r="L163" s="27" t="n"/>
      <c r="M163" s="27" t="n"/>
      <c r="N163" s="27" t="n"/>
      <c r="O163" s="27" t="n"/>
      <c r="P163" s="28" t="n"/>
      <c r="Q163" s="29" t="n"/>
      <c r="R163" s="30">
        <f>IF(B163="","",IF(C163="IWP",COUNTIFS(Restricciones!$D$6:$D$305,B163,Restricciones!$F$6:$F$305,"Abierta")+COUNTIFS(Restricciones!$D$6:$D$305,B163,Restricciones!$F$6:$F$305,"En gestión"),IF(C163="CWA",COUNTIFS(Restricciones!$C$6:$C$305,"CWP-"&amp;MID(B163,5,4)&amp;"-*",Restricciones!$F$6:$F$305,"Abierta")+COUNTIFS(Restricciones!$C$6:$C$305,"CWP-"&amp;MID(B163,5,4)&amp;"-*",Restricciones!$F$6:$F$305,"En gestión"),COUNTIFS(Restricciones!$C$6:$C$305,IF(C163="CWP",B163,H163),Restricciones!$F$6:$F$305,"Abierta")+COUNTIFS(Restricciones!$C$6:$C$305,IF(C163="CWP",B163,H163),Restricciones!$F$6:$F$305,"En gestión"))))</f>
        <v/>
      </c>
      <c r="S163" s="30">
        <f>IF(OR(B163="",M163=""),"",IF(O163&lt;&gt;"",MAX(0,O163-M163),IF(AND($B$3&gt;M163,K163&lt;&gt;"Cerrado"),$B$3-M163,0)))</f>
        <v/>
      </c>
      <c r="T163" s="31">
        <f>IF(B163="","",IF(K163="Cerrado",IF(S163&gt;0,"Cerrado con atraso","Cerrado"),IF(S163&gt;0,"Atrasado",IF(AND(N163="",L163&lt;&gt;"",$B$3&gt;L163),"Inicio atrasado","En plazo"))))</f>
        <v/>
      </c>
      <c r="U163" s="26" t="n"/>
    </row>
    <row r="164">
      <c r="A164" s="24" t="n"/>
      <c r="B164" s="25" t="n"/>
      <c r="C164" s="25" t="n"/>
      <c r="D164" s="25" t="n"/>
      <c r="E164" s="26" t="n"/>
      <c r="F164" s="25" t="n"/>
      <c r="G164" s="25" t="n"/>
      <c r="H164" s="25" t="n"/>
      <c r="I164" s="25" t="n"/>
      <c r="J164" s="25" t="n"/>
      <c r="K164" s="25" t="n"/>
      <c r="L164" s="27" t="n"/>
      <c r="M164" s="27" t="n"/>
      <c r="N164" s="27" t="n"/>
      <c r="O164" s="27" t="n"/>
      <c r="P164" s="28" t="n"/>
      <c r="Q164" s="29" t="n"/>
      <c r="R164" s="30">
        <f>IF(B164="","",IF(C164="IWP",COUNTIFS(Restricciones!$D$6:$D$305,B164,Restricciones!$F$6:$F$305,"Abierta")+COUNTIFS(Restricciones!$D$6:$D$305,B164,Restricciones!$F$6:$F$305,"En gestión"),IF(C164="CWA",COUNTIFS(Restricciones!$C$6:$C$305,"CWP-"&amp;MID(B164,5,4)&amp;"-*",Restricciones!$F$6:$F$305,"Abierta")+COUNTIFS(Restricciones!$C$6:$C$305,"CWP-"&amp;MID(B164,5,4)&amp;"-*",Restricciones!$F$6:$F$305,"En gestión"),COUNTIFS(Restricciones!$C$6:$C$305,IF(C164="CWP",B164,H164),Restricciones!$F$6:$F$305,"Abierta")+COUNTIFS(Restricciones!$C$6:$C$305,IF(C164="CWP",B164,H164),Restricciones!$F$6:$F$305,"En gestión"))))</f>
        <v/>
      </c>
      <c r="S164" s="30">
        <f>IF(OR(B164="",M164=""),"",IF(O164&lt;&gt;"",MAX(0,O164-M164),IF(AND($B$3&gt;M164,K164&lt;&gt;"Cerrado"),$B$3-M164,0)))</f>
        <v/>
      </c>
      <c r="T164" s="31">
        <f>IF(B164="","",IF(K164="Cerrado",IF(S164&gt;0,"Cerrado con atraso","Cerrado"),IF(S164&gt;0,"Atrasado",IF(AND(N164="",L164&lt;&gt;"",$B$3&gt;L164),"Inicio atrasado","En plazo"))))</f>
        <v/>
      </c>
      <c r="U164" s="26" t="n"/>
    </row>
    <row r="165">
      <c r="A165" s="24" t="n"/>
      <c r="B165" s="25" t="n"/>
      <c r="C165" s="25" t="n"/>
      <c r="D165" s="25" t="n"/>
      <c r="E165" s="26" t="n"/>
      <c r="F165" s="25" t="n"/>
      <c r="G165" s="25" t="n"/>
      <c r="H165" s="25" t="n"/>
      <c r="I165" s="25" t="n"/>
      <c r="J165" s="25" t="n"/>
      <c r="K165" s="25" t="n"/>
      <c r="L165" s="27" t="n"/>
      <c r="M165" s="27" t="n"/>
      <c r="N165" s="27" t="n"/>
      <c r="O165" s="27" t="n"/>
      <c r="P165" s="28" t="n"/>
      <c r="Q165" s="29" t="n"/>
      <c r="R165" s="30">
        <f>IF(B165="","",IF(C165="IWP",COUNTIFS(Restricciones!$D$6:$D$305,B165,Restricciones!$F$6:$F$305,"Abierta")+COUNTIFS(Restricciones!$D$6:$D$305,B165,Restricciones!$F$6:$F$305,"En gestión"),IF(C165="CWA",COUNTIFS(Restricciones!$C$6:$C$305,"CWP-"&amp;MID(B165,5,4)&amp;"-*",Restricciones!$F$6:$F$305,"Abierta")+COUNTIFS(Restricciones!$C$6:$C$305,"CWP-"&amp;MID(B165,5,4)&amp;"-*",Restricciones!$F$6:$F$305,"En gestión"),COUNTIFS(Restricciones!$C$6:$C$305,IF(C165="CWP",B165,H165),Restricciones!$F$6:$F$305,"Abierta")+COUNTIFS(Restricciones!$C$6:$C$305,IF(C165="CWP",B165,H165),Restricciones!$F$6:$F$305,"En gestión"))))</f>
        <v/>
      </c>
      <c r="S165" s="30">
        <f>IF(OR(B165="",M165=""),"",IF(O165&lt;&gt;"",MAX(0,O165-M165),IF(AND($B$3&gt;M165,K165&lt;&gt;"Cerrado"),$B$3-M165,0)))</f>
        <v/>
      </c>
      <c r="T165" s="31">
        <f>IF(B165="","",IF(K165="Cerrado",IF(S165&gt;0,"Cerrado con atraso","Cerrado"),IF(S165&gt;0,"Atrasado",IF(AND(N165="",L165&lt;&gt;"",$B$3&gt;L165),"Inicio atrasado","En plazo"))))</f>
        <v/>
      </c>
      <c r="U165" s="26" t="n"/>
    </row>
    <row r="166">
      <c r="A166" s="24" t="n"/>
      <c r="B166" s="25" t="n"/>
      <c r="C166" s="25" t="n"/>
      <c r="D166" s="25" t="n"/>
      <c r="E166" s="26" t="n"/>
      <c r="F166" s="25" t="n"/>
      <c r="G166" s="25" t="n"/>
      <c r="H166" s="25" t="n"/>
      <c r="I166" s="25" t="n"/>
      <c r="J166" s="25" t="n"/>
      <c r="K166" s="25" t="n"/>
      <c r="L166" s="27" t="n"/>
      <c r="M166" s="27" t="n"/>
      <c r="N166" s="27" t="n"/>
      <c r="O166" s="27" t="n"/>
      <c r="P166" s="28" t="n"/>
      <c r="Q166" s="29" t="n"/>
      <c r="R166" s="30">
        <f>IF(B166="","",IF(C166="IWP",COUNTIFS(Restricciones!$D$6:$D$305,B166,Restricciones!$F$6:$F$305,"Abierta")+COUNTIFS(Restricciones!$D$6:$D$305,B166,Restricciones!$F$6:$F$305,"En gestión"),IF(C166="CWA",COUNTIFS(Restricciones!$C$6:$C$305,"CWP-"&amp;MID(B166,5,4)&amp;"-*",Restricciones!$F$6:$F$305,"Abierta")+COUNTIFS(Restricciones!$C$6:$C$305,"CWP-"&amp;MID(B166,5,4)&amp;"-*",Restricciones!$F$6:$F$305,"En gestión"),COUNTIFS(Restricciones!$C$6:$C$305,IF(C166="CWP",B166,H166),Restricciones!$F$6:$F$305,"Abierta")+COUNTIFS(Restricciones!$C$6:$C$305,IF(C166="CWP",B166,H166),Restricciones!$F$6:$F$305,"En gestión"))))</f>
        <v/>
      </c>
      <c r="S166" s="30">
        <f>IF(OR(B166="",M166=""),"",IF(O166&lt;&gt;"",MAX(0,O166-M166),IF(AND($B$3&gt;M166,K166&lt;&gt;"Cerrado"),$B$3-M166,0)))</f>
        <v/>
      </c>
      <c r="T166" s="31">
        <f>IF(B166="","",IF(K166="Cerrado",IF(S166&gt;0,"Cerrado con atraso","Cerrado"),IF(S166&gt;0,"Atrasado",IF(AND(N166="",L166&lt;&gt;"",$B$3&gt;L166),"Inicio atrasado","En plazo"))))</f>
        <v/>
      </c>
      <c r="U166" s="26" t="n"/>
    </row>
    <row r="167">
      <c r="A167" s="24" t="n"/>
      <c r="B167" s="25" t="n"/>
      <c r="C167" s="25" t="n"/>
      <c r="D167" s="25" t="n"/>
      <c r="E167" s="26" t="n"/>
      <c r="F167" s="25" t="n"/>
      <c r="G167" s="25" t="n"/>
      <c r="H167" s="25" t="n"/>
      <c r="I167" s="25" t="n"/>
      <c r="J167" s="25" t="n"/>
      <c r="K167" s="25" t="n"/>
      <c r="L167" s="27" t="n"/>
      <c r="M167" s="27" t="n"/>
      <c r="N167" s="27" t="n"/>
      <c r="O167" s="27" t="n"/>
      <c r="P167" s="28" t="n"/>
      <c r="Q167" s="29" t="n"/>
      <c r="R167" s="30">
        <f>IF(B167="","",IF(C167="IWP",COUNTIFS(Restricciones!$D$6:$D$305,B167,Restricciones!$F$6:$F$305,"Abierta")+COUNTIFS(Restricciones!$D$6:$D$305,B167,Restricciones!$F$6:$F$305,"En gestión"),IF(C167="CWA",COUNTIFS(Restricciones!$C$6:$C$305,"CWP-"&amp;MID(B167,5,4)&amp;"-*",Restricciones!$F$6:$F$305,"Abierta")+COUNTIFS(Restricciones!$C$6:$C$305,"CWP-"&amp;MID(B167,5,4)&amp;"-*",Restricciones!$F$6:$F$305,"En gestión"),COUNTIFS(Restricciones!$C$6:$C$305,IF(C167="CWP",B167,H167),Restricciones!$F$6:$F$305,"Abierta")+COUNTIFS(Restricciones!$C$6:$C$305,IF(C167="CWP",B167,H167),Restricciones!$F$6:$F$305,"En gestión"))))</f>
        <v/>
      </c>
      <c r="S167" s="30">
        <f>IF(OR(B167="",M167=""),"",IF(O167&lt;&gt;"",MAX(0,O167-M167),IF(AND($B$3&gt;M167,K167&lt;&gt;"Cerrado"),$B$3-M167,0)))</f>
        <v/>
      </c>
      <c r="T167" s="31">
        <f>IF(B167="","",IF(K167="Cerrado",IF(S167&gt;0,"Cerrado con atraso","Cerrado"),IF(S167&gt;0,"Atrasado",IF(AND(N167="",L167&lt;&gt;"",$B$3&gt;L167),"Inicio atrasado","En plazo"))))</f>
        <v/>
      </c>
      <c r="U167" s="26" t="n"/>
    </row>
    <row r="168">
      <c r="A168" s="24" t="n"/>
      <c r="B168" s="25" t="n"/>
      <c r="C168" s="25" t="n"/>
      <c r="D168" s="25" t="n"/>
      <c r="E168" s="26" t="n"/>
      <c r="F168" s="25" t="n"/>
      <c r="G168" s="25" t="n"/>
      <c r="H168" s="25" t="n"/>
      <c r="I168" s="25" t="n"/>
      <c r="J168" s="25" t="n"/>
      <c r="K168" s="25" t="n"/>
      <c r="L168" s="27" t="n"/>
      <c r="M168" s="27" t="n"/>
      <c r="N168" s="27" t="n"/>
      <c r="O168" s="27" t="n"/>
      <c r="P168" s="28" t="n"/>
      <c r="Q168" s="29" t="n"/>
      <c r="R168" s="30">
        <f>IF(B168="","",IF(C168="IWP",COUNTIFS(Restricciones!$D$6:$D$305,B168,Restricciones!$F$6:$F$305,"Abierta")+COUNTIFS(Restricciones!$D$6:$D$305,B168,Restricciones!$F$6:$F$305,"En gestión"),IF(C168="CWA",COUNTIFS(Restricciones!$C$6:$C$305,"CWP-"&amp;MID(B168,5,4)&amp;"-*",Restricciones!$F$6:$F$305,"Abierta")+COUNTIFS(Restricciones!$C$6:$C$305,"CWP-"&amp;MID(B168,5,4)&amp;"-*",Restricciones!$F$6:$F$305,"En gestión"),COUNTIFS(Restricciones!$C$6:$C$305,IF(C168="CWP",B168,H168),Restricciones!$F$6:$F$305,"Abierta")+COUNTIFS(Restricciones!$C$6:$C$305,IF(C168="CWP",B168,H168),Restricciones!$F$6:$F$305,"En gestión"))))</f>
        <v/>
      </c>
      <c r="S168" s="30">
        <f>IF(OR(B168="",M168=""),"",IF(O168&lt;&gt;"",MAX(0,O168-M168),IF(AND($B$3&gt;M168,K168&lt;&gt;"Cerrado"),$B$3-M168,0)))</f>
        <v/>
      </c>
      <c r="T168" s="31">
        <f>IF(B168="","",IF(K168="Cerrado",IF(S168&gt;0,"Cerrado con atraso","Cerrado"),IF(S168&gt;0,"Atrasado",IF(AND(N168="",L168&lt;&gt;"",$B$3&gt;L168),"Inicio atrasado","En plazo"))))</f>
        <v/>
      </c>
      <c r="U168" s="26" t="n"/>
    </row>
    <row r="169">
      <c r="A169" s="24" t="n"/>
      <c r="B169" s="25" t="n"/>
      <c r="C169" s="25" t="n"/>
      <c r="D169" s="25" t="n"/>
      <c r="E169" s="26" t="n"/>
      <c r="F169" s="25" t="n"/>
      <c r="G169" s="25" t="n"/>
      <c r="H169" s="25" t="n"/>
      <c r="I169" s="25" t="n"/>
      <c r="J169" s="25" t="n"/>
      <c r="K169" s="25" t="n"/>
      <c r="L169" s="27" t="n"/>
      <c r="M169" s="27" t="n"/>
      <c r="N169" s="27" t="n"/>
      <c r="O169" s="27" t="n"/>
      <c r="P169" s="28" t="n"/>
      <c r="Q169" s="29" t="n"/>
      <c r="R169" s="30">
        <f>IF(B169="","",IF(C169="IWP",COUNTIFS(Restricciones!$D$6:$D$305,B169,Restricciones!$F$6:$F$305,"Abierta")+COUNTIFS(Restricciones!$D$6:$D$305,B169,Restricciones!$F$6:$F$305,"En gestión"),IF(C169="CWA",COUNTIFS(Restricciones!$C$6:$C$305,"CWP-"&amp;MID(B169,5,4)&amp;"-*",Restricciones!$F$6:$F$305,"Abierta")+COUNTIFS(Restricciones!$C$6:$C$305,"CWP-"&amp;MID(B169,5,4)&amp;"-*",Restricciones!$F$6:$F$305,"En gestión"),COUNTIFS(Restricciones!$C$6:$C$305,IF(C169="CWP",B169,H169),Restricciones!$F$6:$F$305,"Abierta")+COUNTIFS(Restricciones!$C$6:$C$305,IF(C169="CWP",B169,H169),Restricciones!$F$6:$F$305,"En gestión"))))</f>
        <v/>
      </c>
      <c r="S169" s="30">
        <f>IF(OR(B169="",M169=""),"",IF(O169&lt;&gt;"",MAX(0,O169-M169),IF(AND($B$3&gt;M169,K169&lt;&gt;"Cerrado"),$B$3-M169,0)))</f>
        <v/>
      </c>
      <c r="T169" s="31">
        <f>IF(B169="","",IF(K169="Cerrado",IF(S169&gt;0,"Cerrado con atraso","Cerrado"),IF(S169&gt;0,"Atrasado",IF(AND(N169="",L169&lt;&gt;"",$B$3&gt;L169),"Inicio atrasado","En plazo"))))</f>
        <v/>
      </c>
      <c r="U169" s="26" t="n"/>
    </row>
    <row r="170">
      <c r="A170" s="24" t="n"/>
      <c r="B170" s="25" t="n"/>
      <c r="C170" s="25" t="n"/>
      <c r="D170" s="25" t="n"/>
      <c r="E170" s="26" t="n"/>
      <c r="F170" s="25" t="n"/>
      <c r="G170" s="25" t="n"/>
      <c r="H170" s="25" t="n"/>
      <c r="I170" s="25" t="n"/>
      <c r="J170" s="25" t="n"/>
      <c r="K170" s="25" t="n"/>
      <c r="L170" s="27" t="n"/>
      <c r="M170" s="27" t="n"/>
      <c r="N170" s="27" t="n"/>
      <c r="O170" s="27" t="n"/>
      <c r="P170" s="28" t="n"/>
      <c r="Q170" s="29" t="n"/>
      <c r="R170" s="30">
        <f>IF(B170="","",IF(C170="IWP",COUNTIFS(Restricciones!$D$6:$D$305,B170,Restricciones!$F$6:$F$305,"Abierta")+COUNTIFS(Restricciones!$D$6:$D$305,B170,Restricciones!$F$6:$F$305,"En gestión"),IF(C170="CWA",COUNTIFS(Restricciones!$C$6:$C$305,"CWP-"&amp;MID(B170,5,4)&amp;"-*",Restricciones!$F$6:$F$305,"Abierta")+COUNTIFS(Restricciones!$C$6:$C$305,"CWP-"&amp;MID(B170,5,4)&amp;"-*",Restricciones!$F$6:$F$305,"En gestión"),COUNTIFS(Restricciones!$C$6:$C$305,IF(C170="CWP",B170,H170),Restricciones!$F$6:$F$305,"Abierta")+COUNTIFS(Restricciones!$C$6:$C$305,IF(C170="CWP",B170,H170),Restricciones!$F$6:$F$305,"En gestión"))))</f>
        <v/>
      </c>
      <c r="S170" s="30">
        <f>IF(OR(B170="",M170=""),"",IF(O170&lt;&gt;"",MAX(0,O170-M170),IF(AND($B$3&gt;M170,K170&lt;&gt;"Cerrado"),$B$3-M170,0)))</f>
        <v/>
      </c>
      <c r="T170" s="31">
        <f>IF(B170="","",IF(K170="Cerrado",IF(S170&gt;0,"Cerrado con atraso","Cerrado"),IF(S170&gt;0,"Atrasado",IF(AND(N170="",L170&lt;&gt;"",$B$3&gt;L170),"Inicio atrasado","En plazo"))))</f>
        <v/>
      </c>
      <c r="U170" s="26" t="n"/>
    </row>
    <row r="171">
      <c r="A171" s="24" t="n"/>
      <c r="B171" s="25" t="n"/>
      <c r="C171" s="25" t="n"/>
      <c r="D171" s="25" t="n"/>
      <c r="E171" s="26" t="n"/>
      <c r="F171" s="25" t="n"/>
      <c r="G171" s="25" t="n"/>
      <c r="H171" s="25" t="n"/>
      <c r="I171" s="25" t="n"/>
      <c r="J171" s="25" t="n"/>
      <c r="K171" s="25" t="n"/>
      <c r="L171" s="27" t="n"/>
      <c r="M171" s="27" t="n"/>
      <c r="N171" s="27" t="n"/>
      <c r="O171" s="27" t="n"/>
      <c r="P171" s="28" t="n"/>
      <c r="Q171" s="29" t="n"/>
      <c r="R171" s="30">
        <f>IF(B171="","",IF(C171="IWP",COUNTIFS(Restricciones!$D$6:$D$305,B171,Restricciones!$F$6:$F$305,"Abierta")+COUNTIFS(Restricciones!$D$6:$D$305,B171,Restricciones!$F$6:$F$305,"En gestión"),IF(C171="CWA",COUNTIFS(Restricciones!$C$6:$C$305,"CWP-"&amp;MID(B171,5,4)&amp;"-*",Restricciones!$F$6:$F$305,"Abierta")+COUNTIFS(Restricciones!$C$6:$C$305,"CWP-"&amp;MID(B171,5,4)&amp;"-*",Restricciones!$F$6:$F$305,"En gestión"),COUNTIFS(Restricciones!$C$6:$C$305,IF(C171="CWP",B171,H171),Restricciones!$F$6:$F$305,"Abierta")+COUNTIFS(Restricciones!$C$6:$C$305,IF(C171="CWP",B171,H171),Restricciones!$F$6:$F$305,"En gestión"))))</f>
        <v/>
      </c>
      <c r="S171" s="30">
        <f>IF(OR(B171="",M171=""),"",IF(O171&lt;&gt;"",MAX(0,O171-M171),IF(AND($B$3&gt;M171,K171&lt;&gt;"Cerrado"),$B$3-M171,0)))</f>
        <v/>
      </c>
      <c r="T171" s="31">
        <f>IF(B171="","",IF(K171="Cerrado",IF(S171&gt;0,"Cerrado con atraso","Cerrado"),IF(S171&gt;0,"Atrasado",IF(AND(N171="",L171&lt;&gt;"",$B$3&gt;L171),"Inicio atrasado","En plazo"))))</f>
        <v/>
      </c>
      <c r="U171" s="26" t="n"/>
    </row>
    <row r="172">
      <c r="A172" s="24" t="n"/>
      <c r="B172" s="25" t="n"/>
      <c r="C172" s="25" t="n"/>
      <c r="D172" s="25" t="n"/>
      <c r="E172" s="26" t="n"/>
      <c r="F172" s="25" t="n"/>
      <c r="G172" s="25" t="n"/>
      <c r="H172" s="25" t="n"/>
      <c r="I172" s="25" t="n"/>
      <c r="J172" s="25" t="n"/>
      <c r="K172" s="25" t="n"/>
      <c r="L172" s="27" t="n"/>
      <c r="M172" s="27" t="n"/>
      <c r="N172" s="27" t="n"/>
      <c r="O172" s="27" t="n"/>
      <c r="P172" s="28" t="n"/>
      <c r="Q172" s="29" t="n"/>
      <c r="R172" s="30">
        <f>IF(B172="","",IF(C172="IWP",COUNTIFS(Restricciones!$D$6:$D$305,B172,Restricciones!$F$6:$F$305,"Abierta")+COUNTIFS(Restricciones!$D$6:$D$305,B172,Restricciones!$F$6:$F$305,"En gestión"),IF(C172="CWA",COUNTIFS(Restricciones!$C$6:$C$305,"CWP-"&amp;MID(B172,5,4)&amp;"-*",Restricciones!$F$6:$F$305,"Abierta")+COUNTIFS(Restricciones!$C$6:$C$305,"CWP-"&amp;MID(B172,5,4)&amp;"-*",Restricciones!$F$6:$F$305,"En gestión"),COUNTIFS(Restricciones!$C$6:$C$305,IF(C172="CWP",B172,H172),Restricciones!$F$6:$F$305,"Abierta")+COUNTIFS(Restricciones!$C$6:$C$305,IF(C172="CWP",B172,H172),Restricciones!$F$6:$F$305,"En gestión"))))</f>
        <v/>
      </c>
      <c r="S172" s="30">
        <f>IF(OR(B172="",M172=""),"",IF(O172&lt;&gt;"",MAX(0,O172-M172),IF(AND($B$3&gt;M172,K172&lt;&gt;"Cerrado"),$B$3-M172,0)))</f>
        <v/>
      </c>
      <c r="T172" s="31">
        <f>IF(B172="","",IF(K172="Cerrado",IF(S172&gt;0,"Cerrado con atraso","Cerrado"),IF(S172&gt;0,"Atrasado",IF(AND(N172="",L172&lt;&gt;"",$B$3&gt;L172),"Inicio atrasado","En plazo"))))</f>
        <v/>
      </c>
      <c r="U172" s="26" t="n"/>
    </row>
    <row r="173">
      <c r="A173" s="24" t="n"/>
      <c r="B173" s="25" t="n"/>
      <c r="C173" s="25" t="n"/>
      <c r="D173" s="25" t="n"/>
      <c r="E173" s="26" t="n"/>
      <c r="F173" s="25" t="n"/>
      <c r="G173" s="25" t="n"/>
      <c r="H173" s="25" t="n"/>
      <c r="I173" s="25" t="n"/>
      <c r="J173" s="25" t="n"/>
      <c r="K173" s="25" t="n"/>
      <c r="L173" s="27" t="n"/>
      <c r="M173" s="27" t="n"/>
      <c r="N173" s="27" t="n"/>
      <c r="O173" s="27" t="n"/>
      <c r="P173" s="28" t="n"/>
      <c r="Q173" s="29" t="n"/>
      <c r="R173" s="30">
        <f>IF(B173="","",IF(C173="IWP",COUNTIFS(Restricciones!$D$6:$D$305,B173,Restricciones!$F$6:$F$305,"Abierta")+COUNTIFS(Restricciones!$D$6:$D$305,B173,Restricciones!$F$6:$F$305,"En gestión"),IF(C173="CWA",COUNTIFS(Restricciones!$C$6:$C$305,"CWP-"&amp;MID(B173,5,4)&amp;"-*",Restricciones!$F$6:$F$305,"Abierta")+COUNTIFS(Restricciones!$C$6:$C$305,"CWP-"&amp;MID(B173,5,4)&amp;"-*",Restricciones!$F$6:$F$305,"En gestión"),COUNTIFS(Restricciones!$C$6:$C$305,IF(C173="CWP",B173,H173),Restricciones!$F$6:$F$305,"Abierta")+COUNTIFS(Restricciones!$C$6:$C$305,IF(C173="CWP",B173,H173),Restricciones!$F$6:$F$305,"En gestión"))))</f>
        <v/>
      </c>
      <c r="S173" s="30">
        <f>IF(OR(B173="",M173=""),"",IF(O173&lt;&gt;"",MAX(0,O173-M173),IF(AND($B$3&gt;M173,K173&lt;&gt;"Cerrado"),$B$3-M173,0)))</f>
        <v/>
      </c>
      <c r="T173" s="31">
        <f>IF(B173="","",IF(K173="Cerrado",IF(S173&gt;0,"Cerrado con atraso","Cerrado"),IF(S173&gt;0,"Atrasado",IF(AND(N173="",L173&lt;&gt;"",$B$3&gt;L173),"Inicio atrasado","En plazo"))))</f>
        <v/>
      </c>
      <c r="U173" s="26" t="n"/>
    </row>
    <row r="174">
      <c r="A174" s="24" t="n"/>
      <c r="B174" s="25" t="n"/>
      <c r="C174" s="25" t="n"/>
      <c r="D174" s="25" t="n"/>
      <c r="E174" s="26" t="n"/>
      <c r="F174" s="25" t="n"/>
      <c r="G174" s="25" t="n"/>
      <c r="H174" s="25" t="n"/>
      <c r="I174" s="25" t="n"/>
      <c r="J174" s="25" t="n"/>
      <c r="K174" s="25" t="n"/>
      <c r="L174" s="27" t="n"/>
      <c r="M174" s="27" t="n"/>
      <c r="N174" s="27" t="n"/>
      <c r="O174" s="27" t="n"/>
      <c r="P174" s="28" t="n"/>
      <c r="Q174" s="29" t="n"/>
      <c r="R174" s="30">
        <f>IF(B174="","",IF(C174="IWP",COUNTIFS(Restricciones!$D$6:$D$305,B174,Restricciones!$F$6:$F$305,"Abierta")+COUNTIFS(Restricciones!$D$6:$D$305,B174,Restricciones!$F$6:$F$305,"En gestión"),IF(C174="CWA",COUNTIFS(Restricciones!$C$6:$C$305,"CWP-"&amp;MID(B174,5,4)&amp;"-*",Restricciones!$F$6:$F$305,"Abierta")+COUNTIFS(Restricciones!$C$6:$C$305,"CWP-"&amp;MID(B174,5,4)&amp;"-*",Restricciones!$F$6:$F$305,"En gestión"),COUNTIFS(Restricciones!$C$6:$C$305,IF(C174="CWP",B174,H174),Restricciones!$F$6:$F$305,"Abierta")+COUNTIFS(Restricciones!$C$6:$C$305,IF(C174="CWP",B174,H174),Restricciones!$F$6:$F$305,"En gestión"))))</f>
        <v/>
      </c>
      <c r="S174" s="30">
        <f>IF(OR(B174="",M174=""),"",IF(O174&lt;&gt;"",MAX(0,O174-M174),IF(AND($B$3&gt;M174,K174&lt;&gt;"Cerrado"),$B$3-M174,0)))</f>
        <v/>
      </c>
      <c r="T174" s="31">
        <f>IF(B174="","",IF(K174="Cerrado",IF(S174&gt;0,"Cerrado con atraso","Cerrado"),IF(S174&gt;0,"Atrasado",IF(AND(N174="",L174&lt;&gt;"",$B$3&gt;L174),"Inicio atrasado","En plazo"))))</f>
        <v/>
      </c>
      <c r="U174" s="26" t="n"/>
    </row>
    <row r="175">
      <c r="A175" s="24" t="n"/>
      <c r="B175" s="25" t="n"/>
      <c r="C175" s="25" t="n"/>
      <c r="D175" s="25" t="n"/>
      <c r="E175" s="26" t="n"/>
      <c r="F175" s="25" t="n"/>
      <c r="G175" s="25" t="n"/>
      <c r="H175" s="25" t="n"/>
      <c r="I175" s="25" t="n"/>
      <c r="J175" s="25" t="n"/>
      <c r="K175" s="25" t="n"/>
      <c r="L175" s="27" t="n"/>
      <c r="M175" s="27" t="n"/>
      <c r="N175" s="27" t="n"/>
      <c r="O175" s="27" t="n"/>
      <c r="P175" s="28" t="n"/>
      <c r="Q175" s="29" t="n"/>
      <c r="R175" s="30">
        <f>IF(B175="","",IF(C175="IWP",COUNTIFS(Restricciones!$D$6:$D$305,B175,Restricciones!$F$6:$F$305,"Abierta")+COUNTIFS(Restricciones!$D$6:$D$305,B175,Restricciones!$F$6:$F$305,"En gestión"),IF(C175="CWA",COUNTIFS(Restricciones!$C$6:$C$305,"CWP-"&amp;MID(B175,5,4)&amp;"-*",Restricciones!$F$6:$F$305,"Abierta")+COUNTIFS(Restricciones!$C$6:$C$305,"CWP-"&amp;MID(B175,5,4)&amp;"-*",Restricciones!$F$6:$F$305,"En gestión"),COUNTIFS(Restricciones!$C$6:$C$305,IF(C175="CWP",B175,H175),Restricciones!$F$6:$F$305,"Abierta")+COUNTIFS(Restricciones!$C$6:$C$305,IF(C175="CWP",B175,H175),Restricciones!$F$6:$F$305,"En gestión"))))</f>
        <v/>
      </c>
      <c r="S175" s="30">
        <f>IF(OR(B175="",M175=""),"",IF(O175&lt;&gt;"",MAX(0,O175-M175),IF(AND($B$3&gt;M175,K175&lt;&gt;"Cerrado"),$B$3-M175,0)))</f>
        <v/>
      </c>
      <c r="T175" s="31">
        <f>IF(B175="","",IF(K175="Cerrado",IF(S175&gt;0,"Cerrado con atraso","Cerrado"),IF(S175&gt;0,"Atrasado",IF(AND(N175="",L175&lt;&gt;"",$B$3&gt;L175),"Inicio atrasado","En plazo"))))</f>
        <v/>
      </c>
      <c r="U175" s="26" t="n"/>
    </row>
    <row r="176">
      <c r="A176" s="24" t="n"/>
      <c r="B176" s="25" t="n"/>
      <c r="C176" s="25" t="n"/>
      <c r="D176" s="25" t="n"/>
      <c r="E176" s="26" t="n"/>
      <c r="F176" s="25" t="n"/>
      <c r="G176" s="25" t="n"/>
      <c r="H176" s="25" t="n"/>
      <c r="I176" s="25" t="n"/>
      <c r="J176" s="25" t="n"/>
      <c r="K176" s="25" t="n"/>
      <c r="L176" s="27" t="n"/>
      <c r="M176" s="27" t="n"/>
      <c r="N176" s="27" t="n"/>
      <c r="O176" s="27" t="n"/>
      <c r="P176" s="28" t="n"/>
      <c r="Q176" s="29" t="n"/>
      <c r="R176" s="30">
        <f>IF(B176="","",IF(C176="IWP",COUNTIFS(Restricciones!$D$6:$D$305,B176,Restricciones!$F$6:$F$305,"Abierta")+COUNTIFS(Restricciones!$D$6:$D$305,B176,Restricciones!$F$6:$F$305,"En gestión"),IF(C176="CWA",COUNTIFS(Restricciones!$C$6:$C$305,"CWP-"&amp;MID(B176,5,4)&amp;"-*",Restricciones!$F$6:$F$305,"Abierta")+COUNTIFS(Restricciones!$C$6:$C$305,"CWP-"&amp;MID(B176,5,4)&amp;"-*",Restricciones!$F$6:$F$305,"En gestión"),COUNTIFS(Restricciones!$C$6:$C$305,IF(C176="CWP",B176,H176),Restricciones!$F$6:$F$305,"Abierta")+COUNTIFS(Restricciones!$C$6:$C$305,IF(C176="CWP",B176,H176),Restricciones!$F$6:$F$305,"En gestión"))))</f>
        <v/>
      </c>
      <c r="S176" s="30">
        <f>IF(OR(B176="",M176=""),"",IF(O176&lt;&gt;"",MAX(0,O176-M176),IF(AND($B$3&gt;M176,K176&lt;&gt;"Cerrado"),$B$3-M176,0)))</f>
        <v/>
      </c>
      <c r="T176" s="31">
        <f>IF(B176="","",IF(K176="Cerrado",IF(S176&gt;0,"Cerrado con atraso","Cerrado"),IF(S176&gt;0,"Atrasado",IF(AND(N176="",L176&lt;&gt;"",$B$3&gt;L176),"Inicio atrasado","En plazo"))))</f>
        <v/>
      </c>
      <c r="U176" s="26" t="n"/>
    </row>
    <row r="177">
      <c r="A177" s="24" t="n"/>
      <c r="B177" s="25" t="n"/>
      <c r="C177" s="25" t="n"/>
      <c r="D177" s="25" t="n"/>
      <c r="E177" s="26" t="n"/>
      <c r="F177" s="25" t="n"/>
      <c r="G177" s="25" t="n"/>
      <c r="H177" s="25" t="n"/>
      <c r="I177" s="25" t="n"/>
      <c r="J177" s="25" t="n"/>
      <c r="K177" s="25" t="n"/>
      <c r="L177" s="27" t="n"/>
      <c r="M177" s="27" t="n"/>
      <c r="N177" s="27" t="n"/>
      <c r="O177" s="27" t="n"/>
      <c r="P177" s="28" t="n"/>
      <c r="Q177" s="29" t="n"/>
      <c r="R177" s="30">
        <f>IF(B177="","",IF(C177="IWP",COUNTIFS(Restricciones!$D$6:$D$305,B177,Restricciones!$F$6:$F$305,"Abierta")+COUNTIFS(Restricciones!$D$6:$D$305,B177,Restricciones!$F$6:$F$305,"En gestión"),IF(C177="CWA",COUNTIFS(Restricciones!$C$6:$C$305,"CWP-"&amp;MID(B177,5,4)&amp;"-*",Restricciones!$F$6:$F$305,"Abierta")+COUNTIFS(Restricciones!$C$6:$C$305,"CWP-"&amp;MID(B177,5,4)&amp;"-*",Restricciones!$F$6:$F$305,"En gestión"),COUNTIFS(Restricciones!$C$6:$C$305,IF(C177="CWP",B177,H177),Restricciones!$F$6:$F$305,"Abierta")+COUNTIFS(Restricciones!$C$6:$C$305,IF(C177="CWP",B177,H177),Restricciones!$F$6:$F$305,"En gestión"))))</f>
        <v/>
      </c>
      <c r="S177" s="30">
        <f>IF(OR(B177="",M177=""),"",IF(O177&lt;&gt;"",MAX(0,O177-M177),IF(AND($B$3&gt;M177,K177&lt;&gt;"Cerrado"),$B$3-M177,0)))</f>
        <v/>
      </c>
      <c r="T177" s="31">
        <f>IF(B177="","",IF(K177="Cerrado",IF(S177&gt;0,"Cerrado con atraso","Cerrado"),IF(S177&gt;0,"Atrasado",IF(AND(N177="",L177&lt;&gt;"",$B$3&gt;L177),"Inicio atrasado","En plazo"))))</f>
        <v/>
      </c>
      <c r="U177" s="26" t="n"/>
    </row>
    <row r="178">
      <c r="A178" s="24" t="n"/>
      <c r="B178" s="25" t="n"/>
      <c r="C178" s="25" t="n"/>
      <c r="D178" s="25" t="n"/>
      <c r="E178" s="26" t="n"/>
      <c r="F178" s="25" t="n"/>
      <c r="G178" s="25" t="n"/>
      <c r="H178" s="25" t="n"/>
      <c r="I178" s="25" t="n"/>
      <c r="J178" s="25" t="n"/>
      <c r="K178" s="25" t="n"/>
      <c r="L178" s="27" t="n"/>
      <c r="M178" s="27" t="n"/>
      <c r="N178" s="27" t="n"/>
      <c r="O178" s="27" t="n"/>
      <c r="P178" s="28" t="n"/>
      <c r="Q178" s="29" t="n"/>
      <c r="R178" s="30">
        <f>IF(B178="","",IF(C178="IWP",COUNTIFS(Restricciones!$D$6:$D$305,B178,Restricciones!$F$6:$F$305,"Abierta")+COUNTIFS(Restricciones!$D$6:$D$305,B178,Restricciones!$F$6:$F$305,"En gestión"),IF(C178="CWA",COUNTIFS(Restricciones!$C$6:$C$305,"CWP-"&amp;MID(B178,5,4)&amp;"-*",Restricciones!$F$6:$F$305,"Abierta")+COUNTIFS(Restricciones!$C$6:$C$305,"CWP-"&amp;MID(B178,5,4)&amp;"-*",Restricciones!$F$6:$F$305,"En gestión"),COUNTIFS(Restricciones!$C$6:$C$305,IF(C178="CWP",B178,H178),Restricciones!$F$6:$F$305,"Abierta")+COUNTIFS(Restricciones!$C$6:$C$305,IF(C178="CWP",B178,H178),Restricciones!$F$6:$F$305,"En gestión"))))</f>
        <v/>
      </c>
      <c r="S178" s="30">
        <f>IF(OR(B178="",M178=""),"",IF(O178&lt;&gt;"",MAX(0,O178-M178),IF(AND($B$3&gt;M178,K178&lt;&gt;"Cerrado"),$B$3-M178,0)))</f>
        <v/>
      </c>
      <c r="T178" s="31">
        <f>IF(B178="","",IF(K178="Cerrado",IF(S178&gt;0,"Cerrado con atraso","Cerrado"),IF(S178&gt;0,"Atrasado",IF(AND(N178="",L178&lt;&gt;"",$B$3&gt;L178),"Inicio atrasado","En plazo"))))</f>
        <v/>
      </c>
      <c r="U178" s="26" t="n"/>
    </row>
    <row r="179">
      <c r="A179" s="24" t="n"/>
      <c r="B179" s="25" t="n"/>
      <c r="C179" s="25" t="n"/>
      <c r="D179" s="25" t="n"/>
      <c r="E179" s="26" t="n"/>
      <c r="F179" s="25" t="n"/>
      <c r="G179" s="25" t="n"/>
      <c r="H179" s="25" t="n"/>
      <c r="I179" s="25" t="n"/>
      <c r="J179" s="25" t="n"/>
      <c r="K179" s="25" t="n"/>
      <c r="L179" s="27" t="n"/>
      <c r="M179" s="27" t="n"/>
      <c r="N179" s="27" t="n"/>
      <c r="O179" s="27" t="n"/>
      <c r="P179" s="28" t="n"/>
      <c r="Q179" s="29" t="n"/>
      <c r="R179" s="30">
        <f>IF(B179="","",IF(C179="IWP",COUNTIFS(Restricciones!$D$6:$D$305,B179,Restricciones!$F$6:$F$305,"Abierta")+COUNTIFS(Restricciones!$D$6:$D$305,B179,Restricciones!$F$6:$F$305,"En gestión"),IF(C179="CWA",COUNTIFS(Restricciones!$C$6:$C$305,"CWP-"&amp;MID(B179,5,4)&amp;"-*",Restricciones!$F$6:$F$305,"Abierta")+COUNTIFS(Restricciones!$C$6:$C$305,"CWP-"&amp;MID(B179,5,4)&amp;"-*",Restricciones!$F$6:$F$305,"En gestión"),COUNTIFS(Restricciones!$C$6:$C$305,IF(C179="CWP",B179,H179),Restricciones!$F$6:$F$305,"Abierta")+COUNTIFS(Restricciones!$C$6:$C$305,IF(C179="CWP",B179,H179),Restricciones!$F$6:$F$305,"En gestión"))))</f>
        <v/>
      </c>
      <c r="S179" s="30">
        <f>IF(OR(B179="",M179=""),"",IF(O179&lt;&gt;"",MAX(0,O179-M179),IF(AND($B$3&gt;M179,K179&lt;&gt;"Cerrado"),$B$3-M179,0)))</f>
        <v/>
      </c>
      <c r="T179" s="31">
        <f>IF(B179="","",IF(K179="Cerrado",IF(S179&gt;0,"Cerrado con atraso","Cerrado"),IF(S179&gt;0,"Atrasado",IF(AND(N179="",L179&lt;&gt;"",$B$3&gt;L179),"Inicio atrasado","En plazo"))))</f>
        <v/>
      </c>
      <c r="U179" s="26" t="n"/>
    </row>
    <row r="180">
      <c r="A180" s="24" t="n"/>
      <c r="B180" s="25" t="n"/>
      <c r="C180" s="25" t="n"/>
      <c r="D180" s="25" t="n"/>
      <c r="E180" s="26" t="n"/>
      <c r="F180" s="25" t="n"/>
      <c r="G180" s="25" t="n"/>
      <c r="H180" s="25" t="n"/>
      <c r="I180" s="25" t="n"/>
      <c r="J180" s="25" t="n"/>
      <c r="K180" s="25" t="n"/>
      <c r="L180" s="27" t="n"/>
      <c r="M180" s="27" t="n"/>
      <c r="N180" s="27" t="n"/>
      <c r="O180" s="27" t="n"/>
      <c r="P180" s="28" t="n"/>
      <c r="Q180" s="29" t="n"/>
      <c r="R180" s="30">
        <f>IF(B180="","",IF(C180="IWP",COUNTIFS(Restricciones!$D$6:$D$305,B180,Restricciones!$F$6:$F$305,"Abierta")+COUNTIFS(Restricciones!$D$6:$D$305,B180,Restricciones!$F$6:$F$305,"En gestión"),IF(C180="CWA",COUNTIFS(Restricciones!$C$6:$C$305,"CWP-"&amp;MID(B180,5,4)&amp;"-*",Restricciones!$F$6:$F$305,"Abierta")+COUNTIFS(Restricciones!$C$6:$C$305,"CWP-"&amp;MID(B180,5,4)&amp;"-*",Restricciones!$F$6:$F$305,"En gestión"),COUNTIFS(Restricciones!$C$6:$C$305,IF(C180="CWP",B180,H180),Restricciones!$F$6:$F$305,"Abierta")+COUNTIFS(Restricciones!$C$6:$C$305,IF(C180="CWP",B180,H180),Restricciones!$F$6:$F$305,"En gestión"))))</f>
        <v/>
      </c>
      <c r="S180" s="30">
        <f>IF(OR(B180="",M180=""),"",IF(O180&lt;&gt;"",MAX(0,O180-M180),IF(AND($B$3&gt;M180,K180&lt;&gt;"Cerrado"),$B$3-M180,0)))</f>
        <v/>
      </c>
      <c r="T180" s="31">
        <f>IF(B180="","",IF(K180="Cerrado",IF(S180&gt;0,"Cerrado con atraso","Cerrado"),IF(S180&gt;0,"Atrasado",IF(AND(N180="",L180&lt;&gt;"",$B$3&gt;L180),"Inicio atrasado","En plazo"))))</f>
        <v/>
      </c>
      <c r="U180" s="26" t="n"/>
    </row>
    <row r="181">
      <c r="A181" s="24" t="n"/>
      <c r="B181" s="25" t="n"/>
      <c r="C181" s="25" t="n"/>
      <c r="D181" s="25" t="n"/>
      <c r="E181" s="26" t="n"/>
      <c r="F181" s="25" t="n"/>
      <c r="G181" s="25" t="n"/>
      <c r="H181" s="25" t="n"/>
      <c r="I181" s="25" t="n"/>
      <c r="J181" s="25" t="n"/>
      <c r="K181" s="25" t="n"/>
      <c r="L181" s="27" t="n"/>
      <c r="M181" s="27" t="n"/>
      <c r="N181" s="27" t="n"/>
      <c r="O181" s="27" t="n"/>
      <c r="P181" s="28" t="n"/>
      <c r="Q181" s="29" t="n"/>
      <c r="R181" s="30">
        <f>IF(B181="","",IF(C181="IWP",COUNTIFS(Restricciones!$D$6:$D$305,B181,Restricciones!$F$6:$F$305,"Abierta")+COUNTIFS(Restricciones!$D$6:$D$305,B181,Restricciones!$F$6:$F$305,"En gestión"),IF(C181="CWA",COUNTIFS(Restricciones!$C$6:$C$305,"CWP-"&amp;MID(B181,5,4)&amp;"-*",Restricciones!$F$6:$F$305,"Abierta")+COUNTIFS(Restricciones!$C$6:$C$305,"CWP-"&amp;MID(B181,5,4)&amp;"-*",Restricciones!$F$6:$F$305,"En gestión"),COUNTIFS(Restricciones!$C$6:$C$305,IF(C181="CWP",B181,H181),Restricciones!$F$6:$F$305,"Abierta")+COUNTIFS(Restricciones!$C$6:$C$305,IF(C181="CWP",B181,H181),Restricciones!$F$6:$F$305,"En gestión"))))</f>
        <v/>
      </c>
      <c r="S181" s="30">
        <f>IF(OR(B181="",M181=""),"",IF(O181&lt;&gt;"",MAX(0,O181-M181),IF(AND($B$3&gt;M181,K181&lt;&gt;"Cerrado"),$B$3-M181,0)))</f>
        <v/>
      </c>
      <c r="T181" s="31">
        <f>IF(B181="","",IF(K181="Cerrado",IF(S181&gt;0,"Cerrado con atraso","Cerrado"),IF(S181&gt;0,"Atrasado",IF(AND(N181="",L181&lt;&gt;"",$B$3&gt;L181),"Inicio atrasado","En plazo"))))</f>
        <v/>
      </c>
      <c r="U181" s="26" t="n"/>
    </row>
    <row r="182">
      <c r="A182" s="24" t="n"/>
      <c r="B182" s="25" t="n"/>
      <c r="C182" s="25" t="n"/>
      <c r="D182" s="25" t="n"/>
      <c r="E182" s="26" t="n"/>
      <c r="F182" s="25" t="n"/>
      <c r="G182" s="25" t="n"/>
      <c r="H182" s="25" t="n"/>
      <c r="I182" s="25" t="n"/>
      <c r="J182" s="25" t="n"/>
      <c r="K182" s="25" t="n"/>
      <c r="L182" s="27" t="n"/>
      <c r="M182" s="27" t="n"/>
      <c r="N182" s="27" t="n"/>
      <c r="O182" s="27" t="n"/>
      <c r="P182" s="28" t="n"/>
      <c r="Q182" s="29" t="n"/>
      <c r="R182" s="30">
        <f>IF(B182="","",IF(C182="IWP",COUNTIFS(Restricciones!$D$6:$D$305,B182,Restricciones!$F$6:$F$305,"Abierta")+COUNTIFS(Restricciones!$D$6:$D$305,B182,Restricciones!$F$6:$F$305,"En gestión"),IF(C182="CWA",COUNTIFS(Restricciones!$C$6:$C$305,"CWP-"&amp;MID(B182,5,4)&amp;"-*",Restricciones!$F$6:$F$305,"Abierta")+COUNTIFS(Restricciones!$C$6:$C$305,"CWP-"&amp;MID(B182,5,4)&amp;"-*",Restricciones!$F$6:$F$305,"En gestión"),COUNTIFS(Restricciones!$C$6:$C$305,IF(C182="CWP",B182,H182),Restricciones!$F$6:$F$305,"Abierta")+COUNTIFS(Restricciones!$C$6:$C$305,IF(C182="CWP",B182,H182),Restricciones!$F$6:$F$305,"En gestión"))))</f>
        <v/>
      </c>
      <c r="S182" s="30">
        <f>IF(OR(B182="",M182=""),"",IF(O182&lt;&gt;"",MAX(0,O182-M182),IF(AND($B$3&gt;M182,K182&lt;&gt;"Cerrado"),$B$3-M182,0)))</f>
        <v/>
      </c>
      <c r="T182" s="31">
        <f>IF(B182="","",IF(K182="Cerrado",IF(S182&gt;0,"Cerrado con atraso","Cerrado"),IF(S182&gt;0,"Atrasado",IF(AND(N182="",L182&lt;&gt;"",$B$3&gt;L182),"Inicio atrasado","En plazo"))))</f>
        <v/>
      </c>
      <c r="U182" s="26" t="n"/>
    </row>
    <row r="183">
      <c r="A183" s="24" t="n"/>
      <c r="B183" s="25" t="n"/>
      <c r="C183" s="25" t="n"/>
      <c r="D183" s="25" t="n"/>
      <c r="E183" s="26" t="n"/>
      <c r="F183" s="25" t="n"/>
      <c r="G183" s="25" t="n"/>
      <c r="H183" s="25" t="n"/>
      <c r="I183" s="25" t="n"/>
      <c r="J183" s="25" t="n"/>
      <c r="K183" s="25" t="n"/>
      <c r="L183" s="27" t="n"/>
      <c r="M183" s="27" t="n"/>
      <c r="N183" s="27" t="n"/>
      <c r="O183" s="27" t="n"/>
      <c r="P183" s="28" t="n"/>
      <c r="Q183" s="29" t="n"/>
      <c r="R183" s="30">
        <f>IF(B183="","",IF(C183="IWP",COUNTIFS(Restricciones!$D$6:$D$305,B183,Restricciones!$F$6:$F$305,"Abierta")+COUNTIFS(Restricciones!$D$6:$D$305,B183,Restricciones!$F$6:$F$305,"En gestión"),IF(C183="CWA",COUNTIFS(Restricciones!$C$6:$C$305,"CWP-"&amp;MID(B183,5,4)&amp;"-*",Restricciones!$F$6:$F$305,"Abierta")+COUNTIFS(Restricciones!$C$6:$C$305,"CWP-"&amp;MID(B183,5,4)&amp;"-*",Restricciones!$F$6:$F$305,"En gestión"),COUNTIFS(Restricciones!$C$6:$C$305,IF(C183="CWP",B183,H183),Restricciones!$F$6:$F$305,"Abierta")+COUNTIFS(Restricciones!$C$6:$C$305,IF(C183="CWP",B183,H183),Restricciones!$F$6:$F$305,"En gestión"))))</f>
        <v/>
      </c>
      <c r="S183" s="30">
        <f>IF(OR(B183="",M183=""),"",IF(O183&lt;&gt;"",MAX(0,O183-M183),IF(AND($B$3&gt;M183,K183&lt;&gt;"Cerrado"),$B$3-M183,0)))</f>
        <v/>
      </c>
      <c r="T183" s="31">
        <f>IF(B183="","",IF(K183="Cerrado",IF(S183&gt;0,"Cerrado con atraso","Cerrado"),IF(S183&gt;0,"Atrasado",IF(AND(N183="",L183&lt;&gt;"",$B$3&gt;L183),"Inicio atrasado","En plazo"))))</f>
        <v/>
      </c>
      <c r="U183" s="26" t="n"/>
    </row>
    <row r="184">
      <c r="A184" s="24" t="n"/>
      <c r="B184" s="25" t="n"/>
      <c r="C184" s="25" t="n"/>
      <c r="D184" s="25" t="n"/>
      <c r="E184" s="26" t="n"/>
      <c r="F184" s="25" t="n"/>
      <c r="G184" s="25" t="n"/>
      <c r="H184" s="25" t="n"/>
      <c r="I184" s="25" t="n"/>
      <c r="J184" s="25" t="n"/>
      <c r="K184" s="25" t="n"/>
      <c r="L184" s="27" t="n"/>
      <c r="M184" s="27" t="n"/>
      <c r="N184" s="27" t="n"/>
      <c r="O184" s="27" t="n"/>
      <c r="P184" s="28" t="n"/>
      <c r="Q184" s="29" t="n"/>
      <c r="R184" s="30">
        <f>IF(B184="","",IF(C184="IWP",COUNTIFS(Restricciones!$D$6:$D$305,B184,Restricciones!$F$6:$F$305,"Abierta")+COUNTIFS(Restricciones!$D$6:$D$305,B184,Restricciones!$F$6:$F$305,"En gestión"),IF(C184="CWA",COUNTIFS(Restricciones!$C$6:$C$305,"CWP-"&amp;MID(B184,5,4)&amp;"-*",Restricciones!$F$6:$F$305,"Abierta")+COUNTIFS(Restricciones!$C$6:$C$305,"CWP-"&amp;MID(B184,5,4)&amp;"-*",Restricciones!$F$6:$F$305,"En gestión"),COUNTIFS(Restricciones!$C$6:$C$305,IF(C184="CWP",B184,H184),Restricciones!$F$6:$F$305,"Abierta")+COUNTIFS(Restricciones!$C$6:$C$305,IF(C184="CWP",B184,H184),Restricciones!$F$6:$F$305,"En gestión"))))</f>
        <v/>
      </c>
      <c r="S184" s="30">
        <f>IF(OR(B184="",M184=""),"",IF(O184&lt;&gt;"",MAX(0,O184-M184),IF(AND($B$3&gt;M184,K184&lt;&gt;"Cerrado"),$B$3-M184,0)))</f>
        <v/>
      </c>
      <c r="T184" s="31">
        <f>IF(B184="","",IF(K184="Cerrado",IF(S184&gt;0,"Cerrado con atraso","Cerrado"),IF(S184&gt;0,"Atrasado",IF(AND(N184="",L184&lt;&gt;"",$B$3&gt;L184),"Inicio atrasado","En plazo"))))</f>
        <v/>
      </c>
      <c r="U184" s="26" t="n"/>
    </row>
    <row r="185">
      <c r="A185" s="24" t="n"/>
      <c r="B185" s="25" t="n"/>
      <c r="C185" s="25" t="n"/>
      <c r="D185" s="25" t="n"/>
      <c r="E185" s="26" t="n"/>
      <c r="F185" s="25" t="n"/>
      <c r="G185" s="25" t="n"/>
      <c r="H185" s="25" t="n"/>
      <c r="I185" s="25" t="n"/>
      <c r="J185" s="25" t="n"/>
      <c r="K185" s="25" t="n"/>
      <c r="L185" s="27" t="n"/>
      <c r="M185" s="27" t="n"/>
      <c r="N185" s="27" t="n"/>
      <c r="O185" s="27" t="n"/>
      <c r="P185" s="28" t="n"/>
      <c r="Q185" s="29" t="n"/>
      <c r="R185" s="30">
        <f>IF(B185="","",IF(C185="IWP",COUNTIFS(Restricciones!$D$6:$D$305,B185,Restricciones!$F$6:$F$305,"Abierta")+COUNTIFS(Restricciones!$D$6:$D$305,B185,Restricciones!$F$6:$F$305,"En gestión"),IF(C185="CWA",COUNTIFS(Restricciones!$C$6:$C$305,"CWP-"&amp;MID(B185,5,4)&amp;"-*",Restricciones!$F$6:$F$305,"Abierta")+COUNTIFS(Restricciones!$C$6:$C$305,"CWP-"&amp;MID(B185,5,4)&amp;"-*",Restricciones!$F$6:$F$305,"En gestión"),COUNTIFS(Restricciones!$C$6:$C$305,IF(C185="CWP",B185,H185),Restricciones!$F$6:$F$305,"Abierta")+COUNTIFS(Restricciones!$C$6:$C$305,IF(C185="CWP",B185,H185),Restricciones!$F$6:$F$305,"En gestión"))))</f>
        <v/>
      </c>
      <c r="S185" s="30">
        <f>IF(OR(B185="",M185=""),"",IF(O185&lt;&gt;"",MAX(0,O185-M185),IF(AND($B$3&gt;M185,K185&lt;&gt;"Cerrado"),$B$3-M185,0)))</f>
        <v/>
      </c>
      <c r="T185" s="31">
        <f>IF(B185="","",IF(K185="Cerrado",IF(S185&gt;0,"Cerrado con atraso","Cerrado"),IF(S185&gt;0,"Atrasado",IF(AND(N185="",L185&lt;&gt;"",$B$3&gt;L185),"Inicio atrasado","En plazo"))))</f>
        <v/>
      </c>
      <c r="U185" s="26" t="n"/>
    </row>
    <row r="186">
      <c r="A186" s="24" t="n"/>
      <c r="B186" s="25" t="n"/>
      <c r="C186" s="25" t="n"/>
      <c r="D186" s="25" t="n"/>
      <c r="E186" s="26" t="n"/>
      <c r="F186" s="25" t="n"/>
      <c r="G186" s="25" t="n"/>
      <c r="H186" s="25" t="n"/>
      <c r="I186" s="25" t="n"/>
      <c r="J186" s="25" t="n"/>
      <c r="K186" s="25" t="n"/>
      <c r="L186" s="27" t="n"/>
      <c r="M186" s="27" t="n"/>
      <c r="N186" s="27" t="n"/>
      <c r="O186" s="27" t="n"/>
      <c r="P186" s="28" t="n"/>
      <c r="Q186" s="29" t="n"/>
      <c r="R186" s="30">
        <f>IF(B186="","",IF(C186="IWP",COUNTIFS(Restricciones!$D$6:$D$305,B186,Restricciones!$F$6:$F$305,"Abierta")+COUNTIFS(Restricciones!$D$6:$D$305,B186,Restricciones!$F$6:$F$305,"En gestión"),IF(C186="CWA",COUNTIFS(Restricciones!$C$6:$C$305,"CWP-"&amp;MID(B186,5,4)&amp;"-*",Restricciones!$F$6:$F$305,"Abierta")+COUNTIFS(Restricciones!$C$6:$C$305,"CWP-"&amp;MID(B186,5,4)&amp;"-*",Restricciones!$F$6:$F$305,"En gestión"),COUNTIFS(Restricciones!$C$6:$C$305,IF(C186="CWP",B186,H186),Restricciones!$F$6:$F$305,"Abierta")+COUNTIFS(Restricciones!$C$6:$C$305,IF(C186="CWP",B186,H186),Restricciones!$F$6:$F$305,"En gestión"))))</f>
        <v/>
      </c>
      <c r="S186" s="30">
        <f>IF(OR(B186="",M186=""),"",IF(O186&lt;&gt;"",MAX(0,O186-M186),IF(AND($B$3&gt;M186,K186&lt;&gt;"Cerrado"),$B$3-M186,0)))</f>
        <v/>
      </c>
      <c r="T186" s="31">
        <f>IF(B186="","",IF(K186="Cerrado",IF(S186&gt;0,"Cerrado con atraso","Cerrado"),IF(S186&gt;0,"Atrasado",IF(AND(N186="",L186&lt;&gt;"",$B$3&gt;L186),"Inicio atrasado","En plazo"))))</f>
        <v/>
      </c>
      <c r="U186" s="26" t="n"/>
    </row>
    <row r="187">
      <c r="A187" s="24" t="n"/>
      <c r="B187" s="25" t="n"/>
      <c r="C187" s="25" t="n"/>
      <c r="D187" s="25" t="n"/>
      <c r="E187" s="26" t="n"/>
      <c r="F187" s="25" t="n"/>
      <c r="G187" s="25" t="n"/>
      <c r="H187" s="25" t="n"/>
      <c r="I187" s="25" t="n"/>
      <c r="J187" s="25" t="n"/>
      <c r="K187" s="25" t="n"/>
      <c r="L187" s="27" t="n"/>
      <c r="M187" s="27" t="n"/>
      <c r="N187" s="27" t="n"/>
      <c r="O187" s="27" t="n"/>
      <c r="P187" s="28" t="n"/>
      <c r="Q187" s="29" t="n"/>
      <c r="R187" s="30">
        <f>IF(B187="","",IF(C187="IWP",COUNTIFS(Restricciones!$D$6:$D$305,B187,Restricciones!$F$6:$F$305,"Abierta")+COUNTIFS(Restricciones!$D$6:$D$305,B187,Restricciones!$F$6:$F$305,"En gestión"),IF(C187="CWA",COUNTIFS(Restricciones!$C$6:$C$305,"CWP-"&amp;MID(B187,5,4)&amp;"-*",Restricciones!$F$6:$F$305,"Abierta")+COUNTIFS(Restricciones!$C$6:$C$305,"CWP-"&amp;MID(B187,5,4)&amp;"-*",Restricciones!$F$6:$F$305,"En gestión"),COUNTIFS(Restricciones!$C$6:$C$305,IF(C187="CWP",B187,H187),Restricciones!$F$6:$F$305,"Abierta")+COUNTIFS(Restricciones!$C$6:$C$305,IF(C187="CWP",B187,H187),Restricciones!$F$6:$F$305,"En gestión"))))</f>
        <v/>
      </c>
      <c r="S187" s="30">
        <f>IF(OR(B187="",M187=""),"",IF(O187&lt;&gt;"",MAX(0,O187-M187),IF(AND($B$3&gt;M187,K187&lt;&gt;"Cerrado"),$B$3-M187,0)))</f>
        <v/>
      </c>
      <c r="T187" s="31">
        <f>IF(B187="","",IF(K187="Cerrado",IF(S187&gt;0,"Cerrado con atraso","Cerrado"),IF(S187&gt;0,"Atrasado",IF(AND(N187="",L187&lt;&gt;"",$B$3&gt;L187),"Inicio atrasado","En plazo"))))</f>
        <v/>
      </c>
      <c r="U187" s="26" t="n"/>
    </row>
    <row r="188">
      <c r="A188" s="24" t="n"/>
      <c r="B188" s="25" t="n"/>
      <c r="C188" s="25" t="n"/>
      <c r="D188" s="25" t="n"/>
      <c r="E188" s="26" t="n"/>
      <c r="F188" s="25" t="n"/>
      <c r="G188" s="25" t="n"/>
      <c r="H188" s="25" t="n"/>
      <c r="I188" s="25" t="n"/>
      <c r="J188" s="25" t="n"/>
      <c r="K188" s="25" t="n"/>
      <c r="L188" s="27" t="n"/>
      <c r="M188" s="27" t="n"/>
      <c r="N188" s="27" t="n"/>
      <c r="O188" s="27" t="n"/>
      <c r="P188" s="28" t="n"/>
      <c r="Q188" s="29" t="n"/>
      <c r="R188" s="30">
        <f>IF(B188="","",IF(C188="IWP",COUNTIFS(Restricciones!$D$6:$D$305,B188,Restricciones!$F$6:$F$305,"Abierta")+COUNTIFS(Restricciones!$D$6:$D$305,B188,Restricciones!$F$6:$F$305,"En gestión"),IF(C188="CWA",COUNTIFS(Restricciones!$C$6:$C$305,"CWP-"&amp;MID(B188,5,4)&amp;"-*",Restricciones!$F$6:$F$305,"Abierta")+COUNTIFS(Restricciones!$C$6:$C$305,"CWP-"&amp;MID(B188,5,4)&amp;"-*",Restricciones!$F$6:$F$305,"En gestión"),COUNTIFS(Restricciones!$C$6:$C$305,IF(C188="CWP",B188,H188),Restricciones!$F$6:$F$305,"Abierta")+COUNTIFS(Restricciones!$C$6:$C$305,IF(C188="CWP",B188,H188),Restricciones!$F$6:$F$305,"En gestión"))))</f>
        <v/>
      </c>
      <c r="S188" s="30">
        <f>IF(OR(B188="",M188=""),"",IF(O188&lt;&gt;"",MAX(0,O188-M188),IF(AND($B$3&gt;M188,K188&lt;&gt;"Cerrado"),$B$3-M188,0)))</f>
        <v/>
      </c>
      <c r="T188" s="31">
        <f>IF(B188="","",IF(K188="Cerrado",IF(S188&gt;0,"Cerrado con atraso","Cerrado"),IF(S188&gt;0,"Atrasado",IF(AND(N188="",L188&lt;&gt;"",$B$3&gt;L188),"Inicio atrasado","En plazo"))))</f>
        <v/>
      </c>
      <c r="U188" s="26" t="n"/>
    </row>
    <row r="189">
      <c r="A189" s="24" t="n"/>
      <c r="B189" s="25" t="n"/>
      <c r="C189" s="25" t="n"/>
      <c r="D189" s="25" t="n"/>
      <c r="E189" s="26" t="n"/>
      <c r="F189" s="25" t="n"/>
      <c r="G189" s="25" t="n"/>
      <c r="H189" s="25" t="n"/>
      <c r="I189" s="25" t="n"/>
      <c r="J189" s="25" t="n"/>
      <c r="K189" s="25" t="n"/>
      <c r="L189" s="27" t="n"/>
      <c r="M189" s="27" t="n"/>
      <c r="N189" s="27" t="n"/>
      <c r="O189" s="27" t="n"/>
      <c r="P189" s="28" t="n"/>
      <c r="Q189" s="29" t="n"/>
      <c r="R189" s="30">
        <f>IF(B189="","",IF(C189="IWP",COUNTIFS(Restricciones!$D$6:$D$305,B189,Restricciones!$F$6:$F$305,"Abierta")+COUNTIFS(Restricciones!$D$6:$D$305,B189,Restricciones!$F$6:$F$305,"En gestión"),IF(C189="CWA",COUNTIFS(Restricciones!$C$6:$C$305,"CWP-"&amp;MID(B189,5,4)&amp;"-*",Restricciones!$F$6:$F$305,"Abierta")+COUNTIFS(Restricciones!$C$6:$C$305,"CWP-"&amp;MID(B189,5,4)&amp;"-*",Restricciones!$F$6:$F$305,"En gestión"),COUNTIFS(Restricciones!$C$6:$C$305,IF(C189="CWP",B189,H189),Restricciones!$F$6:$F$305,"Abierta")+COUNTIFS(Restricciones!$C$6:$C$305,IF(C189="CWP",B189,H189),Restricciones!$F$6:$F$305,"En gestión"))))</f>
        <v/>
      </c>
      <c r="S189" s="30">
        <f>IF(OR(B189="",M189=""),"",IF(O189&lt;&gt;"",MAX(0,O189-M189),IF(AND($B$3&gt;M189,K189&lt;&gt;"Cerrado"),$B$3-M189,0)))</f>
        <v/>
      </c>
      <c r="T189" s="31">
        <f>IF(B189="","",IF(K189="Cerrado",IF(S189&gt;0,"Cerrado con atraso","Cerrado"),IF(S189&gt;0,"Atrasado",IF(AND(N189="",L189&lt;&gt;"",$B$3&gt;L189),"Inicio atrasado","En plazo"))))</f>
        <v/>
      </c>
      <c r="U189" s="26" t="n"/>
    </row>
    <row r="190">
      <c r="A190" s="24" t="n"/>
      <c r="B190" s="25" t="n"/>
      <c r="C190" s="25" t="n"/>
      <c r="D190" s="25" t="n"/>
      <c r="E190" s="26" t="n"/>
      <c r="F190" s="25" t="n"/>
      <c r="G190" s="25" t="n"/>
      <c r="H190" s="25" t="n"/>
      <c r="I190" s="25" t="n"/>
      <c r="J190" s="25" t="n"/>
      <c r="K190" s="25" t="n"/>
      <c r="L190" s="27" t="n"/>
      <c r="M190" s="27" t="n"/>
      <c r="N190" s="27" t="n"/>
      <c r="O190" s="27" t="n"/>
      <c r="P190" s="28" t="n"/>
      <c r="Q190" s="29" t="n"/>
      <c r="R190" s="30">
        <f>IF(B190="","",IF(C190="IWP",COUNTIFS(Restricciones!$D$6:$D$305,B190,Restricciones!$F$6:$F$305,"Abierta")+COUNTIFS(Restricciones!$D$6:$D$305,B190,Restricciones!$F$6:$F$305,"En gestión"),IF(C190="CWA",COUNTIFS(Restricciones!$C$6:$C$305,"CWP-"&amp;MID(B190,5,4)&amp;"-*",Restricciones!$F$6:$F$305,"Abierta")+COUNTIFS(Restricciones!$C$6:$C$305,"CWP-"&amp;MID(B190,5,4)&amp;"-*",Restricciones!$F$6:$F$305,"En gestión"),COUNTIFS(Restricciones!$C$6:$C$305,IF(C190="CWP",B190,H190),Restricciones!$F$6:$F$305,"Abierta")+COUNTIFS(Restricciones!$C$6:$C$305,IF(C190="CWP",B190,H190),Restricciones!$F$6:$F$305,"En gestión"))))</f>
        <v/>
      </c>
      <c r="S190" s="30">
        <f>IF(OR(B190="",M190=""),"",IF(O190&lt;&gt;"",MAX(0,O190-M190),IF(AND($B$3&gt;M190,K190&lt;&gt;"Cerrado"),$B$3-M190,0)))</f>
        <v/>
      </c>
      <c r="T190" s="31">
        <f>IF(B190="","",IF(K190="Cerrado",IF(S190&gt;0,"Cerrado con atraso","Cerrado"),IF(S190&gt;0,"Atrasado",IF(AND(N190="",L190&lt;&gt;"",$B$3&gt;L190),"Inicio atrasado","En plazo"))))</f>
        <v/>
      </c>
      <c r="U190" s="26" t="n"/>
    </row>
    <row r="191">
      <c r="A191" s="24" t="n"/>
      <c r="B191" s="25" t="n"/>
      <c r="C191" s="25" t="n"/>
      <c r="D191" s="25" t="n"/>
      <c r="E191" s="26" t="n"/>
      <c r="F191" s="25" t="n"/>
      <c r="G191" s="25" t="n"/>
      <c r="H191" s="25" t="n"/>
      <c r="I191" s="25" t="n"/>
      <c r="J191" s="25" t="n"/>
      <c r="K191" s="25" t="n"/>
      <c r="L191" s="27" t="n"/>
      <c r="M191" s="27" t="n"/>
      <c r="N191" s="27" t="n"/>
      <c r="O191" s="27" t="n"/>
      <c r="P191" s="28" t="n"/>
      <c r="Q191" s="29" t="n"/>
      <c r="R191" s="30">
        <f>IF(B191="","",IF(C191="IWP",COUNTIFS(Restricciones!$D$6:$D$305,B191,Restricciones!$F$6:$F$305,"Abierta")+COUNTIFS(Restricciones!$D$6:$D$305,B191,Restricciones!$F$6:$F$305,"En gestión"),IF(C191="CWA",COUNTIFS(Restricciones!$C$6:$C$305,"CWP-"&amp;MID(B191,5,4)&amp;"-*",Restricciones!$F$6:$F$305,"Abierta")+COUNTIFS(Restricciones!$C$6:$C$305,"CWP-"&amp;MID(B191,5,4)&amp;"-*",Restricciones!$F$6:$F$305,"En gestión"),COUNTIFS(Restricciones!$C$6:$C$305,IF(C191="CWP",B191,H191),Restricciones!$F$6:$F$305,"Abierta")+COUNTIFS(Restricciones!$C$6:$C$305,IF(C191="CWP",B191,H191),Restricciones!$F$6:$F$305,"En gestión"))))</f>
        <v/>
      </c>
      <c r="S191" s="30">
        <f>IF(OR(B191="",M191=""),"",IF(O191&lt;&gt;"",MAX(0,O191-M191),IF(AND($B$3&gt;M191,K191&lt;&gt;"Cerrado"),$B$3-M191,0)))</f>
        <v/>
      </c>
      <c r="T191" s="31">
        <f>IF(B191="","",IF(K191="Cerrado",IF(S191&gt;0,"Cerrado con atraso","Cerrado"),IF(S191&gt;0,"Atrasado",IF(AND(N191="",L191&lt;&gt;"",$B$3&gt;L191),"Inicio atrasado","En plazo"))))</f>
        <v/>
      </c>
      <c r="U191" s="26" t="n"/>
    </row>
    <row r="192">
      <c r="A192" s="24" t="n"/>
      <c r="B192" s="25" t="n"/>
      <c r="C192" s="25" t="n"/>
      <c r="D192" s="25" t="n"/>
      <c r="E192" s="26" t="n"/>
      <c r="F192" s="25" t="n"/>
      <c r="G192" s="25" t="n"/>
      <c r="H192" s="25" t="n"/>
      <c r="I192" s="25" t="n"/>
      <c r="J192" s="25" t="n"/>
      <c r="K192" s="25" t="n"/>
      <c r="L192" s="27" t="n"/>
      <c r="M192" s="27" t="n"/>
      <c r="N192" s="27" t="n"/>
      <c r="O192" s="27" t="n"/>
      <c r="P192" s="28" t="n"/>
      <c r="Q192" s="29" t="n"/>
      <c r="R192" s="30">
        <f>IF(B192="","",IF(C192="IWP",COUNTIFS(Restricciones!$D$6:$D$305,B192,Restricciones!$F$6:$F$305,"Abierta")+COUNTIFS(Restricciones!$D$6:$D$305,B192,Restricciones!$F$6:$F$305,"En gestión"),IF(C192="CWA",COUNTIFS(Restricciones!$C$6:$C$305,"CWP-"&amp;MID(B192,5,4)&amp;"-*",Restricciones!$F$6:$F$305,"Abierta")+COUNTIFS(Restricciones!$C$6:$C$305,"CWP-"&amp;MID(B192,5,4)&amp;"-*",Restricciones!$F$6:$F$305,"En gestión"),COUNTIFS(Restricciones!$C$6:$C$305,IF(C192="CWP",B192,H192),Restricciones!$F$6:$F$305,"Abierta")+COUNTIFS(Restricciones!$C$6:$C$305,IF(C192="CWP",B192,H192),Restricciones!$F$6:$F$305,"En gestión"))))</f>
        <v/>
      </c>
      <c r="S192" s="30">
        <f>IF(OR(B192="",M192=""),"",IF(O192&lt;&gt;"",MAX(0,O192-M192),IF(AND($B$3&gt;M192,K192&lt;&gt;"Cerrado"),$B$3-M192,0)))</f>
        <v/>
      </c>
      <c r="T192" s="31">
        <f>IF(B192="","",IF(K192="Cerrado",IF(S192&gt;0,"Cerrado con atraso","Cerrado"),IF(S192&gt;0,"Atrasado",IF(AND(N192="",L192&lt;&gt;"",$B$3&gt;L192),"Inicio atrasado","En plazo"))))</f>
        <v/>
      </c>
      <c r="U192" s="26" t="n"/>
    </row>
    <row r="193">
      <c r="A193" s="24" t="n"/>
      <c r="B193" s="25" t="n"/>
      <c r="C193" s="25" t="n"/>
      <c r="D193" s="25" t="n"/>
      <c r="E193" s="26" t="n"/>
      <c r="F193" s="25" t="n"/>
      <c r="G193" s="25" t="n"/>
      <c r="H193" s="25" t="n"/>
      <c r="I193" s="25" t="n"/>
      <c r="J193" s="25" t="n"/>
      <c r="K193" s="25" t="n"/>
      <c r="L193" s="27" t="n"/>
      <c r="M193" s="27" t="n"/>
      <c r="N193" s="27" t="n"/>
      <c r="O193" s="27" t="n"/>
      <c r="P193" s="28" t="n"/>
      <c r="Q193" s="29" t="n"/>
      <c r="R193" s="30">
        <f>IF(B193="","",IF(C193="IWP",COUNTIFS(Restricciones!$D$6:$D$305,B193,Restricciones!$F$6:$F$305,"Abierta")+COUNTIFS(Restricciones!$D$6:$D$305,B193,Restricciones!$F$6:$F$305,"En gestión"),IF(C193="CWA",COUNTIFS(Restricciones!$C$6:$C$305,"CWP-"&amp;MID(B193,5,4)&amp;"-*",Restricciones!$F$6:$F$305,"Abierta")+COUNTIFS(Restricciones!$C$6:$C$305,"CWP-"&amp;MID(B193,5,4)&amp;"-*",Restricciones!$F$6:$F$305,"En gestión"),COUNTIFS(Restricciones!$C$6:$C$305,IF(C193="CWP",B193,H193),Restricciones!$F$6:$F$305,"Abierta")+COUNTIFS(Restricciones!$C$6:$C$305,IF(C193="CWP",B193,H193),Restricciones!$F$6:$F$305,"En gestión"))))</f>
        <v/>
      </c>
      <c r="S193" s="30">
        <f>IF(OR(B193="",M193=""),"",IF(O193&lt;&gt;"",MAX(0,O193-M193),IF(AND($B$3&gt;M193,K193&lt;&gt;"Cerrado"),$B$3-M193,0)))</f>
        <v/>
      </c>
      <c r="T193" s="31">
        <f>IF(B193="","",IF(K193="Cerrado",IF(S193&gt;0,"Cerrado con atraso","Cerrado"),IF(S193&gt;0,"Atrasado",IF(AND(N193="",L193&lt;&gt;"",$B$3&gt;L193),"Inicio atrasado","En plazo"))))</f>
        <v/>
      </c>
      <c r="U193" s="26" t="n"/>
    </row>
    <row r="194">
      <c r="A194" s="24" t="n"/>
      <c r="B194" s="25" t="n"/>
      <c r="C194" s="25" t="n"/>
      <c r="D194" s="25" t="n"/>
      <c r="E194" s="26" t="n"/>
      <c r="F194" s="25" t="n"/>
      <c r="G194" s="25" t="n"/>
      <c r="H194" s="25" t="n"/>
      <c r="I194" s="25" t="n"/>
      <c r="J194" s="25" t="n"/>
      <c r="K194" s="25" t="n"/>
      <c r="L194" s="27" t="n"/>
      <c r="M194" s="27" t="n"/>
      <c r="N194" s="27" t="n"/>
      <c r="O194" s="27" t="n"/>
      <c r="P194" s="28" t="n"/>
      <c r="Q194" s="29" t="n"/>
      <c r="R194" s="30">
        <f>IF(B194="","",IF(C194="IWP",COUNTIFS(Restricciones!$D$6:$D$305,B194,Restricciones!$F$6:$F$305,"Abierta")+COUNTIFS(Restricciones!$D$6:$D$305,B194,Restricciones!$F$6:$F$305,"En gestión"),IF(C194="CWA",COUNTIFS(Restricciones!$C$6:$C$305,"CWP-"&amp;MID(B194,5,4)&amp;"-*",Restricciones!$F$6:$F$305,"Abierta")+COUNTIFS(Restricciones!$C$6:$C$305,"CWP-"&amp;MID(B194,5,4)&amp;"-*",Restricciones!$F$6:$F$305,"En gestión"),COUNTIFS(Restricciones!$C$6:$C$305,IF(C194="CWP",B194,H194),Restricciones!$F$6:$F$305,"Abierta")+COUNTIFS(Restricciones!$C$6:$C$305,IF(C194="CWP",B194,H194),Restricciones!$F$6:$F$305,"En gestión"))))</f>
        <v/>
      </c>
      <c r="S194" s="30">
        <f>IF(OR(B194="",M194=""),"",IF(O194&lt;&gt;"",MAX(0,O194-M194),IF(AND($B$3&gt;M194,K194&lt;&gt;"Cerrado"),$B$3-M194,0)))</f>
        <v/>
      </c>
      <c r="T194" s="31">
        <f>IF(B194="","",IF(K194="Cerrado",IF(S194&gt;0,"Cerrado con atraso","Cerrado"),IF(S194&gt;0,"Atrasado",IF(AND(N194="",L194&lt;&gt;"",$B$3&gt;L194),"Inicio atrasado","En plazo"))))</f>
        <v/>
      </c>
      <c r="U194" s="26" t="n"/>
    </row>
    <row r="195">
      <c r="A195" s="24" t="n"/>
      <c r="B195" s="25" t="n"/>
      <c r="C195" s="25" t="n"/>
      <c r="D195" s="25" t="n"/>
      <c r="E195" s="26" t="n"/>
      <c r="F195" s="25" t="n"/>
      <c r="G195" s="25" t="n"/>
      <c r="H195" s="25" t="n"/>
      <c r="I195" s="25" t="n"/>
      <c r="J195" s="25" t="n"/>
      <c r="K195" s="25" t="n"/>
      <c r="L195" s="27" t="n"/>
      <c r="M195" s="27" t="n"/>
      <c r="N195" s="27" t="n"/>
      <c r="O195" s="27" t="n"/>
      <c r="P195" s="28" t="n"/>
      <c r="Q195" s="29" t="n"/>
      <c r="R195" s="30">
        <f>IF(B195="","",IF(C195="IWP",COUNTIFS(Restricciones!$D$6:$D$305,B195,Restricciones!$F$6:$F$305,"Abierta")+COUNTIFS(Restricciones!$D$6:$D$305,B195,Restricciones!$F$6:$F$305,"En gestión"),IF(C195="CWA",COUNTIFS(Restricciones!$C$6:$C$305,"CWP-"&amp;MID(B195,5,4)&amp;"-*",Restricciones!$F$6:$F$305,"Abierta")+COUNTIFS(Restricciones!$C$6:$C$305,"CWP-"&amp;MID(B195,5,4)&amp;"-*",Restricciones!$F$6:$F$305,"En gestión"),COUNTIFS(Restricciones!$C$6:$C$305,IF(C195="CWP",B195,H195),Restricciones!$F$6:$F$305,"Abierta")+COUNTIFS(Restricciones!$C$6:$C$305,IF(C195="CWP",B195,H195),Restricciones!$F$6:$F$305,"En gestión"))))</f>
        <v/>
      </c>
      <c r="S195" s="30">
        <f>IF(OR(B195="",M195=""),"",IF(O195&lt;&gt;"",MAX(0,O195-M195),IF(AND($B$3&gt;M195,K195&lt;&gt;"Cerrado"),$B$3-M195,0)))</f>
        <v/>
      </c>
      <c r="T195" s="31">
        <f>IF(B195="","",IF(K195="Cerrado",IF(S195&gt;0,"Cerrado con atraso","Cerrado"),IF(S195&gt;0,"Atrasado",IF(AND(N195="",L195&lt;&gt;"",$B$3&gt;L195),"Inicio atrasado","En plazo"))))</f>
        <v/>
      </c>
      <c r="U195" s="26" t="n"/>
    </row>
    <row r="196">
      <c r="A196" s="24" t="n"/>
      <c r="B196" s="25" t="n"/>
      <c r="C196" s="25" t="n"/>
      <c r="D196" s="25" t="n"/>
      <c r="E196" s="26" t="n"/>
      <c r="F196" s="25" t="n"/>
      <c r="G196" s="25" t="n"/>
      <c r="H196" s="25" t="n"/>
      <c r="I196" s="25" t="n"/>
      <c r="J196" s="25" t="n"/>
      <c r="K196" s="25" t="n"/>
      <c r="L196" s="27" t="n"/>
      <c r="M196" s="27" t="n"/>
      <c r="N196" s="27" t="n"/>
      <c r="O196" s="27" t="n"/>
      <c r="P196" s="28" t="n"/>
      <c r="Q196" s="29" t="n"/>
      <c r="R196" s="30">
        <f>IF(B196="","",IF(C196="IWP",COUNTIFS(Restricciones!$D$6:$D$305,B196,Restricciones!$F$6:$F$305,"Abierta")+COUNTIFS(Restricciones!$D$6:$D$305,B196,Restricciones!$F$6:$F$305,"En gestión"),IF(C196="CWA",COUNTIFS(Restricciones!$C$6:$C$305,"CWP-"&amp;MID(B196,5,4)&amp;"-*",Restricciones!$F$6:$F$305,"Abierta")+COUNTIFS(Restricciones!$C$6:$C$305,"CWP-"&amp;MID(B196,5,4)&amp;"-*",Restricciones!$F$6:$F$305,"En gestión"),COUNTIFS(Restricciones!$C$6:$C$305,IF(C196="CWP",B196,H196),Restricciones!$F$6:$F$305,"Abierta")+COUNTIFS(Restricciones!$C$6:$C$305,IF(C196="CWP",B196,H196),Restricciones!$F$6:$F$305,"En gestión"))))</f>
        <v/>
      </c>
      <c r="S196" s="30">
        <f>IF(OR(B196="",M196=""),"",IF(O196&lt;&gt;"",MAX(0,O196-M196),IF(AND($B$3&gt;M196,K196&lt;&gt;"Cerrado"),$B$3-M196,0)))</f>
        <v/>
      </c>
      <c r="T196" s="31">
        <f>IF(B196="","",IF(K196="Cerrado",IF(S196&gt;0,"Cerrado con atraso","Cerrado"),IF(S196&gt;0,"Atrasado",IF(AND(N196="",L196&lt;&gt;"",$B$3&gt;L196),"Inicio atrasado","En plazo"))))</f>
        <v/>
      </c>
      <c r="U196" s="26" t="n"/>
    </row>
    <row r="197">
      <c r="A197" s="24" t="n"/>
      <c r="B197" s="25" t="n"/>
      <c r="C197" s="25" t="n"/>
      <c r="D197" s="25" t="n"/>
      <c r="E197" s="26" t="n"/>
      <c r="F197" s="25" t="n"/>
      <c r="G197" s="25" t="n"/>
      <c r="H197" s="25" t="n"/>
      <c r="I197" s="25" t="n"/>
      <c r="J197" s="25" t="n"/>
      <c r="K197" s="25" t="n"/>
      <c r="L197" s="27" t="n"/>
      <c r="M197" s="27" t="n"/>
      <c r="N197" s="27" t="n"/>
      <c r="O197" s="27" t="n"/>
      <c r="P197" s="28" t="n"/>
      <c r="Q197" s="29" t="n"/>
      <c r="R197" s="30">
        <f>IF(B197="","",IF(C197="IWP",COUNTIFS(Restricciones!$D$6:$D$305,B197,Restricciones!$F$6:$F$305,"Abierta")+COUNTIFS(Restricciones!$D$6:$D$305,B197,Restricciones!$F$6:$F$305,"En gestión"),IF(C197="CWA",COUNTIFS(Restricciones!$C$6:$C$305,"CWP-"&amp;MID(B197,5,4)&amp;"-*",Restricciones!$F$6:$F$305,"Abierta")+COUNTIFS(Restricciones!$C$6:$C$305,"CWP-"&amp;MID(B197,5,4)&amp;"-*",Restricciones!$F$6:$F$305,"En gestión"),COUNTIFS(Restricciones!$C$6:$C$305,IF(C197="CWP",B197,H197),Restricciones!$F$6:$F$305,"Abierta")+COUNTIFS(Restricciones!$C$6:$C$305,IF(C197="CWP",B197,H197),Restricciones!$F$6:$F$305,"En gestión"))))</f>
        <v/>
      </c>
      <c r="S197" s="30">
        <f>IF(OR(B197="",M197=""),"",IF(O197&lt;&gt;"",MAX(0,O197-M197),IF(AND($B$3&gt;M197,K197&lt;&gt;"Cerrado"),$B$3-M197,0)))</f>
        <v/>
      </c>
      <c r="T197" s="31">
        <f>IF(B197="","",IF(K197="Cerrado",IF(S197&gt;0,"Cerrado con atraso","Cerrado"),IF(S197&gt;0,"Atrasado",IF(AND(N197="",L197&lt;&gt;"",$B$3&gt;L197),"Inicio atrasado","En plazo"))))</f>
        <v/>
      </c>
      <c r="U197" s="26" t="n"/>
    </row>
    <row r="198">
      <c r="A198" s="24" t="n"/>
      <c r="B198" s="25" t="n"/>
      <c r="C198" s="25" t="n"/>
      <c r="D198" s="25" t="n"/>
      <c r="E198" s="26" t="n"/>
      <c r="F198" s="25" t="n"/>
      <c r="G198" s="25" t="n"/>
      <c r="H198" s="25" t="n"/>
      <c r="I198" s="25" t="n"/>
      <c r="J198" s="25" t="n"/>
      <c r="K198" s="25" t="n"/>
      <c r="L198" s="27" t="n"/>
      <c r="M198" s="27" t="n"/>
      <c r="N198" s="27" t="n"/>
      <c r="O198" s="27" t="n"/>
      <c r="P198" s="28" t="n"/>
      <c r="Q198" s="29" t="n"/>
      <c r="R198" s="30">
        <f>IF(B198="","",IF(C198="IWP",COUNTIFS(Restricciones!$D$6:$D$305,B198,Restricciones!$F$6:$F$305,"Abierta")+COUNTIFS(Restricciones!$D$6:$D$305,B198,Restricciones!$F$6:$F$305,"En gestión"),IF(C198="CWA",COUNTIFS(Restricciones!$C$6:$C$305,"CWP-"&amp;MID(B198,5,4)&amp;"-*",Restricciones!$F$6:$F$305,"Abierta")+COUNTIFS(Restricciones!$C$6:$C$305,"CWP-"&amp;MID(B198,5,4)&amp;"-*",Restricciones!$F$6:$F$305,"En gestión"),COUNTIFS(Restricciones!$C$6:$C$305,IF(C198="CWP",B198,H198),Restricciones!$F$6:$F$305,"Abierta")+COUNTIFS(Restricciones!$C$6:$C$305,IF(C198="CWP",B198,H198),Restricciones!$F$6:$F$305,"En gestión"))))</f>
        <v/>
      </c>
      <c r="S198" s="30">
        <f>IF(OR(B198="",M198=""),"",IF(O198&lt;&gt;"",MAX(0,O198-M198),IF(AND($B$3&gt;M198,K198&lt;&gt;"Cerrado"),$B$3-M198,0)))</f>
        <v/>
      </c>
      <c r="T198" s="31">
        <f>IF(B198="","",IF(K198="Cerrado",IF(S198&gt;0,"Cerrado con atraso","Cerrado"),IF(S198&gt;0,"Atrasado",IF(AND(N198="",L198&lt;&gt;"",$B$3&gt;L198),"Inicio atrasado","En plazo"))))</f>
        <v/>
      </c>
      <c r="U198" s="26" t="n"/>
    </row>
    <row r="199">
      <c r="A199" s="24" t="n"/>
      <c r="B199" s="25" t="n"/>
      <c r="C199" s="25" t="n"/>
      <c r="D199" s="25" t="n"/>
      <c r="E199" s="26" t="n"/>
      <c r="F199" s="25" t="n"/>
      <c r="G199" s="25" t="n"/>
      <c r="H199" s="25" t="n"/>
      <c r="I199" s="25" t="n"/>
      <c r="J199" s="25" t="n"/>
      <c r="K199" s="25" t="n"/>
      <c r="L199" s="27" t="n"/>
      <c r="M199" s="27" t="n"/>
      <c r="N199" s="27" t="n"/>
      <c r="O199" s="27" t="n"/>
      <c r="P199" s="28" t="n"/>
      <c r="Q199" s="29" t="n"/>
      <c r="R199" s="30">
        <f>IF(B199="","",IF(C199="IWP",COUNTIFS(Restricciones!$D$6:$D$305,B199,Restricciones!$F$6:$F$305,"Abierta")+COUNTIFS(Restricciones!$D$6:$D$305,B199,Restricciones!$F$6:$F$305,"En gestión"),IF(C199="CWA",COUNTIFS(Restricciones!$C$6:$C$305,"CWP-"&amp;MID(B199,5,4)&amp;"-*",Restricciones!$F$6:$F$305,"Abierta")+COUNTIFS(Restricciones!$C$6:$C$305,"CWP-"&amp;MID(B199,5,4)&amp;"-*",Restricciones!$F$6:$F$305,"En gestión"),COUNTIFS(Restricciones!$C$6:$C$305,IF(C199="CWP",B199,H199),Restricciones!$F$6:$F$305,"Abierta")+COUNTIFS(Restricciones!$C$6:$C$305,IF(C199="CWP",B199,H199),Restricciones!$F$6:$F$305,"En gestión"))))</f>
        <v/>
      </c>
      <c r="S199" s="30">
        <f>IF(OR(B199="",M199=""),"",IF(O199&lt;&gt;"",MAX(0,O199-M199),IF(AND($B$3&gt;M199,K199&lt;&gt;"Cerrado"),$B$3-M199,0)))</f>
        <v/>
      </c>
      <c r="T199" s="31">
        <f>IF(B199="","",IF(K199="Cerrado",IF(S199&gt;0,"Cerrado con atraso","Cerrado"),IF(S199&gt;0,"Atrasado",IF(AND(N199="",L199&lt;&gt;"",$B$3&gt;L199),"Inicio atrasado","En plazo"))))</f>
        <v/>
      </c>
      <c r="U199" s="26" t="n"/>
    </row>
    <row r="200">
      <c r="A200" s="24" t="n"/>
      <c r="B200" s="25" t="n"/>
      <c r="C200" s="25" t="n"/>
      <c r="D200" s="25" t="n"/>
      <c r="E200" s="26" t="n"/>
      <c r="F200" s="25" t="n"/>
      <c r="G200" s="25" t="n"/>
      <c r="H200" s="25" t="n"/>
      <c r="I200" s="25" t="n"/>
      <c r="J200" s="25" t="n"/>
      <c r="K200" s="25" t="n"/>
      <c r="L200" s="27" t="n"/>
      <c r="M200" s="27" t="n"/>
      <c r="N200" s="27" t="n"/>
      <c r="O200" s="27" t="n"/>
      <c r="P200" s="28" t="n"/>
      <c r="Q200" s="29" t="n"/>
      <c r="R200" s="30">
        <f>IF(B200="","",IF(C200="IWP",COUNTIFS(Restricciones!$D$6:$D$305,B200,Restricciones!$F$6:$F$305,"Abierta")+COUNTIFS(Restricciones!$D$6:$D$305,B200,Restricciones!$F$6:$F$305,"En gestión"),IF(C200="CWA",COUNTIFS(Restricciones!$C$6:$C$305,"CWP-"&amp;MID(B200,5,4)&amp;"-*",Restricciones!$F$6:$F$305,"Abierta")+COUNTIFS(Restricciones!$C$6:$C$305,"CWP-"&amp;MID(B200,5,4)&amp;"-*",Restricciones!$F$6:$F$305,"En gestión"),COUNTIFS(Restricciones!$C$6:$C$305,IF(C200="CWP",B200,H200),Restricciones!$F$6:$F$305,"Abierta")+COUNTIFS(Restricciones!$C$6:$C$305,IF(C200="CWP",B200,H200),Restricciones!$F$6:$F$305,"En gestión"))))</f>
        <v/>
      </c>
      <c r="S200" s="30">
        <f>IF(OR(B200="",M200=""),"",IF(O200&lt;&gt;"",MAX(0,O200-M200),IF(AND($B$3&gt;M200,K200&lt;&gt;"Cerrado"),$B$3-M200,0)))</f>
        <v/>
      </c>
      <c r="T200" s="31">
        <f>IF(B200="","",IF(K200="Cerrado",IF(S200&gt;0,"Cerrado con atraso","Cerrado"),IF(S200&gt;0,"Atrasado",IF(AND(N200="",L200&lt;&gt;"",$B$3&gt;L200),"Inicio atrasado","En plazo"))))</f>
        <v/>
      </c>
      <c r="U200" s="26" t="n"/>
    </row>
    <row r="201">
      <c r="A201" s="24" t="n"/>
      <c r="B201" s="25" t="n"/>
      <c r="C201" s="25" t="n"/>
      <c r="D201" s="25" t="n"/>
      <c r="E201" s="26" t="n"/>
      <c r="F201" s="25" t="n"/>
      <c r="G201" s="25" t="n"/>
      <c r="H201" s="25" t="n"/>
      <c r="I201" s="25" t="n"/>
      <c r="J201" s="25" t="n"/>
      <c r="K201" s="25" t="n"/>
      <c r="L201" s="27" t="n"/>
      <c r="M201" s="27" t="n"/>
      <c r="N201" s="27" t="n"/>
      <c r="O201" s="27" t="n"/>
      <c r="P201" s="28" t="n"/>
      <c r="Q201" s="29" t="n"/>
      <c r="R201" s="30">
        <f>IF(B201="","",IF(C201="IWP",COUNTIFS(Restricciones!$D$6:$D$305,B201,Restricciones!$F$6:$F$305,"Abierta")+COUNTIFS(Restricciones!$D$6:$D$305,B201,Restricciones!$F$6:$F$305,"En gestión"),IF(C201="CWA",COUNTIFS(Restricciones!$C$6:$C$305,"CWP-"&amp;MID(B201,5,4)&amp;"-*",Restricciones!$F$6:$F$305,"Abierta")+COUNTIFS(Restricciones!$C$6:$C$305,"CWP-"&amp;MID(B201,5,4)&amp;"-*",Restricciones!$F$6:$F$305,"En gestión"),COUNTIFS(Restricciones!$C$6:$C$305,IF(C201="CWP",B201,H201),Restricciones!$F$6:$F$305,"Abierta")+COUNTIFS(Restricciones!$C$6:$C$305,IF(C201="CWP",B201,H201),Restricciones!$F$6:$F$305,"En gestión"))))</f>
        <v/>
      </c>
      <c r="S201" s="30">
        <f>IF(OR(B201="",M201=""),"",IF(O201&lt;&gt;"",MAX(0,O201-M201),IF(AND($B$3&gt;M201,K201&lt;&gt;"Cerrado"),$B$3-M201,0)))</f>
        <v/>
      </c>
      <c r="T201" s="31">
        <f>IF(B201="","",IF(K201="Cerrado",IF(S201&gt;0,"Cerrado con atraso","Cerrado"),IF(S201&gt;0,"Atrasado",IF(AND(N201="",L201&lt;&gt;"",$B$3&gt;L201),"Inicio atrasado","En plazo"))))</f>
        <v/>
      </c>
      <c r="U201" s="26" t="n"/>
    </row>
    <row r="202">
      <c r="A202" s="24" t="n"/>
      <c r="B202" s="25" t="n"/>
      <c r="C202" s="25" t="n"/>
      <c r="D202" s="25" t="n"/>
      <c r="E202" s="26" t="n"/>
      <c r="F202" s="25" t="n"/>
      <c r="G202" s="25" t="n"/>
      <c r="H202" s="25" t="n"/>
      <c r="I202" s="25" t="n"/>
      <c r="J202" s="25" t="n"/>
      <c r="K202" s="25" t="n"/>
      <c r="L202" s="27" t="n"/>
      <c r="M202" s="27" t="n"/>
      <c r="N202" s="27" t="n"/>
      <c r="O202" s="27" t="n"/>
      <c r="P202" s="28" t="n"/>
      <c r="Q202" s="29" t="n"/>
      <c r="R202" s="30">
        <f>IF(B202="","",IF(C202="IWP",COUNTIFS(Restricciones!$D$6:$D$305,B202,Restricciones!$F$6:$F$305,"Abierta")+COUNTIFS(Restricciones!$D$6:$D$305,B202,Restricciones!$F$6:$F$305,"En gestión"),IF(C202="CWA",COUNTIFS(Restricciones!$C$6:$C$305,"CWP-"&amp;MID(B202,5,4)&amp;"-*",Restricciones!$F$6:$F$305,"Abierta")+COUNTIFS(Restricciones!$C$6:$C$305,"CWP-"&amp;MID(B202,5,4)&amp;"-*",Restricciones!$F$6:$F$305,"En gestión"),COUNTIFS(Restricciones!$C$6:$C$305,IF(C202="CWP",B202,H202),Restricciones!$F$6:$F$305,"Abierta")+COUNTIFS(Restricciones!$C$6:$C$305,IF(C202="CWP",B202,H202),Restricciones!$F$6:$F$305,"En gestión"))))</f>
        <v/>
      </c>
      <c r="S202" s="30">
        <f>IF(OR(B202="",M202=""),"",IF(O202&lt;&gt;"",MAX(0,O202-M202),IF(AND($B$3&gt;M202,K202&lt;&gt;"Cerrado"),$B$3-M202,0)))</f>
        <v/>
      </c>
      <c r="T202" s="31">
        <f>IF(B202="","",IF(K202="Cerrado",IF(S202&gt;0,"Cerrado con atraso","Cerrado"),IF(S202&gt;0,"Atrasado",IF(AND(N202="",L202&lt;&gt;"",$B$3&gt;L202),"Inicio atrasado","En plazo"))))</f>
        <v/>
      </c>
      <c r="U202" s="26" t="n"/>
    </row>
    <row r="203">
      <c r="A203" s="24" t="n"/>
      <c r="B203" s="25" t="n"/>
      <c r="C203" s="25" t="n"/>
      <c r="D203" s="25" t="n"/>
      <c r="E203" s="26" t="n"/>
      <c r="F203" s="25" t="n"/>
      <c r="G203" s="25" t="n"/>
      <c r="H203" s="25" t="n"/>
      <c r="I203" s="25" t="n"/>
      <c r="J203" s="25" t="n"/>
      <c r="K203" s="25" t="n"/>
      <c r="L203" s="27" t="n"/>
      <c r="M203" s="27" t="n"/>
      <c r="N203" s="27" t="n"/>
      <c r="O203" s="27" t="n"/>
      <c r="P203" s="28" t="n"/>
      <c r="Q203" s="29" t="n"/>
      <c r="R203" s="30">
        <f>IF(B203="","",IF(C203="IWP",COUNTIFS(Restricciones!$D$6:$D$305,B203,Restricciones!$F$6:$F$305,"Abierta")+COUNTIFS(Restricciones!$D$6:$D$305,B203,Restricciones!$F$6:$F$305,"En gestión"),IF(C203="CWA",COUNTIFS(Restricciones!$C$6:$C$305,"CWP-"&amp;MID(B203,5,4)&amp;"-*",Restricciones!$F$6:$F$305,"Abierta")+COUNTIFS(Restricciones!$C$6:$C$305,"CWP-"&amp;MID(B203,5,4)&amp;"-*",Restricciones!$F$6:$F$305,"En gestión"),COUNTIFS(Restricciones!$C$6:$C$305,IF(C203="CWP",B203,H203),Restricciones!$F$6:$F$305,"Abierta")+COUNTIFS(Restricciones!$C$6:$C$305,IF(C203="CWP",B203,H203),Restricciones!$F$6:$F$305,"En gestión"))))</f>
        <v/>
      </c>
      <c r="S203" s="30">
        <f>IF(OR(B203="",M203=""),"",IF(O203&lt;&gt;"",MAX(0,O203-M203),IF(AND($B$3&gt;M203,K203&lt;&gt;"Cerrado"),$B$3-M203,0)))</f>
        <v/>
      </c>
      <c r="T203" s="31">
        <f>IF(B203="","",IF(K203="Cerrado",IF(S203&gt;0,"Cerrado con atraso","Cerrado"),IF(S203&gt;0,"Atrasado",IF(AND(N203="",L203&lt;&gt;"",$B$3&gt;L203),"Inicio atrasado","En plazo"))))</f>
        <v/>
      </c>
      <c r="U203" s="26" t="n"/>
    </row>
    <row r="204">
      <c r="A204" s="24" t="n"/>
      <c r="B204" s="25" t="n"/>
      <c r="C204" s="25" t="n"/>
      <c r="D204" s="25" t="n"/>
      <c r="E204" s="26" t="n"/>
      <c r="F204" s="25" t="n"/>
      <c r="G204" s="25" t="n"/>
      <c r="H204" s="25" t="n"/>
      <c r="I204" s="25" t="n"/>
      <c r="J204" s="25" t="n"/>
      <c r="K204" s="25" t="n"/>
      <c r="L204" s="27" t="n"/>
      <c r="M204" s="27" t="n"/>
      <c r="N204" s="27" t="n"/>
      <c r="O204" s="27" t="n"/>
      <c r="P204" s="28" t="n"/>
      <c r="Q204" s="29" t="n"/>
      <c r="R204" s="30">
        <f>IF(B204="","",IF(C204="IWP",COUNTIFS(Restricciones!$D$6:$D$305,B204,Restricciones!$F$6:$F$305,"Abierta")+COUNTIFS(Restricciones!$D$6:$D$305,B204,Restricciones!$F$6:$F$305,"En gestión"),IF(C204="CWA",COUNTIFS(Restricciones!$C$6:$C$305,"CWP-"&amp;MID(B204,5,4)&amp;"-*",Restricciones!$F$6:$F$305,"Abierta")+COUNTIFS(Restricciones!$C$6:$C$305,"CWP-"&amp;MID(B204,5,4)&amp;"-*",Restricciones!$F$6:$F$305,"En gestión"),COUNTIFS(Restricciones!$C$6:$C$305,IF(C204="CWP",B204,H204),Restricciones!$F$6:$F$305,"Abierta")+COUNTIFS(Restricciones!$C$6:$C$305,IF(C204="CWP",B204,H204),Restricciones!$F$6:$F$305,"En gestión"))))</f>
        <v/>
      </c>
      <c r="S204" s="30">
        <f>IF(OR(B204="",M204=""),"",IF(O204&lt;&gt;"",MAX(0,O204-M204),IF(AND($B$3&gt;M204,K204&lt;&gt;"Cerrado"),$B$3-M204,0)))</f>
        <v/>
      </c>
      <c r="T204" s="31">
        <f>IF(B204="","",IF(K204="Cerrado",IF(S204&gt;0,"Cerrado con atraso","Cerrado"),IF(S204&gt;0,"Atrasado",IF(AND(N204="",L204&lt;&gt;"",$B$3&gt;L204),"Inicio atrasado","En plazo"))))</f>
        <v/>
      </c>
      <c r="U204" s="26" t="n"/>
    </row>
    <row r="205">
      <c r="A205" s="24" t="n"/>
      <c r="B205" s="25" t="n"/>
      <c r="C205" s="25" t="n"/>
      <c r="D205" s="25" t="n"/>
      <c r="E205" s="26" t="n"/>
      <c r="F205" s="25" t="n"/>
      <c r="G205" s="25" t="n"/>
      <c r="H205" s="25" t="n"/>
      <c r="I205" s="25" t="n"/>
      <c r="J205" s="25" t="n"/>
      <c r="K205" s="25" t="n"/>
      <c r="L205" s="27" t="n"/>
      <c r="M205" s="27" t="n"/>
      <c r="N205" s="27" t="n"/>
      <c r="O205" s="27" t="n"/>
      <c r="P205" s="28" t="n"/>
      <c r="Q205" s="29" t="n"/>
      <c r="R205" s="30">
        <f>IF(B205="","",IF(C205="IWP",COUNTIFS(Restricciones!$D$6:$D$305,B205,Restricciones!$F$6:$F$305,"Abierta")+COUNTIFS(Restricciones!$D$6:$D$305,B205,Restricciones!$F$6:$F$305,"En gestión"),IF(C205="CWA",COUNTIFS(Restricciones!$C$6:$C$305,"CWP-"&amp;MID(B205,5,4)&amp;"-*",Restricciones!$F$6:$F$305,"Abierta")+COUNTIFS(Restricciones!$C$6:$C$305,"CWP-"&amp;MID(B205,5,4)&amp;"-*",Restricciones!$F$6:$F$305,"En gestión"),COUNTIFS(Restricciones!$C$6:$C$305,IF(C205="CWP",B205,H205),Restricciones!$F$6:$F$305,"Abierta")+COUNTIFS(Restricciones!$C$6:$C$305,IF(C205="CWP",B205,H205),Restricciones!$F$6:$F$305,"En gestión"))))</f>
        <v/>
      </c>
      <c r="S205" s="30">
        <f>IF(OR(B205="",M205=""),"",IF(O205&lt;&gt;"",MAX(0,O205-M205),IF(AND($B$3&gt;M205,K205&lt;&gt;"Cerrado"),$B$3-M205,0)))</f>
        <v/>
      </c>
      <c r="T205" s="31">
        <f>IF(B205="","",IF(K205="Cerrado",IF(S205&gt;0,"Cerrado con atraso","Cerrado"),IF(S205&gt;0,"Atrasado",IF(AND(N205="",L205&lt;&gt;"",$B$3&gt;L205),"Inicio atrasado","En plazo"))))</f>
        <v/>
      </c>
      <c r="U205" s="26" t="n"/>
    </row>
    <row r="206">
      <c r="A206" s="24" t="n"/>
      <c r="B206" s="25" t="n"/>
      <c r="C206" s="25" t="n"/>
      <c r="D206" s="25" t="n"/>
      <c r="E206" s="26" t="n"/>
      <c r="F206" s="25" t="n"/>
      <c r="G206" s="25" t="n"/>
      <c r="H206" s="25" t="n"/>
      <c r="I206" s="25" t="n"/>
      <c r="J206" s="25" t="n"/>
      <c r="K206" s="25" t="n"/>
      <c r="L206" s="27" t="n"/>
      <c r="M206" s="27" t="n"/>
      <c r="N206" s="27" t="n"/>
      <c r="O206" s="27" t="n"/>
      <c r="P206" s="28" t="n"/>
      <c r="Q206" s="29" t="n"/>
      <c r="R206" s="30">
        <f>IF(B206="","",IF(C206="IWP",COUNTIFS(Restricciones!$D$6:$D$305,B206,Restricciones!$F$6:$F$305,"Abierta")+COUNTIFS(Restricciones!$D$6:$D$305,B206,Restricciones!$F$6:$F$305,"En gestión"),IF(C206="CWA",COUNTIFS(Restricciones!$C$6:$C$305,"CWP-"&amp;MID(B206,5,4)&amp;"-*",Restricciones!$F$6:$F$305,"Abierta")+COUNTIFS(Restricciones!$C$6:$C$305,"CWP-"&amp;MID(B206,5,4)&amp;"-*",Restricciones!$F$6:$F$305,"En gestión"),COUNTIFS(Restricciones!$C$6:$C$305,IF(C206="CWP",B206,H206),Restricciones!$F$6:$F$305,"Abierta")+COUNTIFS(Restricciones!$C$6:$C$305,IF(C206="CWP",B206,H206),Restricciones!$F$6:$F$305,"En gestión"))))</f>
        <v/>
      </c>
      <c r="S206" s="30">
        <f>IF(OR(B206="",M206=""),"",IF(O206&lt;&gt;"",MAX(0,O206-M206),IF(AND($B$3&gt;M206,K206&lt;&gt;"Cerrado"),$B$3-M206,0)))</f>
        <v/>
      </c>
      <c r="T206" s="31">
        <f>IF(B206="","",IF(K206="Cerrado",IF(S206&gt;0,"Cerrado con atraso","Cerrado"),IF(S206&gt;0,"Atrasado",IF(AND(N206="",L206&lt;&gt;"",$B$3&gt;L206),"Inicio atrasado","En plazo"))))</f>
        <v/>
      </c>
      <c r="U206" s="26" t="n"/>
    </row>
    <row r="207">
      <c r="A207" s="24" t="n"/>
      <c r="B207" s="25" t="n"/>
      <c r="C207" s="25" t="n"/>
      <c r="D207" s="25" t="n"/>
      <c r="E207" s="26" t="n"/>
      <c r="F207" s="25" t="n"/>
      <c r="G207" s="25" t="n"/>
      <c r="H207" s="25" t="n"/>
      <c r="I207" s="25" t="n"/>
      <c r="J207" s="25" t="n"/>
      <c r="K207" s="25" t="n"/>
      <c r="L207" s="27" t="n"/>
      <c r="M207" s="27" t="n"/>
      <c r="N207" s="27" t="n"/>
      <c r="O207" s="27" t="n"/>
      <c r="P207" s="28" t="n"/>
      <c r="Q207" s="29" t="n"/>
      <c r="R207" s="30">
        <f>IF(B207="","",IF(C207="IWP",COUNTIFS(Restricciones!$D$6:$D$305,B207,Restricciones!$F$6:$F$305,"Abierta")+COUNTIFS(Restricciones!$D$6:$D$305,B207,Restricciones!$F$6:$F$305,"En gestión"),IF(C207="CWA",COUNTIFS(Restricciones!$C$6:$C$305,"CWP-"&amp;MID(B207,5,4)&amp;"-*",Restricciones!$F$6:$F$305,"Abierta")+COUNTIFS(Restricciones!$C$6:$C$305,"CWP-"&amp;MID(B207,5,4)&amp;"-*",Restricciones!$F$6:$F$305,"En gestión"),COUNTIFS(Restricciones!$C$6:$C$305,IF(C207="CWP",B207,H207),Restricciones!$F$6:$F$305,"Abierta")+COUNTIFS(Restricciones!$C$6:$C$305,IF(C207="CWP",B207,H207),Restricciones!$F$6:$F$305,"En gestión"))))</f>
        <v/>
      </c>
      <c r="S207" s="30">
        <f>IF(OR(B207="",M207=""),"",IF(O207&lt;&gt;"",MAX(0,O207-M207),IF(AND($B$3&gt;M207,K207&lt;&gt;"Cerrado"),$B$3-M207,0)))</f>
        <v/>
      </c>
      <c r="T207" s="31">
        <f>IF(B207="","",IF(K207="Cerrado",IF(S207&gt;0,"Cerrado con atraso","Cerrado"),IF(S207&gt;0,"Atrasado",IF(AND(N207="",L207&lt;&gt;"",$B$3&gt;L207),"Inicio atrasado","En plazo"))))</f>
        <v/>
      </c>
      <c r="U207" s="26" t="n"/>
    </row>
    <row r="208">
      <c r="A208" s="24" t="n"/>
      <c r="B208" s="25" t="n"/>
      <c r="C208" s="25" t="n"/>
      <c r="D208" s="25" t="n"/>
      <c r="E208" s="26" t="n"/>
      <c r="F208" s="25" t="n"/>
      <c r="G208" s="25" t="n"/>
      <c r="H208" s="25" t="n"/>
      <c r="I208" s="25" t="n"/>
      <c r="J208" s="25" t="n"/>
      <c r="K208" s="25" t="n"/>
      <c r="L208" s="27" t="n"/>
      <c r="M208" s="27" t="n"/>
      <c r="N208" s="27" t="n"/>
      <c r="O208" s="27" t="n"/>
      <c r="P208" s="28" t="n"/>
      <c r="Q208" s="29" t="n"/>
      <c r="R208" s="30">
        <f>IF(B208="","",IF(C208="IWP",COUNTIFS(Restricciones!$D$6:$D$305,B208,Restricciones!$F$6:$F$305,"Abierta")+COUNTIFS(Restricciones!$D$6:$D$305,B208,Restricciones!$F$6:$F$305,"En gestión"),IF(C208="CWA",COUNTIFS(Restricciones!$C$6:$C$305,"CWP-"&amp;MID(B208,5,4)&amp;"-*",Restricciones!$F$6:$F$305,"Abierta")+COUNTIFS(Restricciones!$C$6:$C$305,"CWP-"&amp;MID(B208,5,4)&amp;"-*",Restricciones!$F$6:$F$305,"En gestión"),COUNTIFS(Restricciones!$C$6:$C$305,IF(C208="CWP",B208,H208),Restricciones!$F$6:$F$305,"Abierta")+COUNTIFS(Restricciones!$C$6:$C$305,IF(C208="CWP",B208,H208),Restricciones!$F$6:$F$305,"En gestión"))))</f>
        <v/>
      </c>
      <c r="S208" s="30">
        <f>IF(OR(B208="",M208=""),"",IF(O208&lt;&gt;"",MAX(0,O208-M208),IF(AND($B$3&gt;M208,K208&lt;&gt;"Cerrado"),$B$3-M208,0)))</f>
        <v/>
      </c>
      <c r="T208" s="31">
        <f>IF(B208="","",IF(K208="Cerrado",IF(S208&gt;0,"Cerrado con atraso","Cerrado"),IF(S208&gt;0,"Atrasado",IF(AND(N208="",L208&lt;&gt;"",$B$3&gt;L208),"Inicio atrasado","En plazo"))))</f>
        <v/>
      </c>
      <c r="U208" s="26" t="n"/>
    </row>
    <row r="209">
      <c r="A209" s="24" t="n"/>
      <c r="B209" s="25" t="n"/>
      <c r="C209" s="25" t="n"/>
      <c r="D209" s="25" t="n"/>
      <c r="E209" s="26" t="n"/>
      <c r="F209" s="25" t="n"/>
      <c r="G209" s="25" t="n"/>
      <c r="H209" s="25" t="n"/>
      <c r="I209" s="25" t="n"/>
      <c r="J209" s="25" t="n"/>
      <c r="K209" s="25" t="n"/>
      <c r="L209" s="27" t="n"/>
      <c r="M209" s="27" t="n"/>
      <c r="N209" s="27" t="n"/>
      <c r="O209" s="27" t="n"/>
      <c r="P209" s="28" t="n"/>
      <c r="Q209" s="29" t="n"/>
      <c r="R209" s="30">
        <f>IF(B209="","",IF(C209="IWP",COUNTIFS(Restricciones!$D$6:$D$305,B209,Restricciones!$F$6:$F$305,"Abierta")+COUNTIFS(Restricciones!$D$6:$D$305,B209,Restricciones!$F$6:$F$305,"En gestión"),IF(C209="CWA",COUNTIFS(Restricciones!$C$6:$C$305,"CWP-"&amp;MID(B209,5,4)&amp;"-*",Restricciones!$F$6:$F$305,"Abierta")+COUNTIFS(Restricciones!$C$6:$C$305,"CWP-"&amp;MID(B209,5,4)&amp;"-*",Restricciones!$F$6:$F$305,"En gestión"),COUNTIFS(Restricciones!$C$6:$C$305,IF(C209="CWP",B209,H209),Restricciones!$F$6:$F$305,"Abierta")+COUNTIFS(Restricciones!$C$6:$C$305,IF(C209="CWP",B209,H209),Restricciones!$F$6:$F$305,"En gestión"))))</f>
        <v/>
      </c>
      <c r="S209" s="30">
        <f>IF(OR(B209="",M209=""),"",IF(O209&lt;&gt;"",MAX(0,O209-M209),IF(AND($B$3&gt;M209,K209&lt;&gt;"Cerrado"),$B$3-M209,0)))</f>
        <v/>
      </c>
      <c r="T209" s="31">
        <f>IF(B209="","",IF(K209="Cerrado",IF(S209&gt;0,"Cerrado con atraso","Cerrado"),IF(S209&gt;0,"Atrasado",IF(AND(N209="",L209&lt;&gt;"",$B$3&gt;L209),"Inicio atrasado","En plazo"))))</f>
        <v/>
      </c>
      <c r="U209" s="26" t="n"/>
    </row>
    <row r="210">
      <c r="A210" s="24" t="n"/>
      <c r="B210" s="25" t="n"/>
      <c r="C210" s="25" t="n"/>
      <c r="D210" s="25" t="n"/>
      <c r="E210" s="26" t="n"/>
      <c r="F210" s="25" t="n"/>
      <c r="G210" s="25" t="n"/>
      <c r="H210" s="25" t="n"/>
      <c r="I210" s="25" t="n"/>
      <c r="J210" s="25" t="n"/>
      <c r="K210" s="25" t="n"/>
      <c r="L210" s="27" t="n"/>
      <c r="M210" s="27" t="n"/>
      <c r="N210" s="27" t="n"/>
      <c r="O210" s="27" t="n"/>
      <c r="P210" s="28" t="n"/>
      <c r="Q210" s="29" t="n"/>
      <c r="R210" s="30">
        <f>IF(B210="","",IF(C210="IWP",COUNTIFS(Restricciones!$D$6:$D$305,B210,Restricciones!$F$6:$F$305,"Abierta")+COUNTIFS(Restricciones!$D$6:$D$305,B210,Restricciones!$F$6:$F$305,"En gestión"),IF(C210="CWA",COUNTIFS(Restricciones!$C$6:$C$305,"CWP-"&amp;MID(B210,5,4)&amp;"-*",Restricciones!$F$6:$F$305,"Abierta")+COUNTIFS(Restricciones!$C$6:$C$305,"CWP-"&amp;MID(B210,5,4)&amp;"-*",Restricciones!$F$6:$F$305,"En gestión"),COUNTIFS(Restricciones!$C$6:$C$305,IF(C210="CWP",B210,H210),Restricciones!$F$6:$F$305,"Abierta")+COUNTIFS(Restricciones!$C$6:$C$305,IF(C210="CWP",B210,H210),Restricciones!$F$6:$F$305,"En gestión"))))</f>
        <v/>
      </c>
      <c r="S210" s="30">
        <f>IF(OR(B210="",M210=""),"",IF(O210&lt;&gt;"",MAX(0,O210-M210),IF(AND($B$3&gt;M210,K210&lt;&gt;"Cerrado"),$B$3-M210,0)))</f>
        <v/>
      </c>
      <c r="T210" s="31">
        <f>IF(B210="","",IF(K210="Cerrado",IF(S210&gt;0,"Cerrado con atraso","Cerrado"),IF(S210&gt;0,"Atrasado",IF(AND(N210="",L210&lt;&gt;"",$B$3&gt;L210),"Inicio atrasado","En plazo"))))</f>
        <v/>
      </c>
      <c r="U210" s="26" t="n"/>
    </row>
    <row r="211">
      <c r="A211" s="24" t="n"/>
      <c r="B211" s="25" t="n"/>
      <c r="C211" s="25" t="n"/>
      <c r="D211" s="25" t="n"/>
      <c r="E211" s="26" t="n"/>
      <c r="F211" s="25" t="n"/>
      <c r="G211" s="25" t="n"/>
      <c r="H211" s="25" t="n"/>
      <c r="I211" s="25" t="n"/>
      <c r="J211" s="25" t="n"/>
      <c r="K211" s="25" t="n"/>
      <c r="L211" s="27" t="n"/>
      <c r="M211" s="27" t="n"/>
      <c r="N211" s="27" t="n"/>
      <c r="O211" s="27" t="n"/>
      <c r="P211" s="28" t="n"/>
      <c r="Q211" s="29" t="n"/>
      <c r="R211" s="30">
        <f>IF(B211="","",IF(C211="IWP",COUNTIFS(Restricciones!$D$6:$D$305,B211,Restricciones!$F$6:$F$305,"Abierta")+COUNTIFS(Restricciones!$D$6:$D$305,B211,Restricciones!$F$6:$F$305,"En gestión"),IF(C211="CWA",COUNTIFS(Restricciones!$C$6:$C$305,"CWP-"&amp;MID(B211,5,4)&amp;"-*",Restricciones!$F$6:$F$305,"Abierta")+COUNTIFS(Restricciones!$C$6:$C$305,"CWP-"&amp;MID(B211,5,4)&amp;"-*",Restricciones!$F$6:$F$305,"En gestión"),COUNTIFS(Restricciones!$C$6:$C$305,IF(C211="CWP",B211,H211),Restricciones!$F$6:$F$305,"Abierta")+COUNTIFS(Restricciones!$C$6:$C$305,IF(C211="CWP",B211,H211),Restricciones!$F$6:$F$305,"En gestión"))))</f>
        <v/>
      </c>
      <c r="S211" s="30">
        <f>IF(OR(B211="",M211=""),"",IF(O211&lt;&gt;"",MAX(0,O211-M211),IF(AND($B$3&gt;M211,K211&lt;&gt;"Cerrado"),$B$3-M211,0)))</f>
        <v/>
      </c>
      <c r="T211" s="31">
        <f>IF(B211="","",IF(K211="Cerrado",IF(S211&gt;0,"Cerrado con atraso","Cerrado"),IF(S211&gt;0,"Atrasado",IF(AND(N211="",L211&lt;&gt;"",$B$3&gt;L211),"Inicio atrasado","En plazo"))))</f>
        <v/>
      </c>
      <c r="U211" s="26" t="n"/>
    </row>
    <row r="212">
      <c r="A212" s="24" t="n"/>
      <c r="B212" s="25" t="n"/>
      <c r="C212" s="25" t="n"/>
      <c r="D212" s="25" t="n"/>
      <c r="E212" s="26" t="n"/>
      <c r="F212" s="25" t="n"/>
      <c r="G212" s="25" t="n"/>
      <c r="H212" s="25" t="n"/>
      <c r="I212" s="25" t="n"/>
      <c r="J212" s="25" t="n"/>
      <c r="K212" s="25" t="n"/>
      <c r="L212" s="27" t="n"/>
      <c r="M212" s="27" t="n"/>
      <c r="N212" s="27" t="n"/>
      <c r="O212" s="27" t="n"/>
      <c r="P212" s="28" t="n"/>
      <c r="Q212" s="29" t="n"/>
      <c r="R212" s="30">
        <f>IF(B212="","",IF(C212="IWP",COUNTIFS(Restricciones!$D$6:$D$305,B212,Restricciones!$F$6:$F$305,"Abierta")+COUNTIFS(Restricciones!$D$6:$D$305,B212,Restricciones!$F$6:$F$305,"En gestión"),IF(C212="CWA",COUNTIFS(Restricciones!$C$6:$C$305,"CWP-"&amp;MID(B212,5,4)&amp;"-*",Restricciones!$F$6:$F$305,"Abierta")+COUNTIFS(Restricciones!$C$6:$C$305,"CWP-"&amp;MID(B212,5,4)&amp;"-*",Restricciones!$F$6:$F$305,"En gestión"),COUNTIFS(Restricciones!$C$6:$C$305,IF(C212="CWP",B212,H212),Restricciones!$F$6:$F$305,"Abierta")+COUNTIFS(Restricciones!$C$6:$C$305,IF(C212="CWP",B212,H212),Restricciones!$F$6:$F$305,"En gestión"))))</f>
        <v/>
      </c>
      <c r="S212" s="30">
        <f>IF(OR(B212="",M212=""),"",IF(O212&lt;&gt;"",MAX(0,O212-M212),IF(AND($B$3&gt;M212,K212&lt;&gt;"Cerrado"),$B$3-M212,0)))</f>
        <v/>
      </c>
      <c r="T212" s="31">
        <f>IF(B212="","",IF(K212="Cerrado",IF(S212&gt;0,"Cerrado con atraso","Cerrado"),IF(S212&gt;0,"Atrasado",IF(AND(N212="",L212&lt;&gt;"",$B$3&gt;L212),"Inicio atrasado","En plazo"))))</f>
        <v/>
      </c>
      <c r="U212" s="26" t="n"/>
    </row>
    <row r="213">
      <c r="A213" s="24" t="n"/>
      <c r="B213" s="25" t="n"/>
      <c r="C213" s="25" t="n"/>
      <c r="D213" s="25" t="n"/>
      <c r="E213" s="26" t="n"/>
      <c r="F213" s="25" t="n"/>
      <c r="G213" s="25" t="n"/>
      <c r="H213" s="25" t="n"/>
      <c r="I213" s="25" t="n"/>
      <c r="J213" s="25" t="n"/>
      <c r="K213" s="25" t="n"/>
      <c r="L213" s="27" t="n"/>
      <c r="M213" s="27" t="n"/>
      <c r="N213" s="27" t="n"/>
      <c r="O213" s="27" t="n"/>
      <c r="P213" s="28" t="n"/>
      <c r="Q213" s="29" t="n"/>
      <c r="R213" s="30">
        <f>IF(B213="","",IF(C213="IWP",COUNTIFS(Restricciones!$D$6:$D$305,B213,Restricciones!$F$6:$F$305,"Abierta")+COUNTIFS(Restricciones!$D$6:$D$305,B213,Restricciones!$F$6:$F$305,"En gestión"),IF(C213="CWA",COUNTIFS(Restricciones!$C$6:$C$305,"CWP-"&amp;MID(B213,5,4)&amp;"-*",Restricciones!$F$6:$F$305,"Abierta")+COUNTIFS(Restricciones!$C$6:$C$305,"CWP-"&amp;MID(B213,5,4)&amp;"-*",Restricciones!$F$6:$F$305,"En gestión"),COUNTIFS(Restricciones!$C$6:$C$305,IF(C213="CWP",B213,H213),Restricciones!$F$6:$F$305,"Abierta")+COUNTIFS(Restricciones!$C$6:$C$305,IF(C213="CWP",B213,H213),Restricciones!$F$6:$F$305,"En gestión"))))</f>
        <v/>
      </c>
      <c r="S213" s="30">
        <f>IF(OR(B213="",M213=""),"",IF(O213&lt;&gt;"",MAX(0,O213-M213),IF(AND($B$3&gt;M213,K213&lt;&gt;"Cerrado"),$B$3-M213,0)))</f>
        <v/>
      </c>
      <c r="T213" s="31">
        <f>IF(B213="","",IF(K213="Cerrado",IF(S213&gt;0,"Cerrado con atraso","Cerrado"),IF(S213&gt;0,"Atrasado",IF(AND(N213="",L213&lt;&gt;"",$B$3&gt;L213),"Inicio atrasado","En plazo"))))</f>
        <v/>
      </c>
      <c r="U213" s="26" t="n"/>
    </row>
    <row r="214">
      <c r="A214" s="24" t="n"/>
      <c r="B214" s="25" t="n"/>
      <c r="C214" s="25" t="n"/>
      <c r="D214" s="25" t="n"/>
      <c r="E214" s="26" t="n"/>
      <c r="F214" s="25" t="n"/>
      <c r="G214" s="25" t="n"/>
      <c r="H214" s="25" t="n"/>
      <c r="I214" s="25" t="n"/>
      <c r="J214" s="25" t="n"/>
      <c r="K214" s="25" t="n"/>
      <c r="L214" s="27" t="n"/>
      <c r="M214" s="27" t="n"/>
      <c r="N214" s="27" t="n"/>
      <c r="O214" s="27" t="n"/>
      <c r="P214" s="28" t="n"/>
      <c r="Q214" s="29" t="n"/>
      <c r="R214" s="30">
        <f>IF(B214="","",IF(C214="IWP",COUNTIFS(Restricciones!$D$6:$D$305,B214,Restricciones!$F$6:$F$305,"Abierta")+COUNTIFS(Restricciones!$D$6:$D$305,B214,Restricciones!$F$6:$F$305,"En gestión"),IF(C214="CWA",COUNTIFS(Restricciones!$C$6:$C$305,"CWP-"&amp;MID(B214,5,4)&amp;"-*",Restricciones!$F$6:$F$305,"Abierta")+COUNTIFS(Restricciones!$C$6:$C$305,"CWP-"&amp;MID(B214,5,4)&amp;"-*",Restricciones!$F$6:$F$305,"En gestión"),COUNTIFS(Restricciones!$C$6:$C$305,IF(C214="CWP",B214,H214),Restricciones!$F$6:$F$305,"Abierta")+COUNTIFS(Restricciones!$C$6:$C$305,IF(C214="CWP",B214,H214),Restricciones!$F$6:$F$305,"En gestión"))))</f>
        <v/>
      </c>
      <c r="S214" s="30">
        <f>IF(OR(B214="",M214=""),"",IF(O214&lt;&gt;"",MAX(0,O214-M214),IF(AND($B$3&gt;M214,K214&lt;&gt;"Cerrado"),$B$3-M214,0)))</f>
        <v/>
      </c>
      <c r="T214" s="31">
        <f>IF(B214="","",IF(K214="Cerrado",IF(S214&gt;0,"Cerrado con atraso","Cerrado"),IF(S214&gt;0,"Atrasado",IF(AND(N214="",L214&lt;&gt;"",$B$3&gt;L214),"Inicio atrasado","En plazo"))))</f>
        <v/>
      </c>
      <c r="U214" s="26" t="n"/>
    </row>
    <row r="215">
      <c r="A215" s="24" t="n"/>
      <c r="B215" s="25" t="n"/>
      <c r="C215" s="25" t="n"/>
      <c r="D215" s="25" t="n"/>
      <c r="E215" s="26" t="n"/>
      <c r="F215" s="25" t="n"/>
      <c r="G215" s="25" t="n"/>
      <c r="H215" s="25" t="n"/>
      <c r="I215" s="25" t="n"/>
      <c r="J215" s="25" t="n"/>
      <c r="K215" s="25" t="n"/>
      <c r="L215" s="27" t="n"/>
      <c r="M215" s="27" t="n"/>
      <c r="N215" s="27" t="n"/>
      <c r="O215" s="27" t="n"/>
      <c r="P215" s="28" t="n"/>
      <c r="Q215" s="29" t="n"/>
      <c r="R215" s="30">
        <f>IF(B215="","",IF(C215="IWP",COUNTIFS(Restricciones!$D$6:$D$305,B215,Restricciones!$F$6:$F$305,"Abierta")+COUNTIFS(Restricciones!$D$6:$D$305,B215,Restricciones!$F$6:$F$305,"En gestión"),IF(C215="CWA",COUNTIFS(Restricciones!$C$6:$C$305,"CWP-"&amp;MID(B215,5,4)&amp;"-*",Restricciones!$F$6:$F$305,"Abierta")+COUNTIFS(Restricciones!$C$6:$C$305,"CWP-"&amp;MID(B215,5,4)&amp;"-*",Restricciones!$F$6:$F$305,"En gestión"),COUNTIFS(Restricciones!$C$6:$C$305,IF(C215="CWP",B215,H215),Restricciones!$F$6:$F$305,"Abierta")+COUNTIFS(Restricciones!$C$6:$C$305,IF(C215="CWP",B215,H215),Restricciones!$F$6:$F$305,"En gestión"))))</f>
        <v/>
      </c>
      <c r="S215" s="30">
        <f>IF(OR(B215="",M215=""),"",IF(O215&lt;&gt;"",MAX(0,O215-M215),IF(AND($B$3&gt;M215,K215&lt;&gt;"Cerrado"),$B$3-M215,0)))</f>
        <v/>
      </c>
      <c r="T215" s="31">
        <f>IF(B215="","",IF(K215="Cerrado",IF(S215&gt;0,"Cerrado con atraso","Cerrado"),IF(S215&gt;0,"Atrasado",IF(AND(N215="",L215&lt;&gt;"",$B$3&gt;L215),"Inicio atrasado","En plazo"))))</f>
        <v/>
      </c>
      <c r="U215" s="26" t="n"/>
    </row>
    <row r="216">
      <c r="A216" s="24" t="n"/>
      <c r="B216" s="25" t="n"/>
      <c r="C216" s="25" t="n"/>
      <c r="D216" s="25" t="n"/>
      <c r="E216" s="26" t="n"/>
      <c r="F216" s="25" t="n"/>
      <c r="G216" s="25" t="n"/>
      <c r="H216" s="25" t="n"/>
      <c r="I216" s="25" t="n"/>
      <c r="J216" s="25" t="n"/>
      <c r="K216" s="25" t="n"/>
      <c r="L216" s="27" t="n"/>
      <c r="M216" s="27" t="n"/>
      <c r="N216" s="27" t="n"/>
      <c r="O216" s="27" t="n"/>
      <c r="P216" s="28" t="n"/>
      <c r="Q216" s="29" t="n"/>
      <c r="R216" s="30">
        <f>IF(B216="","",IF(C216="IWP",COUNTIFS(Restricciones!$D$6:$D$305,B216,Restricciones!$F$6:$F$305,"Abierta")+COUNTIFS(Restricciones!$D$6:$D$305,B216,Restricciones!$F$6:$F$305,"En gestión"),IF(C216="CWA",COUNTIFS(Restricciones!$C$6:$C$305,"CWP-"&amp;MID(B216,5,4)&amp;"-*",Restricciones!$F$6:$F$305,"Abierta")+COUNTIFS(Restricciones!$C$6:$C$305,"CWP-"&amp;MID(B216,5,4)&amp;"-*",Restricciones!$F$6:$F$305,"En gestión"),COUNTIFS(Restricciones!$C$6:$C$305,IF(C216="CWP",B216,H216),Restricciones!$F$6:$F$305,"Abierta")+COUNTIFS(Restricciones!$C$6:$C$305,IF(C216="CWP",B216,H216),Restricciones!$F$6:$F$305,"En gestión"))))</f>
        <v/>
      </c>
      <c r="S216" s="30">
        <f>IF(OR(B216="",M216=""),"",IF(O216&lt;&gt;"",MAX(0,O216-M216),IF(AND($B$3&gt;M216,K216&lt;&gt;"Cerrado"),$B$3-M216,0)))</f>
        <v/>
      </c>
      <c r="T216" s="31">
        <f>IF(B216="","",IF(K216="Cerrado",IF(S216&gt;0,"Cerrado con atraso","Cerrado"),IF(S216&gt;0,"Atrasado",IF(AND(N216="",L216&lt;&gt;"",$B$3&gt;L216),"Inicio atrasado","En plazo"))))</f>
        <v/>
      </c>
      <c r="U216" s="26" t="n"/>
    </row>
    <row r="217">
      <c r="A217" s="24" t="n"/>
      <c r="B217" s="25" t="n"/>
      <c r="C217" s="25" t="n"/>
      <c r="D217" s="25" t="n"/>
      <c r="E217" s="26" t="n"/>
      <c r="F217" s="25" t="n"/>
      <c r="G217" s="25" t="n"/>
      <c r="H217" s="25" t="n"/>
      <c r="I217" s="25" t="n"/>
      <c r="J217" s="25" t="n"/>
      <c r="K217" s="25" t="n"/>
      <c r="L217" s="27" t="n"/>
      <c r="M217" s="27" t="n"/>
      <c r="N217" s="27" t="n"/>
      <c r="O217" s="27" t="n"/>
      <c r="P217" s="28" t="n"/>
      <c r="Q217" s="29" t="n"/>
      <c r="R217" s="30">
        <f>IF(B217="","",IF(C217="IWP",COUNTIFS(Restricciones!$D$6:$D$305,B217,Restricciones!$F$6:$F$305,"Abierta")+COUNTIFS(Restricciones!$D$6:$D$305,B217,Restricciones!$F$6:$F$305,"En gestión"),IF(C217="CWA",COUNTIFS(Restricciones!$C$6:$C$305,"CWP-"&amp;MID(B217,5,4)&amp;"-*",Restricciones!$F$6:$F$305,"Abierta")+COUNTIFS(Restricciones!$C$6:$C$305,"CWP-"&amp;MID(B217,5,4)&amp;"-*",Restricciones!$F$6:$F$305,"En gestión"),COUNTIFS(Restricciones!$C$6:$C$305,IF(C217="CWP",B217,H217),Restricciones!$F$6:$F$305,"Abierta")+COUNTIFS(Restricciones!$C$6:$C$305,IF(C217="CWP",B217,H217),Restricciones!$F$6:$F$305,"En gestión"))))</f>
        <v/>
      </c>
      <c r="S217" s="30">
        <f>IF(OR(B217="",M217=""),"",IF(O217&lt;&gt;"",MAX(0,O217-M217),IF(AND($B$3&gt;M217,K217&lt;&gt;"Cerrado"),$B$3-M217,0)))</f>
        <v/>
      </c>
      <c r="T217" s="31">
        <f>IF(B217="","",IF(K217="Cerrado",IF(S217&gt;0,"Cerrado con atraso","Cerrado"),IF(S217&gt;0,"Atrasado",IF(AND(N217="",L217&lt;&gt;"",$B$3&gt;L217),"Inicio atrasado","En plazo"))))</f>
        <v/>
      </c>
      <c r="U217" s="26" t="n"/>
    </row>
    <row r="218">
      <c r="A218" s="24" t="n"/>
      <c r="B218" s="25" t="n"/>
      <c r="C218" s="25" t="n"/>
      <c r="D218" s="25" t="n"/>
      <c r="E218" s="26" t="n"/>
      <c r="F218" s="25" t="n"/>
      <c r="G218" s="25" t="n"/>
      <c r="H218" s="25" t="n"/>
      <c r="I218" s="25" t="n"/>
      <c r="J218" s="25" t="n"/>
      <c r="K218" s="25" t="n"/>
      <c r="L218" s="27" t="n"/>
      <c r="M218" s="27" t="n"/>
      <c r="N218" s="27" t="n"/>
      <c r="O218" s="27" t="n"/>
      <c r="P218" s="28" t="n"/>
      <c r="Q218" s="29" t="n"/>
      <c r="R218" s="30">
        <f>IF(B218="","",IF(C218="IWP",COUNTIFS(Restricciones!$D$6:$D$305,B218,Restricciones!$F$6:$F$305,"Abierta")+COUNTIFS(Restricciones!$D$6:$D$305,B218,Restricciones!$F$6:$F$305,"En gestión"),IF(C218="CWA",COUNTIFS(Restricciones!$C$6:$C$305,"CWP-"&amp;MID(B218,5,4)&amp;"-*",Restricciones!$F$6:$F$305,"Abierta")+COUNTIFS(Restricciones!$C$6:$C$305,"CWP-"&amp;MID(B218,5,4)&amp;"-*",Restricciones!$F$6:$F$305,"En gestión"),COUNTIFS(Restricciones!$C$6:$C$305,IF(C218="CWP",B218,H218),Restricciones!$F$6:$F$305,"Abierta")+COUNTIFS(Restricciones!$C$6:$C$305,IF(C218="CWP",B218,H218),Restricciones!$F$6:$F$305,"En gestión"))))</f>
        <v/>
      </c>
      <c r="S218" s="30">
        <f>IF(OR(B218="",M218=""),"",IF(O218&lt;&gt;"",MAX(0,O218-M218),IF(AND($B$3&gt;M218,K218&lt;&gt;"Cerrado"),$B$3-M218,0)))</f>
        <v/>
      </c>
      <c r="T218" s="31">
        <f>IF(B218="","",IF(K218="Cerrado",IF(S218&gt;0,"Cerrado con atraso","Cerrado"),IF(S218&gt;0,"Atrasado",IF(AND(N218="",L218&lt;&gt;"",$B$3&gt;L218),"Inicio atrasado","En plazo"))))</f>
        <v/>
      </c>
      <c r="U218" s="26" t="n"/>
    </row>
    <row r="219">
      <c r="A219" s="24" t="n"/>
      <c r="B219" s="25" t="n"/>
      <c r="C219" s="25" t="n"/>
      <c r="D219" s="25" t="n"/>
      <c r="E219" s="26" t="n"/>
      <c r="F219" s="25" t="n"/>
      <c r="G219" s="25" t="n"/>
      <c r="H219" s="25" t="n"/>
      <c r="I219" s="25" t="n"/>
      <c r="J219" s="25" t="n"/>
      <c r="K219" s="25" t="n"/>
      <c r="L219" s="27" t="n"/>
      <c r="M219" s="27" t="n"/>
      <c r="N219" s="27" t="n"/>
      <c r="O219" s="27" t="n"/>
      <c r="P219" s="28" t="n"/>
      <c r="Q219" s="29" t="n"/>
      <c r="R219" s="30">
        <f>IF(B219="","",IF(C219="IWP",COUNTIFS(Restricciones!$D$6:$D$305,B219,Restricciones!$F$6:$F$305,"Abierta")+COUNTIFS(Restricciones!$D$6:$D$305,B219,Restricciones!$F$6:$F$305,"En gestión"),IF(C219="CWA",COUNTIFS(Restricciones!$C$6:$C$305,"CWP-"&amp;MID(B219,5,4)&amp;"-*",Restricciones!$F$6:$F$305,"Abierta")+COUNTIFS(Restricciones!$C$6:$C$305,"CWP-"&amp;MID(B219,5,4)&amp;"-*",Restricciones!$F$6:$F$305,"En gestión"),COUNTIFS(Restricciones!$C$6:$C$305,IF(C219="CWP",B219,H219),Restricciones!$F$6:$F$305,"Abierta")+COUNTIFS(Restricciones!$C$6:$C$305,IF(C219="CWP",B219,H219),Restricciones!$F$6:$F$305,"En gestión"))))</f>
        <v/>
      </c>
      <c r="S219" s="30">
        <f>IF(OR(B219="",M219=""),"",IF(O219&lt;&gt;"",MAX(0,O219-M219),IF(AND($B$3&gt;M219,K219&lt;&gt;"Cerrado"),$B$3-M219,0)))</f>
        <v/>
      </c>
      <c r="T219" s="31">
        <f>IF(B219="","",IF(K219="Cerrado",IF(S219&gt;0,"Cerrado con atraso","Cerrado"),IF(S219&gt;0,"Atrasado",IF(AND(N219="",L219&lt;&gt;"",$B$3&gt;L219),"Inicio atrasado","En plazo"))))</f>
        <v/>
      </c>
      <c r="U219" s="26" t="n"/>
    </row>
    <row r="220">
      <c r="A220" s="24" t="n"/>
      <c r="B220" s="25" t="n"/>
      <c r="C220" s="25" t="n"/>
      <c r="D220" s="25" t="n"/>
      <c r="E220" s="26" t="n"/>
      <c r="F220" s="25" t="n"/>
      <c r="G220" s="25" t="n"/>
      <c r="H220" s="25" t="n"/>
      <c r="I220" s="25" t="n"/>
      <c r="J220" s="25" t="n"/>
      <c r="K220" s="25" t="n"/>
      <c r="L220" s="27" t="n"/>
      <c r="M220" s="27" t="n"/>
      <c r="N220" s="27" t="n"/>
      <c r="O220" s="27" t="n"/>
      <c r="P220" s="28" t="n"/>
      <c r="Q220" s="29" t="n"/>
      <c r="R220" s="30">
        <f>IF(B220="","",IF(C220="IWP",COUNTIFS(Restricciones!$D$6:$D$305,B220,Restricciones!$F$6:$F$305,"Abierta")+COUNTIFS(Restricciones!$D$6:$D$305,B220,Restricciones!$F$6:$F$305,"En gestión"),IF(C220="CWA",COUNTIFS(Restricciones!$C$6:$C$305,"CWP-"&amp;MID(B220,5,4)&amp;"-*",Restricciones!$F$6:$F$305,"Abierta")+COUNTIFS(Restricciones!$C$6:$C$305,"CWP-"&amp;MID(B220,5,4)&amp;"-*",Restricciones!$F$6:$F$305,"En gestión"),COUNTIFS(Restricciones!$C$6:$C$305,IF(C220="CWP",B220,H220),Restricciones!$F$6:$F$305,"Abierta")+COUNTIFS(Restricciones!$C$6:$C$305,IF(C220="CWP",B220,H220),Restricciones!$F$6:$F$305,"En gestión"))))</f>
        <v/>
      </c>
      <c r="S220" s="30">
        <f>IF(OR(B220="",M220=""),"",IF(O220&lt;&gt;"",MAX(0,O220-M220),IF(AND($B$3&gt;M220,K220&lt;&gt;"Cerrado"),$B$3-M220,0)))</f>
        <v/>
      </c>
      <c r="T220" s="31">
        <f>IF(B220="","",IF(K220="Cerrado",IF(S220&gt;0,"Cerrado con atraso","Cerrado"),IF(S220&gt;0,"Atrasado",IF(AND(N220="",L220&lt;&gt;"",$B$3&gt;L220),"Inicio atrasado","En plazo"))))</f>
        <v/>
      </c>
      <c r="U220" s="26" t="n"/>
    </row>
    <row r="221">
      <c r="A221" s="24" t="n"/>
      <c r="B221" s="25" t="n"/>
      <c r="C221" s="25" t="n"/>
      <c r="D221" s="25" t="n"/>
      <c r="E221" s="26" t="n"/>
      <c r="F221" s="25" t="n"/>
      <c r="G221" s="25" t="n"/>
      <c r="H221" s="25" t="n"/>
      <c r="I221" s="25" t="n"/>
      <c r="J221" s="25" t="n"/>
      <c r="K221" s="25" t="n"/>
      <c r="L221" s="27" t="n"/>
      <c r="M221" s="27" t="n"/>
      <c r="N221" s="27" t="n"/>
      <c r="O221" s="27" t="n"/>
      <c r="P221" s="28" t="n"/>
      <c r="Q221" s="29" t="n"/>
      <c r="R221" s="30">
        <f>IF(B221="","",IF(C221="IWP",COUNTIFS(Restricciones!$D$6:$D$305,B221,Restricciones!$F$6:$F$305,"Abierta")+COUNTIFS(Restricciones!$D$6:$D$305,B221,Restricciones!$F$6:$F$305,"En gestión"),IF(C221="CWA",COUNTIFS(Restricciones!$C$6:$C$305,"CWP-"&amp;MID(B221,5,4)&amp;"-*",Restricciones!$F$6:$F$305,"Abierta")+COUNTIFS(Restricciones!$C$6:$C$305,"CWP-"&amp;MID(B221,5,4)&amp;"-*",Restricciones!$F$6:$F$305,"En gestión"),COUNTIFS(Restricciones!$C$6:$C$305,IF(C221="CWP",B221,H221),Restricciones!$F$6:$F$305,"Abierta")+COUNTIFS(Restricciones!$C$6:$C$305,IF(C221="CWP",B221,H221),Restricciones!$F$6:$F$305,"En gestión"))))</f>
        <v/>
      </c>
      <c r="S221" s="30">
        <f>IF(OR(B221="",M221=""),"",IF(O221&lt;&gt;"",MAX(0,O221-M221),IF(AND($B$3&gt;M221,K221&lt;&gt;"Cerrado"),$B$3-M221,0)))</f>
        <v/>
      </c>
      <c r="T221" s="31">
        <f>IF(B221="","",IF(K221="Cerrado",IF(S221&gt;0,"Cerrado con atraso","Cerrado"),IF(S221&gt;0,"Atrasado",IF(AND(N221="",L221&lt;&gt;"",$B$3&gt;L221),"Inicio atrasado","En plazo"))))</f>
        <v/>
      </c>
      <c r="U221" s="26" t="n"/>
    </row>
    <row r="222">
      <c r="A222" s="24" t="n"/>
      <c r="B222" s="25" t="n"/>
      <c r="C222" s="25" t="n"/>
      <c r="D222" s="25" t="n"/>
      <c r="E222" s="26" t="n"/>
      <c r="F222" s="25" t="n"/>
      <c r="G222" s="25" t="n"/>
      <c r="H222" s="25" t="n"/>
      <c r="I222" s="25" t="n"/>
      <c r="J222" s="25" t="n"/>
      <c r="K222" s="25" t="n"/>
      <c r="L222" s="27" t="n"/>
      <c r="M222" s="27" t="n"/>
      <c r="N222" s="27" t="n"/>
      <c r="O222" s="27" t="n"/>
      <c r="P222" s="28" t="n"/>
      <c r="Q222" s="29" t="n"/>
      <c r="R222" s="30">
        <f>IF(B222="","",IF(C222="IWP",COUNTIFS(Restricciones!$D$6:$D$305,B222,Restricciones!$F$6:$F$305,"Abierta")+COUNTIFS(Restricciones!$D$6:$D$305,B222,Restricciones!$F$6:$F$305,"En gestión"),IF(C222="CWA",COUNTIFS(Restricciones!$C$6:$C$305,"CWP-"&amp;MID(B222,5,4)&amp;"-*",Restricciones!$F$6:$F$305,"Abierta")+COUNTIFS(Restricciones!$C$6:$C$305,"CWP-"&amp;MID(B222,5,4)&amp;"-*",Restricciones!$F$6:$F$305,"En gestión"),COUNTIFS(Restricciones!$C$6:$C$305,IF(C222="CWP",B222,H222),Restricciones!$F$6:$F$305,"Abierta")+COUNTIFS(Restricciones!$C$6:$C$305,IF(C222="CWP",B222,H222),Restricciones!$F$6:$F$305,"En gestión"))))</f>
        <v/>
      </c>
      <c r="S222" s="30">
        <f>IF(OR(B222="",M222=""),"",IF(O222&lt;&gt;"",MAX(0,O222-M222),IF(AND($B$3&gt;M222,K222&lt;&gt;"Cerrado"),$B$3-M222,0)))</f>
        <v/>
      </c>
      <c r="T222" s="31">
        <f>IF(B222="","",IF(K222="Cerrado",IF(S222&gt;0,"Cerrado con atraso","Cerrado"),IF(S222&gt;0,"Atrasado",IF(AND(N222="",L222&lt;&gt;"",$B$3&gt;L222),"Inicio atrasado","En plazo"))))</f>
        <v/>
      </c>
      <c r="U222" s="26" t="n"/>
    </row>
    <row r="223">
      <c r="A223" s="24" t="n"/>
      <c r="B223" s="25" t="n"/>
      <c r="C223" s="25" t="n"/>
      <c r="D223" s="25" t="n"/>
      <c r="E223" s="26" t="n"/>
      <c r="F223" s="25" t="n"/>
      <c r="G223" s="25" t="n"/>
      <c r="H223" s="25" t="n"/>
      <c r="I223" s="25" t="n"/>
      <c r="J223" s="25" t="n"/>
      <c r="K223" s="25" t="n"/>
      <c r="L223" s="27" t="n"/>
      <c r="M223" s="27" t="n"/>
      <c r="N223" s="27" t="n"/>
      <c r="O223" s="27" t="n"/>
      <c r="P223" s="28" t="n"/>
      <c r="Q223" s="29" t="n"/>
      <c r="R223" s="30">
        <f>IF(B223="","",IF(C223="IWP",COUNTIFS(Restricciones!$D$6:$D$305,B223,Restricciones!$F$6:$F$305,"Abierta")+COUNTIFS(Restricciones!$D$6:$D$305,B223,Restricciones!$F$6:$F$305,"En gestión"),IF(C223="CWA",COUNTIFS(Restricciones!$C$6:$C$305,"CWP-"&amp;MID(B223,5,4)&amp;"-*",Restricciones!$F$6:$F$305,"Abierta")+COUNTIFS(Restricciones!$C$6:$C$305,"CWP-"&amp;MID(B223,5,4)&amp;"-*",Restricciones!$F$6:$F$305,"En gestión"),COUNTIFS(Restricciones!$C$6:$C$305,IF(C223="CWP",B223,H223),Restricciones!$F$6:$F$305,"Abierta")+COUNTIFS(Restricciones!$C$6:$C$305,IF(C223="CWP",B223,H223),Restricciones!$F$6:$F$305,"En gestión"))))</f>
        <v/>
      </c>
      <c r="S223" s="30">
        <f>IF(OR(B223="",M223=""),"",IF(O223&lt;&gt;"",MAX(0,O223-M223),IF(AND($B$3&gt;M223,K223&lt;&gt;"Cerrado"),$B$3-M223,0)))</f>
        <v/>
      </c>
      <c r="T223" s="31">
        <f>IF(B223="","",IF(K223="Cerrado",IF(S223&gt;0,"Cerrado con atraso","Cerrado"),IF(S223&gt;0,"Atrasado",IF(AND(N223="",L223&lt;&gt;"",$B$3&gt;L223),"Inicio atrasado","En plazo"))))</f>
        <v/>
      </c>
      <c r="U223" s="26" t="n"/>
    </row>
    <row r="224">
      <c r="A224" s="24" t="n"/>
      <c r="B224" s="25" t="n"/>
      <c r="C224" s="25" t="n"/>
      <c r="D224" s="25" t="n"/>
      <c r="E224" s="26" t="n"/>
      <c r="F224" s="25" t="n"/>
      <c r="G224" s="25" t="n"/>
      <c r="H224" s="25" t="n"/>
      <c r="I224" s="25" t="n"/>
      <c r="J224" s="25" t="n"/>
      <c r="K224" s="25" t="n"/>
      <c r="L224" s="27" t="n"/>
      <c r="M224" s="27" t="n"/>
      <c r="N224" s="27" t="n"/>
      <c r="O224" s="27" t="n"/>
      <c r="P224" s="28" t="n"/>
      <c r="Q224" s="29" t="n"/>
      <c r="R224" s="30">
        <f>IF(B224="","",IF(C224="IWP",COUNTIFS(Restricciones!$D$6:$D$305,B224,Restricciones!$F$6:$F$305,"Abierta")+COUNTIFS(Restricciones!$D$6:$D$305,B224,Restricciones!$F$6:$F$305,"En gestión"),IF(C224="CWA",COUNTIFS(Restricciones!$C$6:$C$305,"CWP-"&amp;MID(B224,5,4)&amp;"-*",Restricciones!$F$6:$F$305,"Abierta")+COUNTIFS(Restricciones!$C$6:$C$305,"CWP-"&amp;MID(B224,5,4)&amp;"-*",Restricciones!$F$6:$F$305,"En gestión"),COUNTIFS(Restricciones!$C$6:$C$305,IF(C224="CWP",B224,H224),Restricciones!$F$6:$F$305,"Abierta")+COUNTIFS(Restricciones!$C$6:$C$305,IF(C224="CWP",B224,H224),Restricciones!$F$6:$F$305,"En gestión"))))</f>
        <v/>
      </c>
      <c r="S224" s="30">
        <f>IF(OR(B224="",M224=""),"",IF(O224&lt;&gt;"",MAX(0,O224-M224),IF(AND($B$3&gt;M224,K224&lt;&gt;"Cerrado"),$B$3-M224,0)))</f>
        <v/>
      </c>
      <c r="T224" s="31">
        <f>IF(B224="","",IF(K224="Cerrado",IF(S224&gt;0,"Cerrado con atraso","Cerrado"),IF(S224&gt;0,"Atrasado",IF(AND(N224="",L224&lt;&gt;"",$B$3&gt;L224),"Inicio atrasado","En plazo"))))</f>
        <v/>
      </c>
      <c r="U224" s="26" t="n"/>
    </row>
    <row r="225">
      <c r="A225" s="24" t="n"/>
      <c r="B225" s="25" t="n"/>
      <c r="C225" s="25" t="n"/>
      <c r="D225" s="25" t="n"/>
      <c r="E225" s="26" t="n"/>
      <c r="F225" s="25" t="n"/>
      <c r="G225" s="25" t="n"/>
      <c r="H225" s="25" t="n"/>
      <c r="I225" s="25" t="n"/>
      <c r="J225" s="25" t="n"/>
      <c r="K225" s="25" t="n"/>
      <c r="L225" s="27" t="n"/>
      <c r="M225" s="27" t="n"/>
      <c r="N225" s="27" t="n"/>
      <c r="O225" s="27" t="n"/>
      <c r="P225" s="28" t="n"/>
      <c r="Q225" s="29" t="n"/>
      <c r="R225" s="30">
        <f>IF(B225="","",IF(C225="IWP",COUNTIFS(Restricciones!$D$6:$D$305,B225,Restricciones!$F$6:$F$305,"Abierta")+COUNTIFS(Restricciones!$D$6:$D$305,B225,Restricciones!$F$6:$F$305,"En gestión"),IF(C225="CWA",COUNTIFS(Restricciones!$C$6:$C$305,"CWP-"&amp;MID(B225,5,4)&amp;"-*",Restricciones!$F$6:$F$305,"Abierta")+COUNTIFS(Restricciones!$C$6:$C$305,"CWP-"&amp;MID(B225,5,4)&amp;"-*",Restricciones!$F$6:$F$305,"En gestión"),COUNTIFS(Restricciones!$C$6:$C$305,IF(C225="CWP",B225,H225),Restricciones!$F$6:$F$305,"Abierta")+COUNTIFS(Restricciones!$C$6:$C$305,IF(C225="CWP",B225,H225),Restricciones!$F$6:$F$305,"En gestión"))))</f>
        <v/>
      </c>
      <c r="S225" s="30">
        <f>IF(OR(B225="",M225=""),"",IF(O225&lt;&gt;"",MAX(0,O225-M225),IF(AND($B$3&gt;M225,K225&lt;&gt;"Cerrado"),$B$3-M225,0)))</f>
        <v/>
      </c>
      <c r="T225" s="31">
        <f>IF(B225="","",IF(K225="Cerrado",IF(S225&gt;0,"Cerrado con atraso","Cerrado"),IF(S225&gt;0,"Atrasado",IF(AND(N225="",L225&lt;&gt;"",$B$3&gt;L225),"Inicio atrasado","En plazo"))))</f>
        <v/>
      </c>
      <c r="U225" s="26" t="n"/>
    </row>
    <row r="226">
      <c r="A226" s="24" t="n"/>
      <c r="B226" s="25" t="n"/>
      <c r="C226" s="25" t="n"/>
      <c r="D226" s="25" t="n"/>
      <c r="E226" s="26" t="n"/>
      <c r="F226" s="25" t="n"/>
      <c r="G226" s="25" t="n"/>
      <c r="H226" s="25" t="n"/>
      <c r="I226" s="25" t="n"/>
      <c r="J226" s="25" t="n"/>
      <c r="K226" s="25" t="n"/>
      <c r="L226" s="27" t="n"/>
      <c r="M226" s="27" t="n"/>
      <c r="N226" s="27" t="n"/>
      <c r="O226" s="27" t="n"/>
      <c r="P226" s="28" t="n"/>
      <c r="Q226" s="29" t="n"/>
      <c r="R226" s="30">
        <f>IF(B226="","",IF(C226="IWP",COUNTIFS(Restricciones!$D$6:$D$305,B226,Restricciones!$F$6:$F$305,"Abierta")+COUNTIFS(Restricciones!$D$6:$D$305,B226,Restricciones!$F$6:$F$305,"En gestión"),IF(C226="CWA",COUNTIFS(Restricciones!$C$6:$C$305,"CWP-"&amp;MID(B226,5,4)&amp;"-*",Restricciones!$F$6:$F$305,"Abierta")+COUNTIFS(Restricciones!$C$6:$C$305,"CWP-"&amp;MID(B226,5,4)&amp;"-*",Restricciones!$F$6:$F$305,"En gestión"),COUNTIFS(Restricciones!$C$6:$C$305,IF(C226="CWP",B226,H226),Restricciones!$F$6:$F$305,"Abierta")+COUNTIFS(Restricciones!$C$6:$C$305,IF(C226="CWP",B226,H226),Restricciones!$F$6:$F$305,"En gestión"))))</f>
        <v/>
      </c>
      <c r="S226" s="30">
        <f>IF(OR(B226="",M226=""),"",IF(O226&lt;&gt;"",MAX(0,O226-M226),IF(AND($B$3&gt;M226,K226&lt;&gt;"Cerrado"),$B$3-M226,0)))</f>
        <v/>
      </c>
      <c r="T226" s="31">
        <f>IF(B226="","",IF(K226="Cerrado",IF(S226&gt;0,"Cerrado con atraso","Cerrado"),IF(S226&gt;0,"Atrasado",IF(AND(N226="",L226&lt;&gt;"",$B$3&gt;L226),"Inicio atrasado","En plazo"))))</f>
        <v/>
      </c>
      <c r="U226" s="26" t="n"/>
    </row>
    <row r="227">
      <c r="A227" s="24" t="n"/>
      <c r="B227" s="25" t="n"/>
      <c r="C227" s="25" t="n"/>
      <c r="D227" s="25" t="n"/>
      <c r="E227" s="26" t="n"/>
      <c r="F227" s="25" t="n"/>
      <c r="G227" s="25" t="n"/>
      <c r="H227" s="25" t="n"/>
      <c r="I227" s="25" t="n"/>
      <c r="J227" s="25" t="n"/>
      <c r="K227" s="25" t="n"/>
      <c r="L227" s="27" t="n"/>
      <c r="M227" s="27" t="n"/>
      <c r="N227" s="27" t="n"/>
      <c r="O227" s="27" t="n"/>
      <c r="P227" s="28" t="n"/>
      <c r="Q227" s="29" t="n"/>
      <c r="R227" s="30">
        <f>IF(B227="","",IF(C227="IWP",COUNTIFS(Restricciones!$D$6:$D$305,B227,Restricciones!$F$6:$F$305,"Abierta")+COUNTIFS(Restricciones!$D$6:$D$305,B227,Restricciones!$F$6:$F$305,"En gestión"),IF(C227="CWA",COUNTIFS(Restricciones!$C$6:$C$305,"CWP-"&amp;MID(B227,5,4)&amp;"-*",Restricciones!$F$6:$F$305,"Abierta")+COUNTIFS(Restricciones!$C$6:$C$305,"CWP-"&amp;MID(B227,5,4)&amp;"-*",Restricciones!$F$6:$F$305,"En gestión"),COUNTIFS(Restricciones!$C$6:$C$305,IF(C227="CWP",B227,H227),Restricciones!$F$6:$F$305,"Abierta")+COUNTIFS(Restricciones!$C$6:$C$305,IF(C227="CWP",B227,H227),Restricciones!$F$6:$F$305,"En gestión"))))</f>
        <v/>
      </c>
      <c r="S227" s="30">
        <f>IF(OR(B227="",M227=""),"",IF(O227&lt;&gt;"",MAX(0,O227-M227),IF(AND($B$3&gt;M227,K227&lt;&gt;"Cerrado"),$B$3-M227,0)))</f>
        <v/>
      </c>
      <c r="T227" s="31">
        <f>IF(B227="","",IF(K227="Cerrado",IF(S227&gt;0,"Cerrado con atraso","Cerrado"),IF(S227&gt;0,"Atrasado",IF(AND(N227="",L227&lt;&gt;"",$B$3&gt;L227),"Inicio atrasado","En plazo"))))</f>
        <v/>
      </c>
      <c r="U227" s="26" t="n"/>
    </row>
    <row r="228">
      <c r="A228" s="24" t="n"/>
      <c r="B228" s="25" t="n"/>
      <c r="C228" s="25" t="n"/>
      <c r="D228" s="25" t="n"/>
      <c r="E228" s="26" t="n"/>
      <c r="F228" s="25" t="n"/>
      <c r="G228" s="25" t="n"/>
      <c r="H228" s="25" t="n"/>
      <c r="I228" s="25" t="n"/>
      <c r="J228" s="25" t="n"/>
      <c r="K228" s="25" t="n"/>
      <c r="L228" s="27" t="n"/>
      <c r="M228" s="27" t="n"/>
      <c r="N228" s="27" t="n"/>
      <c r="O228" s="27" t="n"/>
      <c r="P228" s="28" t="n"/>
      <c r="Q228" s="29" t="n"/>
      <c r="R228" s="30">
        <f>IF(B228="","",IF(C228="IWP",COUNTIFS(Restricciones!$D$6:$D$305,B228,Restricciones!$F$6:$F$305,"Abierta")+COUNTIFS(Restricciones!$D$6:$D$305,B228,Restricciones!$F$6:$F$305,"En gestión"),IF(C228="CWA",COUNTIFS(Restricciones!$C$6:$C$305,"CWP-"&amp;MID(B228,5,4)&amp;"-*",Restricciones!$F$6:$F$305,"Abierta")+COUNTIFS(Restricciones!$C$6:$C$305,"CWP-"&amp;MID(B228,5,4)&amp;"-*",Restricciones!$F$6:$F$305,"En gestión"),COUNTIFS(Restricciones!$C$6:$C$305,IF(C228="CWP",B228,H228),Restricciones!$F$6:$F$305,"Abierta")+COUNTIFS(Restricciones!$C$6:$C$305,IF(C228="CWP",B228,H228),Restricciones!$F$6:$F$305,"En gestión"))))</f>
        <v/>
      </c>
      <c r="S228" s="30">
        <f>IF(OR(B228="",M228=""),"",IF(O228&lt;&gt;"",MAX(0,O228-M228),IF(AND($B$3&gt;M228,K228&lt;&gt;"Cerrado"),$B$3-M228,0)))</f>
        <v/>
      </c>
      <c r="T228" s="31">
        <f>IF(B228="","",IF(K228="Cerrado",IF(S228&gt;0,"Cerrado con atraso","Cerrado"),IF(S228&gt;0,"Atrasado",IF(AND(N228="",L228&lt;&gt;"",$B$3&gt;L228),"Inicio atrasado","En plazo"))))</f>
        <v/>
      </c>
      <c r="U228" s="26" t="n"/>
    </row>
    <row r="229">
      <c r="A229" s="24" t="n"/>
      <c r="B229" s="25" t="n"/>
      <c r="C229" s="25" t="n"/>
      <c r="D229" s="25" t="n"/>
      <c r="E229" s="26" t="n"/>
      <c r="F229" s="25" t="n"/>
      <c r="G229" s="25" t="n"/>
      <c r="H229" s="25" t="n"/>
      <c r="I229" s="25" t="n"/>
      <c r="J229" s="25" t="n"/>
      <c r="K229" s="25" t="n"/>
      <c r="L229" s="27" t="n"/>
      <c r="M229" s="27" t="n"/>
      <c r="N229" s="27" t="n"/>
      <c r="O229" s="27" t="n"/>
      <c r="P229" s="28" t="n"/>
      <c r="Q229" s="29" t="n"/>
      <c r="R229" s="30">
        <f>IF(B229="","",IF(C229="IWP",COUNTIFS(Restricciones!$D$6:$D$305,B229,Restricciones!$F$6:$F$305,"Abierta")+COUNTIFS(Restricciones!$D$6:$D$305,B229,Restricciones!$F$6:$F$305,"En gestión"),IF(C229="CWA",COUNTIFS(Restricciones!$C$6:$C$305,"CWP-"&amp;MID(B229,5,4)&amp;"-*",Restricciones!$F$6:$F$305,"Abierta")+COUNTIFS(Restricciones!$C$6:$C$305,"CWP-"&amp;MID(B229,5,4)&amp;"-*",Restricciones!$F$6:$F$305,"En gestión"),COUNTIFS(Restricciones!$C$6:$C$305,IF(C229="CWP",B229,H229),Restricciones!$F$6:$F$305,"Abierta")+COUNTIFS(Restricciones!$C$6:$C$305,IF(C229="CWP",B229,H229),Restricciones!$F$6:$F$305,"En gestión"))))</f>
        <v/>
      </c>
      <c r="S229" s="30">
        <f>IF(OR(B229="",M229=""),"",IF(O229&lt;&gt;"",MAX(0,O229-M229),IF(AND($B$3&gt;M229,K229&lt;&gt;"Cerrado"),$B$3-M229,0)))</f>
        <v/>
      </c>
      <c r="T229" s="31">
        <f>IF(B229="","",IF(K229="Cerrado",IF(S229&gt;0,"Cerrado con atraso","Cerrado"),IF(S229&gt;0,"Atrasado",IF(AND(N229="",L229&lt;&gt;"",$B$3&gt;L229),"Inicio atrasado","En plazo"))))</f>
        <v/>
      </c>
      <c r="U229" s="26" t="n"/>
    </row>
    <row r="230">
      <c r="A230" s="24" t="n"/>
      <c r="B230" s="25" t="n"/>
      <c r="C230" s="25" t="n"/>
      <c r="D230" s="25" t="n"/>
      <c r="E230" s="26" t="n"/>
      <c r="F230" s="25" t="n"/>
      <c r="G230" s="25" t="n"/>
      <c r="H230" s="25" t="n"/>
      <c r="I230" s="25" t="n"/>
      <c r="J230" s="25" t="n"/>
      <c r="K230" s="25" t="n"/>
      <c r="L230" s="27" t="n"/>
      <c r="M230" s="27" t="n"/>
      <c r="N230" s="27" t="n"/>
      <c r="O230" s="27" t="n"/>
      <c r="P230" s="28" t="n"/>
      <c r="Q230" s="29" t="n"/>
      <c r="R230" s="30">
        <f>IF(B230="","",IF(C230="IWP",COUNTIFS(Restricciones!$D$6:$D$305,B230,Restricciones!$F$6:$F$305,"Abierta")+COUNTIFS(Restricciones!$D$6:$D$305,B230,Restricciones!$F$6:$F$305,"En gestión"),IF(C230="CWA",COUNTIFS(Restricciones!$C$6:$C$305,"CWP-"&amp;MID(B230,5,4)&amp;"-*",Restricciones!$F$6:$F$305,"Abierta")+COUNTIFS(Restricciones!$C$6:$C$305,"CWP-"&amp;MID(B230,5,4)&amp;"-*",Restricciones!$F$6:$F$305,"En gestión"),COUNTIFS(Restricciones!$C$6:$C$305,IF(C230="CWP",B230,H230),Restricciones!$F$6:$F$305,"Abierta")+COUNTIFS(Restricciones!$C$6:$C$305,IF(C230="CWP",B230,H230),Restricciones!$F$6:$F$305,"En gestión"))))</f>
        <v/>
      </c>
      <c r="S230" s="30">
        <f>IF(OR(B230="",M230=""),"",IF(O230&lt;&gt;"",MAX(0,O230-M230),IF(AND($B$3&gt;M230,K230&lt;&gt;"Cerrado"),$B$3-M230,0)))</f>
        <v/>
      </c>
      <c r="T230" s="31">
        <f>IF(B230="","",IF(K230="Cerrado",IF(S230&gt;0,"Cerrado con atraso","Cerrado"),IF(S230&gt;0,"Atrasado",IF(AND(N230="",L230&lt;&gt;"",$B$3&gt;L230),"Inicio atrasado","En plazo"))))</f>
        <v/>
      </c>
      <c r="U230" s="26" t="n"/>
    </row>
    <row r="231">
      <c r="A231" s="24" t="n"/>
      <c r="B231" s="25" t="n"/>
      <c r="C231" s="25" t="n"/>
      <c r="D231" s="25" t="n"/>
      <c r="E231" s="26" t="n"/>
      <c r="F231" s="25" t="n"/>
      <c r="G231" s="25" t="n"/>
      <c r="H231" s="25" t="n"/>
      <c r="I231" s="25" t="n"/>
      <c r="J231" s="25" t="n"/>
      <c r="K231" s="25" t="n"/>
      <c r="L231" s="27" t="n"/>
      <c r="M231" s="27" t="n"/>
      <c r="N231" s="27" t="n"/>
      <c r="O231" s="27" t="n"/>
      <c r="P231" s="28" t="n"/>
      <c r="Q231" s="29" t="n"/>
      <c r="R231" s="30">
        <f>IF(B231="","",IF(C231="IWP",COUNTIFS(Restricciones!$D$6:$D$305,B231,Restricciones!$F$6:$F$305,"Abierta")+COUNTIFS(Restricciones!$D$6:$D$305,B231,Restricciones!$F$6:$F$305,"En gestión"),IF(C231="CWA",COUNTIFS(Restricciones!$C$6:$C$305,"CWP-"&amp;MID(B231,5,4)&amp;"-*",Restricciones!$F$6:$F$305,"Abierta")+COUNTIFS(Restricciones!$C$6:$C$305,"CWP-"&amp;MID(B231,5,4)&amp;"-*",Restricciones!$F$6:$F$305,"En gestión"),COUNTIFS(Restricciones!$C$6:$C$305,IF(C231="CWP",B231,H231),Restricciones!$F$6:$F$305,"Abierta")+COUNTIFS(Restricciones!$C$6:$C$305,IF(C231="CWP",B231,H231),Restricciones!$F$6:$F$305,"En gestión"))))</f>
        <v/>
      </c>
      <c r="S231" s="30">
        <f>IF(OR(B231="",M231=""),"",IF(O231&lt;&gt;"",MAX(0,O231-M231),IF(AND($B$3&gt;M231,K231&lt;&gt;"Cerrado"),$B$3-M231,0)))</f>
        <v/>
      </c>
      <c r="T231" s="31">
        <f>IF(B231="","",IF(K231="Cerrado",IF(S231&gt;0,"Cerrado con atraso","Cerrado"),IF(S231&gt;0,"Atrasado",IF(AND(N231="",L231&lt;&gt;"",$B$3&gt;L231),"Inicio atrasado","En plazo"))))</f>
        <v/>
      </c>
      <c r="U231" s="26" t="n"/>
    </row>
    <row r="232">
      <c r="A232" s="24" t="n"/>
      <c r="B232" s="25" t="n"/>
      <c r="C232" s="25" t="n"/>
      <c r="D232" s="25" t="n"/>
      <c r="E232" s="26" t="n"/>
      <c r="F232" s="25" t="n"/>
      <c r="G232" s="25" t="n"/>
      <c r="H232" s="25" t="n"/>
      <c r="I232" s="25" t="n"/>
      <c r="J232" s="25" t="n"/>
      <c r="K232" s="25" t="n"/>
      <c r="L232" s="27" t="n"/>
      <c r="M232" s="27" t="n"/>
      <c r="N232" s="27" t="n"/>
      <c r="O232" s="27" t="n"/>
      <c r="P232" s="28" t="n"/>
      <c r="Q232" s="29" t="n"/>
      <c r="R232" s="30">
        <f>IF(B232="","",IF(C232="IWP",COUNTIFS(Restricciones!$D$6:$D$305,B232,Restricciones!$F$6:$F$305,"Abierta")+COUNTIFS(Restricciones!$D$6:$D$305,B232,Restricciones!$F$6:$F$305,"En gestión"),IF(C232="CWA",COUNTIFS(Restricciones!$C$6:$C$305,"CWP-"&amp;MID(B232,5,4)&amp;"-*",Restricciones!$F$6:$F$305,"Abierta")+COUNTIFS(Restricciones!$C$6:$C$305,"CWP-"&amp;MID(B232,5,4)&amp;"-*",Restricciones!$F$6:$F$305,"En gestión"),COUNTIFS(Restricciones!$C$6:$C$305,IF(C232="CWP",B232,H232),Restricciones!$F$6:$F$305,"Abierta")+COUNTIFS(Restricciones!$C$6:$C$305,IF(C232="CWP",B232,H232),Restricciones!$F$6:$F$305,"En gestión"))))</f>
        <v/>
      </c>
      <c r="S232" s="30">
        <f>IF(OR(B232="",M232=""),"",IF(O232&lt;&gt;"",MAX(0,O232-M232),IF(AND($B$3&gt;M232,K232&lt;&gt;"Cerrado"),$B$3-M232,0)))</f>
        <v/>
      </c>
      <c r="T232" s="31">
        <f>IF(B232="","",IF(K232="Cerrado",IF(S232&gt;0,"Cerrado con atraso","Cerrado"),IF(S232&gt;0,"Atrasado",IF(AND(N232="",L232&lt;&gt;"",$B$3&gt;L232),"Inicio atrasado","En plazo"))))</f>
        <v/>
      </c>
      <c r="U232" s="26" t="n"/>
    </row>
    <row r="233">
      <c r="A233" s="24" t="n"/>
      <c r="B233" s="25" t="n"/>
      <c r="C233" s="25" t="n"/>
      <c r="D233" s="25" t="n"/>
      <c r="E233" s="26" t="n"/>
      <c r="F233" s="25" t="n"/>
      <c r="G233" s="25" t="n"/>
      <c r="H233" s="25" t="n"/>
      <c r="I233" s="25" t="n"/>
      <c r="J233" s="25" t="n"/>
      <c r="K233" s="25" t="n"/>
      <c r="L233" s="27" t="n"/>
      <c r="M233" s="27" t="n"/>
      <c r="N233" s="27" t="n"/>
      <c r="O233" s="27" t="n"/>
      <c r="P233" s="28" t="n"/>
      <c r="Q233" s="29" t="n"/>
      <c r="R233" s="30">
        <f>IF(B233="","",IF(C233="IWP",COUNTIFS(Restricciones!$D$6:$D$305,B233,Restricciones!$F$6:$F$305,"Abierta")+COUNTIFS(Restricciones!$D$6:$D$305,B233,Restricciones!$F$6:$F$305,"En gestión"),IF(C233="CWA",COUNTIFS(Restricciones!$C$6:$C$305,"CWP-"&amp;MID(B233,5,4)&amp;"-*",Restricciones!$F$6:$F$305,"Abierta")+COUNTIFS(Restricciones!$C$6:$C$305,"CWP-"&amp;MID(B233,5,4)&amp;"-*",Restricciones!$F$6:$F$305,"En gestión"),COUNTIFS(Restricciones!$C$6:$C$305,IF(C233="CWP",B233,H233),Restricciones!$F$6:$F$305,"Abierta")+COUNTIFS(Restricciones!$C$6:$C$305,IF(C233="CWP",B233,H233),Restricciones!$F$6:$F$305,"En gestión"))))</f>
        <v/>
      </c>
      <c r="S233" s="30">
        <f>IF(OR(B233="",M233=""),"",IF(O233&lt;&gt;"",MAX(0,O233-M233),IF(AND($B$3&gt;M233,K233&lt;&gt;"Cerrado"),$B$3-M233,0)))</f>
        <v/>
      </c>
      <c r="T233" s="31">
        <f>IF(B233="","",IF(K233="Cerrado",IF(S233&gt;0,"Cerrado con atraso","Cerrado"),IF(S233&gt;0,"Atrasado",IF(AND(N233="",L233&lt;&gt;"",$B$3&gt;L233),"Inicio atrasado","En plazo"))))</f>
        <v/>
      </c>
      <c r="U233" s="26" t="n"/>
    </row>
    <row r="234">
      <c r="A234" s="24" t="n"/>
      <c r="B234" s="25" t="n"/>
      <c r="C234" s="25" t="n"/>
      <c r="D234" s="25" t="n"/>
      <c r="E234" s="26" t="n"/>
      <c r="F234" s="25" t="n"/>
      <c r="G234" s="25" t="n"/>
      <c r="H234" s="25" t="n"/>
      <c r="I234" s="25" t="n"/>
      <c r="J234" s="25" t="n"/>
      <c r="K234" s="25" t="n"/>
      <c r="L234" s="27" t="n"/>
      <c r="M234" s="27" t="n"/>
      <c r="N234" s="27" t="n"/>
      <c r="O234" s="27" t="n"/>
      <c r="P234" s="28" t="n"/>
      <c r="Q234" s="29" t="n"/>
      <c r="R234" s="30">
        <f>IF(B234="","",IF(C234="IWP",COUNTIFS(Restricciones!$D$6:$D$305,B234,Restricciones!$F$6:$F$305,"Abierta")+COUNTIFS(Restricciones!$D$6:$D$305,B234,Restricciones!$F$6:$F$305,"En gestión"),IF(C234="CWA",COUNTIFS(Restricciones!$C$6:$C$305,"CWP-"&amp;MID(B234,5,4)&amp;"-*",Restricciones!$F$6:$F$305,"Abierta")+COUNTIFS(Restricciones!$C$6:$C$305,"CWP-"&amp;MID(B234,5,4)&amp;"-*",Restricciones!$F$6:$F$305,"En gestión"),COUNTIFS(Restricciones!$C$6:$C$305,IF(C234="CWP",B234,H234),Restricciones!$F$6:$F$305,"Abierta")+COUNTIFS(Restricciones!$C$6:$C$305,IF(C234="CWP",B234,H234),Restricciones!$F$6:$F$305,"En gestión"))))</f>
        <v/>
      </c>
      <c r="S234" s="30">
        <f>IF(OR(B234="",M234=""),"",IF(O234&lt;&gt;"",MAX(0,O234-M234),IF(AND($B$3&gt;M234,K234&lt;&gt;"Cerrado"),$B$3-M234,0)))</f>
        <v/>
      </c>
      <c r="T234" s="31">
        <f>IF(B234="","",IF(K234="Cerrado",IF(S234&gt;0,"Cerrado con atraso","Cerrado"),IF(S234&gt;0,"Atrasado",IF(AND(N234="",L234&lt;&gt;"",$B$3&gt;L234),"Inicio atrasado","En plazo"))))</f>
        <v/>
      </c>
      <c r="U234" s="26" t="n"/>
    </row>
    <row r="235">
      <c r="A235" s="24" t="n"/>
      <c r="B235" s="25" t="n"/>
      <c r="C235" s="25" t="n"/>
      <c r="D235" s="25" t="n"/>
      <c r="E235" s="26" t="n"/>
      <c r="F235" s="25" t="n"/>
      <c r="G235" s="25" t="n"/>
      <c r="H235" s="25" t="n"/>
      <c r="I235" s="25" t="n"/>
      <c r="J235" s="25" t="n"/>
      <c r="K235" s="25" t="n"/>
      <c r="L235" s="27" t="n"/>
      <c r="M235" s="27" t="n"/>
      <c r="N235" s="27" t="n"/>
      <c r="O235" s="27" t="n"/>
      <c r="P235" s="28" t="n"/>
      <c r="Q235" s="29" t="n"/>
      <c r="R235" s="30">
        <f>IF(B235="","",IF(C235="IWP",COUNTIFS(Restricciones!$D$6:$D$305,B235,Restricciones!$F$6:$F$305,"Abierta")+COUNTIFS(Restricciones!$D$6:$D$305,B235,Restricciones!$F$6:$F$305,"En gestión"),IF(C235="CWA",COUNTIFS(Restricciones!$C$6:$C$305,"CWP-"&amp;MID(B235,5,4)&amp;"-*",Restricciones!$F$6:$F$305,"Abierta")+COUNTIFS(Restricciones!$C$6:$C$305,"CWP-"&amp;MID(B235,5,4)&amp;"-*",Restricciones!$F$6:$F$305,"En gestión"),COUNTIFS(Restricciones!$C$6:$C$305,IF(C235="CWP",B235,H235),Restricciones!$F$6:$F$305,"Abierta")+COUNTIFS(Restricciones!$C$6:$C$305,IF(C235="CWP",B235,H235),Restricciones!$F$6:$F$305,"En gestión"))))</f>
        <v/>
      </c>
      <c r="S235" s="30">
        <f>IF(OR(B235="",M235=""),"",IF(O235&lt;&gt;"",MAX(0,O235-M235),IF(AND($B$3&gt;M235,K235&lt;&gt;"Cerrado"),$B$3-M235,0)))</f>
        <v/>
      </c>
      <c r="T235" s="31">
        <f>IF(B235="","",IF(K235="Cerrado",IF(S235&gt;0,"Cerrado con atraso","Cerrado"),IF(S235&gt;0,"Atrasado",IF(AND(N235="",L235&lt;&gt;"",$B$3&gt;L235),"Inicio atrasado","En plazo"))))</f>
        <v/>
      </c>
      <c r="U235" s="26" t="n"/>
    </row>
    <row r="236">
      <c r="A236" s="24" t="n"/>
      <c r="B236" s="25" t="n"/>
      <c r="C236" s="25" t="n"/>
      <c r="D236" s="25" t="n"/>
      <c r="E236" s="26" t="n"/>
      <c r="F236" s="25" t="n"/>
      <c r="G236" s="25" t="n"/>
      <c r="H236" s="25" t="n"/>
      <c r="I236" s="25" t="n"/>
      <c r="J236" s="25" t="n"/>
      <c r="K236" s="25" t="n"/>
      <c r="L236" s="27" t="n"/>
      <c r="M236" s="27" t="n"/>
      <c r="N236" s="27" t="n"/>
      <c r="O236" s="27" t="n"/>
      <c r="P236" s="28" t="n"/>
      <c r="Q236" s="29" t="n"/>
      <c r="R236" s="30">
        <f>IF(B236="","",IF(C236="IWP",COUNTIFS(Restricciones!$D$6:$D$305,B236,Restricciones!$F$6:$F$305,"Abierta")+COUNTIFS(Restricciones!$D$6:$D$305,B236,Restricciones!$F$6:$F$305,"En gestión"),IF(C236="CWA",COUNTIFS(Restricciones!$C$6:$C$305,"CWP-"&amp;MID(B236,5,4)&amp;"-*",Restricciones!$F$6:$F$305,"Abierta")+COUNTIFS(Restricciones!$C$6:$C$305,"CWP-"&amp;MID(B236,5,4)&amp;"-*",Restricciones!$F$6:$F$305,"En gestión"),COUNTIFS(Restricciones!$C$6:$C$305,IF(C236="CWP",B236,H236),Restricciones!$F$6:$F$305,"Abierta")+COUNTIFS(Restricciones!$C$6:$C$305,IF(C236="CWP",B236,H236),Restricciones!$F$6:$F$305,"En gestión"))))</f>
        <v/>
      </c>
      <c r="S236" s="30">
        <f>IF(OR(B236="",M236=""),"",IF(O236&lt;&gt;"",MAX(0,O236-M236),IF(AND($B$3&gt;M236,K236&lt;&gt;"Cerrado"),$B$3-M236,0)))</f>
        <v/>
      </c>
      <c r="T236" s="31">
        <f>IF(B236="","",IF(K236="Cerrado",IF(S236&gt;0,"Cerrado con atraso","Cerrado"),IF(S236&gt;0,"Atrasado",IF(AND(N236="",L236&lt;&gt;"",$B$3&gt;L236),"Inicio atrasado","En plazo"))))</f>
        <v/>
      </c>
      <c r="U236" s="26" t="n"/>
    </row>
    <row r="237">
      <c r="A237" s="24" t="n"/>
      <c r="B237" s="25" t="n"/>
      <c r="C237" s="25" t="n"/>
      <c r="D237" s="25" t="n"/>
      <c r="E237" s="26" t="n"/>
      <c r="F237" s="25" t="n"/>
      <c r="G237" s="25" t="n"/>
      <c r="H237" s="25" t="n"/>
      <c r="I237" s="25" t="n"/>
      <c r="J237" s="25" t="n"/>
      <c r="K237" s="25" t="n"/>
      <c r="L237" s="27" t="n"/>
      <c r="M237" s="27" t="n"/>
      <c r="N237" s="27" t="n"/>
      <c r="O237" s="27" t="n"/>
      <c r="P237" s="28" t="n"/>
      <c r="Q237" s="29" t="n"/>
      <c r="R237" s="30">
        <f>IF(B237="","",IF(C237="IWP",COUNTIFS(Restricciones!$D$6:$D$305,B237,Restricciones!$F$6:$F$305,"Abierta")+COUNTIFS(Restricciones!$D$6:$D$305,B237,Restricciones!$F$6:$F$305,"En gestión"),IF(C237="CWA",COUNTIFS(Restricciones!$C$6:$C$305,"CWP-"&amp;MID(B237,5,4)&amp;"-*",Restricciones!$F$6:$F$305,"Abierta")+COUNTIFS(Restricciones!$C$6:$C$305,"CWP-"&amp;MID(B237,5,4)&amp;"-*",Restricciones!$F$6:$F$305,"En gestión"),COUNTIFS(Restricciones!$C$6:$C$305,IF(C237="CWP",B237,H237),Restricciones!$F$6:$F$305,"Abierta")+COUNTIFS(Restricciones!$C$6:$C$305,IF(C237="CWP",B237,H237),Restricciones!$F$6:$F$305,"En gestión"))))</f>
        <v/>
      </c>
      <c r="S237" s="30">
        <f>IF(OR(B237="",M237=""),"",IF(O237&lt;&gt;"",MAX(0,O237-M237),IF(AND($B$3&gt;M237,K237&lt;&gt;"Cerrado"),$B$3-M237,0)))</f>
        <v/>
      </c>
      <c r="T237" s="31">
        <f>IF(B237="","",IF(K237="Cerrado",IF(S237&gt;0,"Cerrado con atraso","Cerrado"),IF(S237&gt;0,"Atrasado",IF(AND(N237="",L237&lt;&gt;"",$B$3&gt;L237),"Inicio atrasado","En plazo"))))</f>
        <v/>
      </c>
      <c r="U237" s="26" t="n"/>
    </row>
    <row r="238">
      <c r="A238" s="24" t="n"/>
      <c r="B238" s="25" t="n"/>
      <c r="C238" s="25" t="n"/>
      <c r="D238" s="25" t="n"/>
      <c r="E238" s="26" t="n"/>
      <c r="F238" s="25" t="n"/>
      <c r="G238" s="25" t="n"/>
      <c r="H238" s="25" t="n"/>
      <c r="I238" s="25" t="n"/>
      <c r="J238" s="25" t="n"/>
      <c r="K238" s="25" t="n"/>
      <c r="L238" s="27" t="n"/>
      <c r="M238" s="27" t="n"/>
      <c r="N238" s="27" t="n"/>
      <c r="O238" s="27" t="n"/>
      <c r="P238" s="28" t="n"/>
      <c r="Q238" s="29" t="n"/>
      <c r="R238" s="30">
        <f>IF(B238="","",IF(C238="IWP",COUNTIFS(Restricciones!$D$6:$D$305,B238,Restricciones!$F$6:$F$305,"Abierta")+COUNTIFS(Restricciones!$D$6:$D$305,B238,Restricciones!$F$6:$F$305,"En gestión"),IF(C238="CWA",COUNTIFS(Restricciones!$C$6:$C$305,"CWP-"&amp;MID(B238,5,4)&amp;"-*",Restricciones!$F$6:$F$305,"Abierta")+COUNTIFS(Restricciones!$C$6:$C$305,"CWP-"&amp;MID(B238,5,4)&amp;"-*",Restricciones!$F$6:$F$305,"En gestión"),COUNTIFS(Restricciones!$C$6:$C$305,IF(C238="CWP",B238,H238),Restricciones!$F$6:$F$305,"Abierta")+COUNTIFS(Restricciones!$C$6:$C$305,IF(C238="CWP",B238,H238),Restricciones!$F$6:$F$305,"En gestión"))))</f>
        <v/>
      </c>
      <c r="S238" s="30">
        <f>IF(OR(B238="",M238=""),"",IF(O238&lt;&gt;"",MAX(0,O238-M238),IF(AND($B$3&gt;M238,K238&lt;&gt;"Cerrado"),$B$3-M238,0)))</f>
        <v/>
      </c>
      <c r="T238" s="31">
        <f>IF(B238="","",IF(K238="Cerrado",IF(S238&gt;0,"Cerrado con atraso","Cerrado"),IF(S238&gt;0,"Atrasado",IF(AND(N238="",L238&lt;&gt;"",$B$3&gt;L238),"Inicio atrasado","En plazo"))))</f>
        <v/>
      </c>
      <c r="U238" s="26" t="n"/>
    </row>
    <row r="239">
      <c r="A239" s="24" t="n"/>
      <c r="B239" s="25" t="n"/>
      <c r="C239" s="25" t="n"/>
      <c r="D239" s="25" t="n"/>
      <c r="E239" s="26" t="n"/>
      <c r="F239" s="25" t="n"/>
      <c r="G239" s="25" t="n"/>
      <c r="H239" s="25" t="n"/>
      <c r="I239" s="25" t="n"/>
      <c r="J239" s="25" t="n"/>
      <c r="K239" s="25" t="n"/>
      <c r="L239" s="27" t="n"/>
      <c r="M239" s="27" t="n"/>
      <c r="N239" s="27" t="n"/>
      <c r="O239" s="27" t="n"/>
      <c r="P239" s="28" t="n"/>
      <c r="Q239" s="29" t="n"/>
      <c r="R239" s="30">
        <f>IF(B239="","",IF(C239="IWP",COUNTIFS(Restricciones!$D$6:$D$305,B239,Restricciones!$F$6:$F$305,"Abierta")+COUNTIFS(Restricciones!$D$6:$D$305,B239,Restricciones!$F$6:$F$305,"En gestión"),IF(C239="CWA",COUNTIFS(Restricciones!$C$6:$C$305,"CWP-"&amp;MID(B239,5,4)&amp;"-*",Restricciones!$F$6:$F$305,"Abierta")+COUNTIFS(Restricciones!$C$6:$C$305,"CWP-"&amp;MID(B239,5,4)&amp;"-*",Restricciones!$F$6:$F$305,"En gestión"),COUNTIFS(Restricciones!$C$6:$C$305,IF(C239="CWP",B239,H239),Restricciones!$F$6:$F$305,"Abierta")+COUNTIFS(Restricciones!$C$6:$C$305,IF(C239="CWP",B239,H239),Restricciones!$F$6:$F$305,"En gestión"))))</f>
        <v/>
      </c>
      <c r="S239" s="30">
        <f>IF(OR(B239="",M239=""),"",IF(O239&lt;&gt;"",MAX(0,O239-M239),IF(AND($B$3&gt;M239,K239&lt;&gt;"Cerrado"),$B$3-M239,0)))</f>
        <v/>
      </c>
      <c r="T239" s="31">
        <f>IF(B239="","",IF(K239="Cerrado",IF(S239&gt;0,"Cerrado con atraso","Cerrado"),IF(S239&gt;0,"Atrasado",IF(AND(N239="",L239&lt;&gt;"",$B$3&gt;L239),"Inicio atrasado","En plazo"))))</f>
        <v/>
      </c>
      <c r="U239" s="26" t="n"/>
    </row>
    <row r="240">
      <c r="A240" s="24" t="n"/>
      <c r="B240" s="25" t="n"/>
      <c r="C240" s="25" t="n"/>
      <c r="D240" s="25" t="n"/>
      <c r="E240" s="26" t="n"/>
      <c r="F240" s="25" t="n"/>
      <c r="G240" s="25" t="n"/>
      <c r="H240" s="25" t="n"/>
      <c r="I240" s="25" t="n"/>
      <c r="J240" s="25" t="n"/>
      <c r="K240" s="25" t="n"/>
      <c r="L240" s="27" t="n"/>
      <c r="M240" s="27" t="n"/>
      <c r="N240" s="27" t="n"/>
      <c r="O240" s="27" t="n"/>
      <c r="P240" s="28" t="n"/>
      <c r="Q240" s="29" t="n"/>
      <c r="R240" s="30">
        <f>IF(B240="","",IF(C240="IWP",COUNTIFS(Restricciones!$D$6:$D$305,B240,Restricciones!$F$6:$F$305,"Abierta")+COUNTIFS(Restricciones!$D$6:$D$305,B240,Restricciones!$F$6:$F$305,"En gestión"),IF(C240="CWA",COUNTIFS(Restricciones!$C$6:$C$305,"CWP-"&amp;MID(B240,5,4)&amp;"-*",Restricciones!$F$6:$F$305,"Abierta")+COUNTIFS(Restricciones!$C$6:$C$305,"CWP-"&amp;MID(B240,5,4)&amp;"-*",Restricciones!$F$6:$F$305,"En gestión"),COUNTIFS(Restricciones!$C$6:$C$305,IF(C240="CWP",B240,H240),Restricciones!$F$6:$F$305,"Abierta")+COUNTIFS(Restricciones!$C$6:$C$305,IF(C240="CWP",B240,H240),Restricciones!$F$6:$F$305,"En gestión"))))</f>
        <v/>
      </c>
      <c r="S240" s="30">
        <f>IF(OR(B240="",M240=""),"",IF(O240&lt;&gt;"",MAX(0,O240-M240),IF(AND($B$3&gt;M240,K240&lt;&gt;"Cerrado"),$B$3-M240,0)))</f>
        <v/>
      </c>
      <c r="T240" s="31">
        <f>IF(B240="","",IF(K240="Cerrado",IF(S240&gt;0,"Cerrado con atraso","Cerrado"),IF(S240&gt;0,"Atrasado",IF(AND(N240="",L240&lt;&gt;"",$B$3&gt;L240),"Inicio atrasado","En plazo"))))</f>
        <v/>
      </c>
      <c r="U240" s="26" t="n"/>
    </row>
    <row r="241">
      <c r="A241" s="24" t="n"/>
      <c r="B241" s="25" t="n"/>
      <c r="C241" s="25" t="n"/>
      <c r="D241" s="25" t="n"/>
      <c r="E241" s="26" t="n"/>
      <c r="F241" s="25" t="n"/>
      <c r="G241" s="25" t="n"/>
      <c r="H241" s="25" t="n"/>
      <c r="I241" s="25" t="n"/>
      <c r="J241" s="25" t="n"/>
      <c r="K241" s="25" t="n"/>
      <c r="L241" s="27" t="n"/>
      <c r="M241" s="27" t="n"/>
      <c r="N241" s="27" t="n"/>
      <c r="O241" s="27" t="n"/>
      <c r="P241" s="28" t="n"/>
      <c r="Q241" s="29" t="n"/>
      <c r="R241" s="30">
        <f>IF(B241="","",IF(C241="IWP",COUNTIFS(Restricciones!$D$6:$D$305,B241,Restricciones!$F$6:$F$305,"Abierta")+COUNTIFS(Restricciones!$D$6:$D$305,B241,Restricciones!$F$6:$F$305,"En gestión"),IF(C241="CWA",COUNTIFS(Restricciones!$C$6:$C$305,"CWP-"&amp;MID(B241,5,4)&amp;"-*",Restricciones!$F$6:$F$305,"Abierta")+COUNTIFS(Restricciones!$C$6:$C$305,"CWP-"&amp;MID(B241,5,4)&amp;"-*",Restricciones!$F$6:$F$305,"En gestión"),COUNTIFS(Restricciones!$C$6:$C$305,IF(C241="CWP",B241,H241),Restricciones!$F$6:$F$305,"Abierta")+COUNTIFS(Restricciones!$C$6:$C$305,IF(C241="CWP",B241,H241),Restricciones!$F$6:$F$305,"En gestión"))))</f>
        <v/>
      </c>
      <c r="S241" s="30">
        <f>IF(OR(B241="",M241=""),"",IF(O241&lt;&gt;"",MAX(0,O241-M241),IF(AND($B$3&gt;M241,K241&lt;&gt;"Cerrado"),$B$3-M241,0)))</f>
        <v/>
      </c>
      <c r="T241" s="31">
        <f>IF(B241="","",IF(K241="Cerrado",IF(S241&gt;0,"Cerrado con atraso","Cerrado"),IF(S241&gt;0,"Atrasado",IF(AND(N241="",L241&lt;&gt;"",$B$3&gt;L241),"Inicio atrasado","En plazo"))))</f>
        <v/>
      </c>
      <c r="U241" s="26" t="n"/>
    </row>
    <row r="242">
      <c r="A242" s="24" t="n"/>
      <c r="B242" s="25" t="n"/>
      <c r="C242" s="25" t="n"/>
      <c r="D242" s="25" t="n"/>
      <c r="E242" s="26" t="n"/>
      <c r="F242" s="25" t="n"/>
      <c r="G242" s="25" t="n"/>
      <c r="H242" s="25" t="n"/>
      <c r="I242" s="25" t="n"/>
      <c r="J242" s="25" t="n"/>
      <c r="K242" s="25" t="n"/>
      <c r="L242" s="27" t="n"/>
      <c r="M242" s="27" t="n"/>
      <c r="N242" s="27" t="n"/>
      <c r="O242" s="27" t="n"/>
      <c r="P242" s="28" t="n"/>
      <c r="Q242" s="29" t="n"/>
      <c r="R242" s="30">
        <f>IF(B242="","",IF(C242="IWP",COUNTIFS(Restricciones!$D$6:$D$305,B242,Restricciones!$F$6:$F$305,"Abierta")+COUNTIFS(Restricciones!$D$6:$D$305,B242,Restricciones!$F$6:$F$305,"En gestión"),IF(C242="CWA",COUNTIFS(Restricciones!$C$6:$C$305,"CWP-"&amp;MID(B242,5,4)&amp;"-*",Restricciones!$F$6:$F$305,"Abierta")+COUNTIFS(Restricciones!$C$6:$C$305,"CWP-"&amp;MID(B242,5,4)&amp;"-*",Restricciones!$F$6:$F$305,"En gestión"),COUNTIFS(Restricciones!$C$6:$C$305,IF(C242="CWP",B242,H242),Restricciones!$F$6:$F$305,"Abierta")+COUNTIFS(Restricciones!$C$6:$C$305,IF(C242="CWP",B242,H242),Restricciones!$F$6:$F$305,"En gestión"))))</f>
        <v/>
      </c>
      <c r="S242" s="30">
        <f>IF(OR(B242="",M242=""),"",IF(O242&lt;&gt;"",MAX(0,O242-M242),IF(AND($B$3&gt;M242,K242&lt;&gt;"Cerrado"),$B$3-M242,0)))</f>
        <v/>
      </c>
      <c r="T242" s="31">
        <f>IF(B242="","",IF(K242="Cerrado",IF(S242&gt;0,"Cerrado con atraso","Cerrado"),IF(S242&gt;0,"Atrasado",IF(AND(N242="",L242&lt;&gt;"",$B$3&gt;L242),"Inicio atrasado","En plazo"))))</f>
        <v/>
      </c>
      <c r="U242" s="26" t="n"/>
    </row>
    <row r="243">
      <c r="A243" s="24" t="n"/>
      <c r="B243" s="25" t="n"/>
      <c r="C243" s="25" t="n"/>
      <c r="D243" s="25" t="n"/>
      <c r="E243" s="26" t="n"/>
      <c r="F243" s="25" t="n"/>
      <c r="G243" s="25" t="n"/>
      <c r="H243" s="25" t="n"/>
      <c r="I243" s="25" t="n"/>
      <c r="J243" s="25" t="n"/>
      <c r="K243" s="25" t="n"/>
      <c r="L243" s="27" t="n"/>
      <c r="M243" s="27" t="n"/>
      <c r="N243" s="27" t="n"/>
      <c r="O243" s="27" t="n"/>
      <c r="P243" s="28" t="n"/>
      <c r="Q243" s="29" t="n"/>
      <c r="R243" s="30">
        <f>IF(B243="","",IF(C243="IWP",COUNTIFS(Restricciones!$D$6:$D$305,B243,Restricciones!$F$6:$F$305,"Abierta")+COUNTIFS(Restricciones!$D$6:$D$305,B243,Restricciones!$F$6:$F$305,"En gestión"),IF(C243="CWA",COUNTIFS(Restricciones!$C$6:$C$305,"CWP-"&amp;MID(B243,5,4)&amp;"-*",Restricciones!$F$6:$F$305,"Abierta")+COUNTIFS(Restricciones!$C$6:$C$305,"CWP-"&amp;MID(B243,5,4)&amp;"-*",Restricciones!$F$6:$F$305,"En gestión"),COUNTIFS(Restricciones!$C$6:$C$305,IF(C243="CWP",B243,H243),Restricciones!$F$6:$F$305,"Abierta")+COUNTIFS(Restricciones!$C$6:$C$305,IF(C243="CWP",B243,H243),Restricciones!$F$6:$F$305,"En gestión"))))</f>
        <v/>
      </c>
      <c r="S243" s="30">
        <f>IF(OR(B243="",M243=""),"",IF(O243&lt;&gt;"",MAX(0,O243-M243),IF(AND($B$3&gt;M243,K243&lt;&gt;"Cerrado"),$B$3-M243,0)))</f>
        <v/>
      </c>
      <c r="T243" s="31">
        <f>IF(B243="","",IF(K243="Cerrado",IF(S243&gt;0,"Cerrado con atraso","Cerrado"),IF(S243&gt;0,"Atrasado",IF(AND(N243="",L243&lt;&gt;"",$B$3&gt;L243),"Inicio atrasado","En plazo"))))</f>
        <v/>
      </c>
      <c r="U243" s="26" t="n"/>
    </row>
    <row r="244">
      <c r="A244" s="24" t="n"/>
      <c r="B244" s="25" t="n"/>
      <c r="C244" s="25" t="n"/>
      <c r="D244" s="25" t="n"/>
      <c r="E244" s="26" t="n"/>
      <c r="F244" s="25" t="n"/>
      <c r="G244" s="25" t="n"/>
      <c r="H244" s="25" t="n"/>
      <c r="I244" s="25" t="n"/>
      <c r="J244" s="25" t="n"/>
      <c r="K244" s="25" t="n"/>
      <c r="L244" s="27" t="n"/>
      <c r="M244" s="27" t="n"/>
      <c r="N244" s="27" t="n"/>
      <c r="O244" s="27" t="n"/>
      <c r="P244" s="28" t="n"/>
      <c r="Q244" s="29" t="n"/>
      <c r="R244" s="30">
        <f>IF(B244="","",IF(C244="IWP",COUNTIFS(Restricciones!$D$6:$D$305,B244,Restricciones!$F$6:$F$305,"Abierta")+COUNTIFS(Restricciones!$D$6:$D$305,B244,Restricciones!$F$6:$F$305,"En gestión"),IF(C244="CWA",COUNTIFS(Restricciones!$C$6:$C$305,"CWP-"&amp;MID(B244,5,4)&amp;"-*",Restricciones!$F$6:$F$305,"Abierta")+COUNTIFS(Restricciones!$C$6:$C$305,"CWP-"&amp;MID(B244,5,4)&amp;"-*",Restricciones!$F$6:$F$305,"En gestión"),COUNTIFS(Restricciones!$C$6:$C$305,IF(C244="CWP",B244,H244),Restricciones!$F$6:$F$305,"Abierta")+COUNTIFS(Restricciones!$C$6:$C$305,IF(C244="CWP",B244,H244),Restricciones!$F$6:$F$305,"En gestión"))))</f>
        <v/>
      </c>
      <c r="S244" s="30">
        <f>IF(OR(B244="",M244=""),"",IF(O244&lt;&gt;"",MAX(0,O244-M244),IF(AND($B$3&gt;M244,K244&lt;&gt;"Cerrado"),$B$3-M244,0)))</f>
        <v/>
      </c>
      <c r="T244" s="31">
        <f>IF(B244="","",IF(K244="Cerrado",IF(S244&gt;0,"Cerrado con atraso","Cerrado"),IF(S244&gt;0,"Atrasado",IF(AND(N244="",L244&lt;&gt;"",$B$3&gt;L244),"Inicio atrasado","En plazo"))))</f>
        <v/>
      </c>
      <c r="U244" s="26" t="n"/>
    </row>
    <row r="245">
      <c r="A245" s="24" t="n"/>
      <c r="B245" s="25" t="n"/>
      <c r="C245" s="25" t="n"/>
      <c r="D245" s="25" t="n"/>
      <c r="E245" s="26" t="n"/>
      <c r="F245" s="25" t="n"/>
      <c r="G245" s="25" t="n"/>
      <c r="H245" s="25" t="n"/>
      <c r="I245" s="25" t="n"/>
      <c r="J245" s="25" t="n"/>
      <c r="K245" s="25" t="n"/>
      <c r="L245" s="27" t="n"/>
      <c r="M245" s="27" t="n"/>
      <c r="N245" s="27" t="n"/>
      <c r="O245" s="27" t="n"/>
      <c r="P245" s="28" t="n"/>
      <c r="Q245" s="29" t="n"/>
      <c r="R245" s="30">
        <f>IF(B245="","",IF(C245="IWP",COUNTIFS(Restricciones!$D$6:$D$305,B245,Restricciones!$F$6:$F$305,"Abierta")+COUNTIFS(Restricciones!$D$6:$D$305,B245,Restricciones!$F$6:$F$305,"En gestión"),IF(C245="CWA",COUNTIFS(Restricciones!$C$6:$C$305,"CWP-"&amp;MID(B245,5,4)&amp;"-*",Restricciones!$F$6:$F$305,"Abierta")+COUNTIFS(Restricciones!$C$6:$C$305,"CWP-"&amp;MID(B245,5,4)&amp;"-*",Restricciones!$F$6:$F$305,"En gestión"),COUNTIFS(Restricciones!$C$6:$C$305,IF(C245="CWP",B245,H245),Restricciones!$F$6:$F$305,"Abierta")+COUNTIFS(Restricciones!$C$6:$C$305,IF(C245="CWP",B245,H245),Restricciones!$F$6:$F$305,"En gestión"))))</f>
        <v/>
      </c>
      <c r="S245" s="30">
        <f>IF(OR(B245="",M245=""),"",IF(O245&lt;&gt;"",MAX(0,O245-M245),IF(AND($B$3&gt;M245,K245&lt;&gt;"Cerrado"),$B$3-M245,0)))</f>
        <v/>
      </c>
      <c r="T245" s="31">
        <f>IF(B245="","",IF(K245="Cerrado",IF(S245&gt;0,"Cerrado con atraso","Cerrado"),IF(S245&gt;0,"Atrasado",IF(AND(N245="",L245&lt;&gt;"",$B$3&gt;L245),"Inicio atrasado","En plazo"))))</f>
        <v/>
      </c>
      <c r="U245" s="26" t="n"/>
    </row>
    <row r="246">
      <c r="A246" s="24" t="n"/>
      <c r="B246" s="25" t="n"/>
      <c r="C246" s="25" t="n"/>
      <c r="D246" s="25" t="n"/>
      <c r="E246" s="26" t="n"/>
      <c r="F246" s="25" t="n"/>
      <c r="G246" s="25" t="n"/>
      <c r="H246" s="25" t="n"/>
      <c r="I246" s="25" t="n"/>
      <c r="J246" s="25" t="n"/>
      <c r="K246" s="25" t="n"/>
      <c r="L246" s="27" t="n"/>
      <c r="M246" s="27" t="n"/>
      <c r="N246" s="27" t="n"/>
      <c r="O246" s="27" t="n"/>
      <c r="P246" s="28" t="n"/>
      <c r="Q246" s="29" t="n"/>
      <c r="R246" s="30">
        <f>IF(B246="","",IF(C246="IWP",COUNTIFS(Restricciones!$D$6:$D$305,B246,Restricciones!$F$6:$F$305,"Abierta")+COUNTIFS(Restricciones!$D$6:$D$305,B246,Restricciones!$F$6:$F$305,"En gestión"),IF(C246="CWA",COUNTIFS(Restricciones!$C$6:$C$305,"CWP-"&amp;MID(B246,5,4)&amp;"-*",Restricciones!$F$6:$F$305,"Abierta")+COUNTIFS(Restricciones!$C$6:$C$305,"CWP-"&amp;MID(B246,5,4)&amp;"-*",Restricciones!$F$6:$F$305,"En gestión"),COUNTIFS(Restricciones!$C$6:$C$305,IF(C246="CWP",B246,H246),Restricciones!$F$6:$F$305,"Abierta")+COUNTIFS(Restricciones!$C$6:$C$305,IF(C246="CWP",B246,H246),Restricciones!$F$6:$F$305,"En gestión"))))</f>
        <v/>
      </c>
      <c r="S246" s="30">
        <f>IF(OR(B246="",M246=""),"",IF(O246&lt;&gt;"",MAX(0,O246-M246),IF(AND($B$3&gt;M246,K246&lt;&gt;"Cerrado"),$B$3-M246,0)))</f>
        <v/>
      </c>
      <c r="T246" s="31">
        <f>IF(B246="","",IF(K246="Cerrado",IF(S246&gt;0,"Cerrado con atraso","Cerrado"),IF(S246&gt;0,"Atrasado",IF(AND(N246="",L246&lt;&gt;"",$B$3&gt;L246),"Inicio atrasado","En plazo"))))</f>
        <v/>
      </c>
      <c r="U246" s="26" t="n"/>
    </row>
    <row r="247">
      <c r="A247" s="24" t="n"/>
      <c r="B247" s="25" t="n"/>
      <c r="C247" s="25" t="n"/>
      <c r="D247" s="25" t="n"/>
      <c r="E247" s="26" t="n"/>
      <c r="F247" s="25" t="n"/>
      <c r="G247" s="25" t="n"/>
      <c r="H247" s="25" t="n"/>
      <c r="I247" s="25" t="n"/>
      <c r="J247" s="25" t="n"/>
      <c r="K247" s="25" t="n"/>
      <c r="L247" s="27" t="n"/>
      <c r="M247" s="27" t="n"/>
      <c r="N247" s="27" t="n"/>
      <c r="O247" s="27" t="n"/>
      <c r="P247" s="28" t="n"/>
      <c r="Q247" s="29" t="n"/>
      <c r="R247" s="30">
        <f>IF(B247="","",IF(C247="IWP",COUNTIFS(Restricciones!$D$6:$D$305,B247,Restricciones!$F$6:$F$305,"Abierta")+COUNTIFS(Restricciones!$D$6:$D$305,B247,Restricciones!$F$6:$F$305,"En gestión"),IF(C247="CWA",COUNTIFS(Restricciones!$C$6:$C$305,"CWP-"&amp;MID(B247,5,4)&amp;"-*",Restricciones!$F$6:$F$305,"Abierta")+COUNTIFS(Restricciones!$C$6:$C$305,"CWP-"&amp;MID(B247,5,4)&amp;"-*",Restricciones!$F$6:$F$305,"En gestión"),COUNTIFS(Restricciones!$C$6:$C$305,IF(C247="CWP",B247,H247),Restricciones!$F$6:$F$305,"Abierta")+COUNTIFS(Restricciones!$C$6:$C$305,IF(C247="CWP",B247,H247),Restricciones!$F$6:$F$305,"En gestión"))))</f>
        <v/>
      </c>
      <c r="S247" s="30">
        <f>IF(OR(B247="",M247=""),"",IF(O247&lt;&gt;"",MAX(0,O247-M247),IF(AND($B$3&gt;M247,K247&lt;&gt;"Cerrado"),$B$3-M247,0)))</f>
        <v/>
      </c>
      <c r="T247" s="31">
        <f>IF(B247="","",IF(K247="Cerrado",IF(S247&gt;0,"Cerrado con atraso","Cerrado"),IF(S247&gt;0,"Atrasado",IF(AND(N247="",L247&lt;&gt;"",$B$3&gt;L247),"Inicio atrasado","En plazo"))))</f>
        <v/>
      </c>
      <c r="U247" s="26" t="n"/>
    </row>
    <row r="248">
      <c r="A248" s="24" t="n"/>
      <c r="B248" s="25" t="n"/>
      <c r="C248" s="25" t="n"/>
      <c r="D248" s="25" t="n"/>
      <c r="E248" s="26" t="n"/>
      <c r="F248" s="25" t="n"/>
      <c r="G248" s="25" t="n"/>
      <c r="H248" s="25" t="n"/>
      <c r="I248" s="25" t="n"/>
      <c r="J248" s="25" t="n"/>
      <c r="K248" s="25" t="n"/>
      <c r="L248" s="27" t="n"/>
      <c r="M248" s="27" t="n"/>
      <c r="N248" s="27" t="n"/>
      <c r="O248" s="27" t="n"/>
      <c r="P248" s="28" t="n"/>
      <c r="Q248" s="29" t="n"/>
      <c r="R248" s="30">
        <f>IF(B248="","",IF(C248="IWP",COUNTIFS(Restricciones!$D$6:$D$305,B248,Restricciones!$F$6:$F$305,"Abierta")+COUNTIFS(Restricciones!$D$6:$D$305,B248,Restricciones!$F$6:$F$305,"En gestión"),IF(C248="CWA",COUNTIFS(Restricciones!$C$6:$C$305,"CWP-"&amp;MID(B248,5,4)&amp;"-*",Restricciones!$F$6:$F$305,"Abierta")+COUNTIFS(Restricciones!$C$6:$C$305,"CWP-"&amp;MID(B248,5,4)&amp;"-*",Restricciones!$F$6:$F$305,"En gestión"),COUNTIFS(Restricciones!$C$6:$C$305,IF(C248="CWP",B248,H248),Restricciones!$F$6:$F$305,"Abierta")+COUNTIFS(Restricciones!$C$6:$C$305,IF(C248="CWP",B248,H248),Restricciones!$F$6:$F$305,"En gestión"))))</f>
        <v/>
      </c>
      <c r="S248" s="30">
        <f>IF(OR(B248="",M248=""),"",IF(O248&lt;&gt;"",MAX(0,O248-M248),IF(AND($B$3&gt;M248,K248&lt;&gt;"Cerrado"),$B$3-M248,0)))</f>
        <v/>
      </c>
      <c r="T248" s="31">
        <f>IF(B248="","",IF(K248="Cerrado",IF(S248&gt;0,"Cerrado con atraso","Cerrado"),IF(S248&gt;0,"Atrasado",IF(AND(N248="",L248&lt;&gt;"",$B$3&gt;L248),"Inicio atrasado","En plazo"))))</f>
        <v/>
      </c>
      <c r="U248" s="26" t="n"/>
    </row>
    <row r="249">
      <c r="A249" s="24" t="n"/>
      <c r="B249" s="25" t="n"/>
      <c r="C249" s="25" t="n"/>
      <c r="D249" s="25" t="n"/>
      <c r="E249" s="26" t="n"/>
      <c r="F249" s="25" t="n"/>
      <c r="G249" s="25" t="n"/>
      <c r="H249" s="25" t="n"/>
      <c r="I249" s="25" t="n"/>
      <c r="J249" s="25" t="n"/>
      <c r="K249" s="25" t="n"/>
      <c r="L249" s="27" t="n"/>
      <c r="M249" s="27" t="n"/>
      <c r="N249" s="27" t="n"/>
      <c r="O249" s="27" t="n"/>
      <c r="P249" s="28" t="n"/>
      <c r="Q249" s="29" t="n"/>
      <c r="R249" s="30">
        <f>IF(B249="","",IF(C249="IWP",COUNTIFS(Restricciones!$D$6:$D$305,B249,Restricciones!$F$6:$F$305,"Abierta")+COUNTIFS(Restricciones!$D$6:$D$305,B249,Restricciones!$F$6:$F$305,"En gestión"),IF(C249="CWA",COUNTIFS(Restricciones!$C$6:$C$305,"CWP-"&amp;MID(B249,5,4)&amp;"-*",Restricciones!$F$6:$F$305,"Abierta")+COUNTIFS(Restricciones!$C$6:$C$305,"CWP-"&amp;MID(B249,5,4)&amp;"-*",Restricciones!$F$6:$F$305,"En gestión"),COUNTIFS(Restricciones!$C$6:$C$305,IF(C249="CWP",B249,H249),Restricciones!$F$6:$F$305,"Abierta")+COUNTIFS(Restricciones!$C$6:$C$305,IF(C249="CWP",B249,H249),Restricciones!$F$6:$F$305,"En gestión"))))</f>
        <v/>
      </c>
      <c r="S249" s="30">
        <f>IF(OR(B249="",M249=""),"",IF(O249&lt;&gt;"",MAX(0,O249-M249),IF(AND($B$3&gt;M249,K249&lt;&gt;"Cerrado"),$B$3-M249,0)))</f>
        <v/>
      </c>
      <c r="T249" s="31">
        <f>IF(B249="","",IF(K249="Cerrado",IF(S249&gt;0,"Cerrado con atraso","Cerrado"),IF(S249&gt;0,"Atrasado",IF(AND(N249="",L249&lt;&gt;"",$B$3&gt;L249),"Inicio atrasado","En plazo"))))</f>
        <v/>
      </c>
      <c r="U249" s="26" t="n"/>
    </row>
    <row r="250">
      <c r="A250" s="24" t="n"/>
      <c r="B250" s="25" t="n"/>
      <c r="C250" s="25" t="n"/>
      <c r="D250" s="25" t="n"/>
      <c r="E250" s="26" t="n"/>
      <c r="F250" s="25" t="n"/>
      <c r="G250" s="25" t="n"/>
      <c r="H250" s="25" t="n"/>
      <c r="I250" s="25" t="n"/>
      <c r="J250" s="25" t="n"/>
      <c r="K250" s="25" t="n"/>
      <c r="L250" s="27" t="n"/>
      <c r="M250" s="27" t="n"/>
      <c r="N250" s="27" t="n"/>
      <c r="O250" s="27" t="n"/>
      <c r="P250" s="28" t="n"/>
      <c r="Q250" s="29" t="n"/>
      <c r="R250" s="30">
        <f>IF(B250="","",IF(C250="IWP",COUNTIFS(Restricciones!$D$6:$D$305,B250,Restricciones!$F$6:$F$305,"Abierta")+COUNTIFS(Restricciones!$D$6:$D$305,B250,Restricciones!$F$6:$F$305,"En gestión"),IF(C250="CWA",COUNTIFS(Restricciones!$C$6:$C$305,"CWP-"&amp;MID(B250,5,4)&amp;"-*",Restricciones!$F$6:$F$305,"Abierta")+COUNTIFS(Restricciones!$C$6:$C$305,"CWP-"&amp;MID(B250,5,4)&amp;"-*",Restricciones!$F$6:$F$305,"En gestión"),COUNTIFS(Restricciones!$C$6:$C$305,IF(C250="CWP",B250,H250),Restricciones!$F$6:$F$305,"Abierta")+COUNTIFS(Restricciones!$C$6:$C$305,IF(C250="CWP",B250,H250),Restricciones!$F$6:$F$305,"En gestión"))))</f>
        <v/>
      </c>
      <c r="S250" s="30">
        <f>IF(OR(B250="",M250=""),"",IF(O250&lt;&gt;"",MAX(0,O250-M250),IF(AND($B$3&gt;M250,K250&lt;&gt;"Cerrado"),$B$3-M250,0)))</f>
        <v/>
      </c>
      <c r="T250" s="31">
        <f>IF(B250="","",IF(K250="Cerrado",IF(S250&gt;0,"Cerrado con atraso","Cerrado"),IF(S250&gt;0,"Atrasado",IF(AND(N250="",L250&lt;&gt;"",$B$3&gt;L250),"Inicio atrasado","En plazo"))))</f>
        <v/>
      </c>
      <c r="U250" s="26" t="n"/>
    </row>
    <row r="251">
      <c r="A251" s="24" t="n"/>
      <c r="B251" s="25" t="n"/>
      <c r="C251" s="25" t="n"/>
      <c r="D251" s="25" t="n"/>
      <c r="E251" s="26" t="n"/>
      <c r="F251" s="25" t="n"/>
      <c r="G251" s="25" t="n"/>
      <c r="H251" s="25" t="n"/>
      <c r="I251" s="25" t="n"/>
      <c r="J251" s="25" t="n"/>
      <c r="K251" s="25" t="n"/>
      <c r="L251" s="27" t="n"/>
      <c r="M251" s="27" t="n"/>
      <c r="N251" s="27" t="n"/>
      <c r="O251" s="27" t="n"/>
      <c r="P251" s="28" t="n"/>
      <c r="Q251" s="29" t="n"/>
      <c r="R251" s="30">
        <f>IF(B251="","",IF(C251="IWP",COUNTIFS(Restricciones!$D$6:$D$305,B251,Restricciones!$F$6:$F$305,"Abierta")+COUNTIFS(Restricciones!$D$6:$D$305,B251,Restricciones!$F$6:$F$305,"En gestión"),IF(C251="CWA",COUNTIFS(Restricciones!$C$6:$C$305,"CWP-"&amp;MID(B251,5,4)&amp;"-*",Restricciones!$F$6:$F$305,"Abierta")+COUNTIFS(Restricciones!$C$6:$C$305,"CWP-"&amp;MID(B251,5,4)&amp;"-*",Restricciones!$F$6:$F$305,"En gestión"),COUNTIFS(Restricciones!$C$6:$C$305,IF(C251="CWP",B251,H251),Restricciones!$F$6:$F$305,"Abierta")+COUNTIFS(Restricciones!$C$6:$C$305,IF(C251="CWP",B251,H251),Restricciones!$F$6:$F$305,"En gestión"))))</f>
        <v/>
      </c>
      <c r="S251" s="30">
        <f>IF(OR(B251="",M251=""),"",IF(O251&lt;&gt;"",MAX(0,O251-M251),IF(AND($B$3&gt;M251,K251&lt;&gt;"Cerrado"),$B$3-M251,0)))</f>
        <v/>
      </c>
      <c r="T251" s="31">
        <f>IF(B251="","",IF(K251="Cerrado",IF(S251&gt;0,"Cerrado con atraso","Cerrado"),IF(S251&gt;0,"Atrasado",IF(AND(N251="",L251&lt;&gt;"",$B$3&gt;L251),"Inicio atrasado","En plazo"))))</f>
        <v/>
      </c>
      <c r="U251" s="26" t="n"/>
    </row>
    <row r="252">
      <c r="A252" s="24" t="n"/>
      <c r="B252" s="25" t="n"/>
      <c r="C252" s="25" t="n"/>
      <c r="D252" s="25" t="n"/>
      <c r="E252" s="26" t="n"/>
      <c r="F252" s="25" t="n"/>
      <c r="G252" s="25" t="n"/>
      <c r="H252" s="25" t="n"/>
      <c r="I252" s="25" t="n"/>
      <c r="J252" s="25" t="n"/>
      <c r="K252" s="25" t="n"/>
      <c r="L252" s="27" t="n"/>
      <c r="M252" s="27" t="n"/>
      <c r="N252" s="27" t="n"/>
      <c r="O252" s="27" t="n"/>
      <c r="P252" s="28" t="n"/>
      <c r="Q252" s="29" t="n"/>
      <c r="R252" s="30">
        <f>IF(B252="","",IF(C252="IWP",COUNTIFS(Restricciones!$D$6:$D$305,B252,Restricciones!$F$6:$F$305,"Abierta")+COUNTIFS(Restricciones!$D$6:$D$305,B252,Restricciones!$F$6:$F$305,"En gestión"),IF(C252="CWA",COUNTIFS(Restricciones!$C$6:$C$305,"CWP-"&amp;MID(B252,5,4)&amp;"-*",Restricciones!$F$6:$F$305,"Abierta")+COUNTIFS(Restricciones!$C$6:$C$305,"CWP-"&amp;MID(B252,5,4)&amp;"-*",Restricciones!$F$6:$F$305,"En gestión"),COUNTIFS(Restricciones!$C$6:$C$305,IF(C252="CWP",B252,H252),Restricciones!$F$6:$F$305,"Abierta")+COUNTIFS(Restricciones!$C$6:$C$305,IF(C252="CWP",B252,H252),Restricciones!$F$6:$F$305,"En gestión"))))</f>
        <v/>
      </c>
      <c r="S252" s="30">
        <f>IF(OR(B252="",M252=""),"",IF(O252&lt;&gt;"",MAX(0,O252-M252),IF(AND($B$3&gt;M252,K252&lt;&gt;"Cerrado"),$B$3-M252,0)))</f>
        <v/>
      </c>
      <c r="T252" s="31">
        <f>IF(B252="","",IF(K252="Cerrado",IF(S252&gt;0,"Cerrado con atraso","Cerrado"),IF(S252&gt;0,"Atrasado",IF(AND(N252="",L252&lt;&gt;"",$B$3&gt;L252),"Inicio atrasado","En plazo"))))</f>
        <v/>
      </c>
      <c r="U252" s="26" t="n"/>
    </row>
    <row r="253">
      <c r="A253" s="24" t="n"/>
      <c r="B253" s="25" t="n"/>
      <c r="C253" s="25" t="n"/>
      <c r="D253" s="25" t="n"/>
      <c r="E253" s="26" t="n"/>
      <c r="F253" s="25" t="n"/>
      <c r="G253" s="25" t="n"/>
      <c r="H253" s="25" t="n"/>
      <c r="I253" s="25" t="n"/>
      <c r="J253" s="25" t="n"/>
      <c r="K253" s="25" t="n"/>
      <c r="L253" s="27" t="n"/>
      <c r="M253" s="27" t="n"/>
      <c r="N253" s="27" t="n"/>
      <c r="O253" s="27" t="n"/>
      <c r="P253" s="28" t="n"/>
      <c r="Q253" s="29" t="n"/>
      <c r="R253" s="30">
        <f>IF(B253="","",IF(C253="IWP",COUNTIFS(Restricciones!$D$6:$D$305,B253,Restricciones!$F$6:$F$305,"Abierta")+COUNTIFS(Restricciones!$D$6:$D$305,B253,Restricciones!$F$6:$F$305,"En gestión"),IF(C253="CWA",COUNTIFS(Restricciones!$C$6:$C$305,"CWP-"&amp;MID(B253,5,4)&amp;"-*",Restricciones!$F$6:$F$305,"Abierta")+COUNTIFS(Restricciones!$C$6:$C$305,"CWP-"&amp;MID(B253,5,4)&amp;"-*",Restricciones!$F$6:$F$305,"En gestión"),COUNTIFS(Restricciones!$C$6:$C$305,IF(C253="CWP",B253,H253),Restricciones!$F$6:$F$305,"Abierta")+COUNTIFS(Restricciones!$C$6:$C$305,IF(C253="CWP",B253,H253),Restricciones!$F$6:$F$305,"En gestión"))))</f>
        <v/>
      </c>
      <c r="S253" s="30">
        <f>IF(OR(B253="",M253=""),"",IF(O253&lt;&gt;"",MAX(0,O253-M253),IF(AND($B$3&gt;M253,K253&lt;&gt;"Cerrado"),$B$3-M253,0)))</f>
        <v/>
      </c>
      <c r="T253" s="31">
        <f>IF(B253="","",IF(K253="Cerrado",IF(S253&gt;0,"Cerrado con atraso","Cerrado"),IF(S253&gt;0,"Atrasado",IF(AND(N253="",L253&lt;&gt;"",$B$3&gt;L253),"Inicio atrasado","En plazo"))))</f>
        <v/>
      </c>
      <c r="U253" s="26" t="n"/>
    </row>
    <row r="254">
      <c r="A254" s="24" t="n"/>
      <c r="B254" s="25" t="n"/>
      <c r="C254" s="25" t="n"/>
      <c r="D254" s="25" t="n"/>
      <c r="E254" s="26" t="n"/>
      <c r="F254" s="25" t="n"/>
      <c r="G254" s="25" t="n"/>
      <c r="H254" s="25" t="n"/>
      <c r="I254" s="25" t="n"/>
      <c r="J254" s="25" t="n"/>
      <c r="K254" s="25" t="n"/>
      <c r="L254" s="27" t="n"/>
      <c r="M254" s="27" t="n"/>
      <c r="N254" s="27" t="n"/>
      <c r="O254" s="27" t="n"/>
      <c r="P254" s="28" t="n"/>
      <c r="Q254" s="29" t="n"/>
      <c r="R254" s="30">
        <f>IF(B254="","",IF(C254="IWP",COUNTIFS(Restricciones!$D$6:$D$305,B254,Restricciones!$F$6:$F$305,"Abierta")+COUNTIFS(Restricciones!$D$6:$D$305,B254,Restricciones!$F$6:$F$305,"En gestión"),IF(C254="CWA",COUNTIFS(Restricciones!$C$6:$C$305,"CWP-"&amp;MID(B254,5,4)&amp;"-*",Restricciones!$F$6:$F$305,"Abierta")+COUNTIFS(Restricciones!$C$6:$C$305,"CWP-"&amp;MID(B254,5,4)&amp;"-*",Restricciones!$F$6:$F$305,"En gestión"),COUNTIFS(Restricciones!$C$6:$C$305,IF(C254="CWP",B254,H254),Restricciones!$F$6:$F$305,"Abierta")+COUNTIFS(Restricciones!$C$6:$C$305,IF(C254="CWP",B254,H254),Restricciones!$F$6:$F$305,"En gestión"))))</f>
        <v/>
      </c>
      <c r="S254" s="30">
        <f>IF(OR(B254="",M254=""),"",IF(O254&lt;&gt;"",MAX(0,O254-M254),IF(AND($B$3&gt;M254,K254&lt;&gt;"Cerrado"),$B$3-M254,0)))</f>
        <v/>
      </c>
      <c r="T254" s="31">
        <f>IF(B254="","",IF(K254="Cerrado",IF(S254&gt;0,"Cerrado con atraso","Cerrado"),IF(S254&gt;0,"Atrasado",IF(AND(N254="",L254&lt;&gt;"",$B$3&gt;L254),"Inicio atrasado","En plazo"))))</f>
        <v/>
      </c>
      <c r="U254" s="26" t="n"/>
    </row>
    <row r="255">
      <c r="A255" s="24" t="n"/>
      <c r="B255" s="25" t="n"/>
      <c r="C255" s="25" t="n"/>
      <c r="D255" s="25" t="n"/>
      <c r="E255" s="26" t="n"/>
      <c r="F255" s="25" t="n"/>
      <c r="G255" s="25" t="n"/>
      <c r="H255" s="25" t="n"/>
      <c r="I255" s="25" t="n"/>
      <c r="J255" s="25" t="n"/>
      <c r="K255" s="25" t="n"/>
      <c r="L255" s="27" t="n"/>
      <c r="M255" s="27" t="n"/>
      <c r="N255" s="27" t="n"/>
      <c r="O255" s="27" t="n"/>
      <c r="P255" s="28" t="n"/>
      <c r="Q255" s="29" t="n"/>
      <c r="R255" s="30">
        <f>IF(B255="","",IF(C255="IWP",COUNTIFS(Restricciones!$D$6:$D$305,B255,Restricciones!$F$6:$F$305,"Abierta")+COUNTIFS(Restricciones!$D$6:$D$305,B255,Restricciones!$F$6:$F$305,"En gestión"),IF(C255="CWA",COUNTIFS(Restricciones!$C$6:$C$305,"CWP-"&amp;MID(B255,5,4)&amp;"-*",Restricciones!$F$6:$F$305,"Abierta")+COUNTIFS(Restricciones!$C$6:$C$305,"CWP-"&amp;MID(B255,5,4)&amp;"-*",Restricciones!$F$6:$F$305,"En gestión"),COUNTIFS(Restricciones!$C$6:$C$305,IF(C255="CWP",B255,H255),Restricciones!$F$6:$F$305,"Abierta")+COUNTIFS(Restricciones!$C$6:$C$305,IF(C255="CWP",B255,H255),Restricciones!$F$6:$F$305,"En gestión"))))</f>
        <v/>
      </c>
      <c r="S255" s="30">
        <f>IF(OR(B255="",M255=""),"",IF(O255&lt;&gt;"",MAX(0,O255-M255),IF(AND($B$3&gt;M255,K255&lt;&gt;"Cerrado"),$B$3-M255,0)))</f>
        <v/>
      </c>
      <c r="T255" s="31">
        <f>IF(B255="","",IF(K255="Cerrado",IF(S255&gt;0,"Cerrado con atraso","Cerrado"),IF(S255&gt;0,"Atrasado",IF(AND(N255="",L255&lt;&gt;"",$B$3&gt;L255),"Inicio atrasado","En plazo"))))</f>
        <v/>
      </c>
      <c r="U255" s="26" t="n"/>
    </row>
    <row r="256">
      <c r="A256" s="24" t="n"/>
      <c r="B256" s="25" t="n"/>
      <c r="C256" s="25" t="n"/>
      <c r="D256" s="25" t="n"/>
      <c r="E256" s="26" t="n"/>
      <c r="F256" s="25" t="n"/>
      <c r="G256" s="25" t="n"/>
      <c r="H256" s="25" t="n"/>
      <c r="I256" s="25" t="n"/>
      <c r="J256" s="25" t="n"/>
      <c r="K256" s="25" t="n"/>
      <c r="L256" s="27" t="n"/>
      <c r="M256" s="27" t="n"/>
      <c r="N256" s="27" t="n"/>
      <c r="O256" s="27" t="n"/>
      <c r="P256" s="28" t="n"/>
      <c r="Q256" s="29" t="n"/>
      <c r="R256" s="30">
        <f>IF(B256="","",IF(C256="IWP",COUNTIFS(Restricciones!$D$6:$D$305,B256,Restricciones!$F$6:$F$305,"Abierta")+COUNTIFS(Restricciones!$D$6:$D$305,B256,Restricciones!$F$6:$F$305,"En gestión"),IF(C256="CWA",COUNTIFS(Restricciones!$C$6:$C$305,"CWP-"&amp;MID(B256,5,4)&amp;"-*",Restricciones!$F$6:$F$305,"Abierta")+COUNTIFS(Restricciones!$C$6:$C$305,"CWP-"&amp;MID(B256,5,4)&amp;"-*",Restricciones!$F$6:$F$305,"En gestión"),COUNTIFS(Restricciones!$C$6:$C$305,IF(C256="CWP",B256,H256),Restricciones!$F$6:$F$305,"Abierta")+COUNTIFS(Restricciones!$C$6:$C$305,IF(C256="CWP",B256,H256),Restricciones!$F$6:$F$305,"En gestión"))))</f>
        <v/>
      </c>
      <c r="S256" s="30">
        <f>IF(OR(B256="",M256=""),"",IF(O256&lt;&gt;"",MAX(0,O256-M256),IF(AND($B$3&gt;M256,K256&lt;&gt;"Cerrado"),$B$3-M256,0)))</f>
        <v/>
      </c>
      <c r="T256" s="31">
        <f>IF(B256="","",IF(K256="Cerrado",IF(S256&gt;0,"Cerrado con atraso","Cerrado"),IF(S256&gt;0,"Atrasado",IF(AND(N256="",L256&lt;&gt;"",$B$3&gt;L256),"Inicio atrasado","En plazo"))))</f>
        <v/>
      </c>
      <c r="U256" s="26" t="n"/>
    </row>
    <row r="257">
      <c r="A257" s="24" t="n"/>
      <c r="B257" s="25" t="n"/>
      <c r="C257" s="25" t="n"/>
      <c r="D257" s="25" t="n"/>
      <c r="E257" s="26" t="n"/>
      <c r="F257" s="25" t="n"/>
      <c r="G257" s="25" t="n"/>
      <c r="H257" s="25" t="n"/>
      <c r="I257" s="25" t="n"/>
      <c r="J257" s="25" t="n"/>
      <c r="K257" s="25" t="n"/>
      <c r="L257" s="27" t="n"/>
      <c r="M257" s="27" t="n"/>
      <c r="N257" s="27" t="n"/>
      <c r="O257" s="27" t="n"/>
      <c r="P257" s="28" t="n"/>
      <c r="Q257" s="29" t="n"/>
      <c r="R257" s="30">
        <f>IF(B257="","",IF(C257="IWP",COUNTIFS(Restricciones!$D$6:$D$305,B257,Restricciones!$F$6:$F$305,"Abierta")+COUNTIFS(Restricciones!$D$6:$D$305,B257,Restricciones!$F$6:$F$305,"En gestión"),IF(C257="CWA",COUNTIFS(Restricciones!$C$6:$C$305,"CWP-"&amp;MID(B257,5,4)&amp;"-*",Restricciones!$F$6:$F$305,"Abierta")+COUNTIFS(Restricciones!$C$6:$C$305,"CWP-"&amp;MID(B257,5,4)&amp;"-*",Restricciones!$F$6:$F$305,"En gestión"),COUNTIFS(Restricciones!$C$6:$C$305,IF(C257="CWP",B257,H257),Restricciones!$F$6:$F$305,"Abierta")+COUNTIFS(Restricciones!$C$6:$C$305,IF(C257="CWP",B257,H257),Restricciones!$F$6:$F$305,"En gestión"))))</f>
        <v/>
      </c>
      <c r="S257" s="30">
        <f>IF(OR(B257="",M257=""),"",IF(O257&lt;&gt;"",MAX(0,O257-M257),IF(AND($B$3&gt;M257,K257&lt;&gt;"Cerrado"),$B$3-M257,0)))</f>
        <v/>
      </c>
      <c r="T257" s="31">
        <f>IF(B257="","",IF(K257="Cerrado",IF(S257&gt;0,"Cerrado con atraso","Cerrado"),IF(S257&gt;0,"Atrasado",IF(AND(N257="",L257&lt;&gt;"",$B$3&gt;L257),"Inicio atrasado","En plazo"))))</f>
        <v/>
      </c>
      <c r="U257" s="26" t="n"/>
    </row>
    <row r="258">
      <c r="A258" s="24" t="n"/>
      <c r="B258" s="25" t="n"/>
      <c r="C258" s="25" t="n"/>
      <c r="D258" s="25" t="n"/>
      <c r="E258" s="26" t="n"/>
      <c r="F258" s="25" t="n"/>
      <c r="G258" s="25" t="n"/>
      <c r="H258" s="25" t="n"/>
      <c r="I258" s="25" t="n"/>
      <c r="J258" s="25" t="n"/>
      <c r="K258" s="25" t="n"/>
      <c r="L258" s="27" t="n"/>
      <c r="M258" s="27" t="n"/>
      <c r="N258" s="27" t="n"/>
      <c r="O258" s="27" t="n"/>
      <c r="P258" s="28" t="n"/>
      <c r="Q258" s="29" t="n"/>
      <c r="R258" s="30">
        <f>IF(B258="","",IF(C258="IWP",COUNTIFS(Restricciones!$D$6:$D$305,B258,Restricciones!$F$6:$F$305,"Abierta")+COUNTIFS(Restricciones!$D$6:$D$305,B258,Restricciones!$F$6:$F$305,"En gestión"),IF(C258="CWA",COUNTIFS(Restricciones!$C$6:$C$305,"CWP-"&amp;MID(B258,5,4)&amp;"-*",Restricciones!$F$6:$F$305,"Abierta")+COUNTIFS(Restricciones!$C$6:$C$305,"CWP-"&amp;MID(B258,5,4)&amp;"-*",Restricciones!$F$6:$F$305,"En gestión"),COUNTIFS(Restricciones!$C$6:$C$305,IF(C258="CWP",B258,H258),Restricciones!$F$6:$F$305,"Abierta")+COUNTIFS(Restricciones!$C$6:$C$305,IF(C258="CWP",B258,H258),Restricciones!$F$6:$F$305,"En gestión"))))</f>
        <v/>
      </c>
      <c r="S258" s="30">
        <f>IF(OR(B258="",M258=""),"",IF(O258&lt;&gt;"",MAX(0,O258-M258),IF(AND($B$3&gt;M258,K258&lt;&gt;"Cerrado"),$B$3-M258,0)))</f>
        <v/>
      </c>
      <c r="T258" s="31">
        <f>IF(B258="","",IF(K258="Cerrado",IF(S258&gt;0,"Cerrado con atraso","Cerrado"),IF(S258&gt;0,"Atrasado",IF(AND(N258="",L258&lt;&gt;"",$B$3&gt;L258),"Inicio atrasado","En plazo"))))</f>
        <v/>
      </c>
      <c r="U258" s="26" t="n"/>
    </row>
    <row r="259">
      <c r="A259" s="24" t="n"/>
      <c r="B259" s="25" t="n"/>
      <c r="C259" s="25" t="n"/>
      <c r="D259" s="25" t="n"/>
      <c r="E259" s="26" t="n"/>
      <c r="F259" s="25" t="n"/>
      <c r="G259" s="25" t="n"/>
      <c r="H259" s="25" t="n"/>
      <c r="I259" s="25" t="n"/>
      <c r="J259" s="25" t="n"/>
      <c r="K259" s="25" t="n"/>
      <c r="L259" s="27" t="n"/>
      <c r="M259" s="27" t="n"/>
      <c r="N259" s="27" t="n"/>
      <c r="O259" s="27" t="n"/>
      <c r="P259" s="28" t="n"/>
      <c r="Q259" s="29" t="n"/>
      <c r="R259" s="30">
        <f>IF(B259="","",IF(C259="IWP",COUNTIFS(Restricciones!$D$6:$D$305,B259,Restricciones!$F$6:$F$305,"Abierta")+COUNTIFS(Restricciones!$D$6:$D$305,B259,Restricciones!$F$6:$F$305,"En gestión"),IF(C259="CWA",COUNTIFS(Restricciones!$C$6:$C$305,"CWP-"&amp;MID(B259,5,4)&amp;"-*",Restricciones!$F$6:$F$305,"Abierta")+COUNTIFS(Restricciones!$C$6:$C$305,"CWP-"&amp;MID(B259,5,4)&amp;"-*",Restricciones!$F$6:$F$305,"En gestión"),COUNTIFS(Restricciones!$C$6:$C$305,IF(C259="CWP",B259,H259),Restricciones!$F$6:$F$305,"Abierta")+COUNTIFS(Restricciones!$C$6:$C$305,IF(C259="CWP",B259,H259),Restricciones!$F$6:$F$305,"En gestión"))))</f>
        <v/>
      </c>
      <c r="S259" s="30">
        <f>IF(OR(B259="",M259=""),"",IF(O259&lt;&gt;"",MAX(0,O259-M259),IF(AND($B$3&gt;M259,K259&lt;&gt;"Cerrado"),$B$3-M259,0)))</f>
        <v/>
      </c>
      <c r="T259" s="31">
        <f>IF(B259="","",IF(K259="Cerrado",IF(S259&gt;0,"Cerrado con atraso","Cerrado"),IF(S259&gt;0,"Atrasado",IF(AND(N259="",L259&lt;&gt;"",$B$3&gt;L259),"Inicio atrasado","En plazo"))))</f>
        <v/>
      </c>
      <c r="U259" s="26" t="n"/>
    </row>
    <row r="260">
      <c r="A260" s="24" t="n"/>
      <c r="B260" s="25" t="n"/>
      <c r="C260" s="25" t="n"/>
      <c r="D260" s="25" t="n"/>
      <c r="E260" s="26" t="n"/>
      <c r="F260" s="25" t="n"/>
      <c r="G260" s="25" t="n"/>
      <c r="H260" s="25" t="n"/>
      <c r="I260" s="25" t="n"/>
      <c r="J260" s="25" t="n"/>
      <c r="K260" s="25" t="n"/>
      <c r="L260" s="27" t="n"/>
      <c r="M260" s="27" t="n"/>
      <c r="N260" s="27" t="n"/>
      <c r="O260" s="27" t="n"/>
      <c r="P260" s="28" t="n"/>
      <c r="Q260" s="29" t="n"/>
      <c r="R260" s="30">
        <f>IF(B260="","",IF(C260="IWP",COUNTIFS(Restricciones!$D$6:$D$305,B260,Restricciones!$F$6:$F$305,"Abierta")+COUNTIFS(Restricciones!$D$6:$D$305,B260,Restricciones!$F$6:$F$305,"En gestión"),IF(C260="CWA",COUNTIFS(Restricciones!$C$6:$C$305,"CWP-"&amp;MID(B260,5,4)&amp;"-*",Restricciones!$F$6:$F$305,"Abierta")+COUNTIFS(Restricciones!$C$6:$C$305,"CWP-"&amp;MID(B260,5,4)&amp;"-*",Restricciones!$F$6:$F$305,"En gestión"),COUNTIFS(Restricciones!$C$6:$C$305,IF(C260="CWP",B260,H260),Restricciones!$F$6:$F$305,"Abierta")+COUNTIFS(Restricciones!$C$6:$C$305,IF(C260="CWP",B260,H260),Restricciones!$F$6:$F$305,"En gestión"))))</f>
        <v/>
      </c>
      <c r="S260" s="30">
        <f>IF(OR(B260="",M260=""),"",IF(O260&lt;&gt;"",MAX(0,O260-M260),IF(AND($B$3&gt;M260,K260&lt;&gt;"Cerrado"),$B$3-M260,0)))</f>
        <v/>
      </c>
      <c r="T260" s="31">
        <f>IF(B260="","",IF(K260="Cerrado",IF(S260&gt;0,"Cerrado con atraso","Cerrado"),IF(S260&gt;0,"Atrasado",IF(AND(N260="",L260&lt;&gt;"",$B$3&gt;L260),"Inicio atrasado","En plazo"))))</f>
        <v/>
      </c>
      <c r="U260" s="26" t="n"/>
    </row>
    <row r="261">
      <c r="A261" s="24" t="n"/>
      <c r="B261" s="25" t="n"/>
      <c r="C261" s="25" t="n"/>
      <c r="D261" s="25" t="n"/>
      <c r="E261" s="26" t="n"/>
      <c r="F261" s="25" t="n"/>
      <c r="G261" s="25" t="n"/>
      <c r="H261" s="25" t="n"/>
      <c r="I261" s="25" t="n"/>
      <c r="J261" s="25" t="n"/>
      <c r="K261" s="25" t="n"/>
      <c r="L261" s="27" t="n"/>
      <c r="M261" s="27" t="n"/>
      <c r="N261" s="27" t="n"/>
      <c r="O261" s="27" t="n"/>
      <c r="P261" s="28" t="n"/>
      <c r="Q261" s="29" t="n"/>
      <c r="R261" s="30">
        <f>IF(B261="","",IF(C261="IWP",COUNTIFS(Restricciones!$D$6:$D$305,B261,Restricciones!$F$6:$F$305,"Abierta")+COUNTIFS(Restricciones!$D$6:$D$305,B261,Restricciones!$F$6:$F$305,"En gestión"),IF(C261="CWA",COUNTIFS(Restricciones!$C$6:$C$305,"CWP-"&amp;MID(B261,5,4)&amp;"-*",Restricciones!$F$6:$F$305,"Abierta")+COUNTIFS(Restricciones!$C$6:$C$305,"CWP-"&amp;MID(B261,5,4)&amp;"-*",Restricciones!$F$6:$F$305,"En gestión"),COUNTIFS(Restricciones!$C$6:$C$305,IF(C261="CWP",B261,H261),Restricciones!$F$6:$F$305,"Abierta")+COUNTIFS(Restricciones!$C$6:$C$305,IF(C261="CWP",B261,H261),Restricciones!$F$6:$F$305,"En gestión"))))</f>
        <v/>
      </c>
      <c r="S261" s="30">
        <f>IF(OR(B261="",M261=""),"",IF(O261&lt;&gt;"",MAX(0,O261-M261),IF(AND($B$3&gt;M261,K261&lt;&gt;"Cerrado"),$B$3-M261,0)))</f>
        <v/>
      </c>
      <c r="T261" s="31">
        <f>IF(B261="","",IF(K261="Cerrado",IF(S261&gt;0,"Cerrado con atraso","Cerrado"),IF(S261&gt;0,"Atrasado",IF(AND(N261="",L261&lt;&gt;"",$B$3&gt;L261),"Inicio atrasado","En plazo"))))</f>
        <v/>
      </c>
      <c r="U261" s="26" t="n"/>
    </row>
    <row r="262">
      <c r="A262" s="24" t="n"/>
      <c r="B262" s="25" t="n"/>
      <c r="C262" s="25" t="n"/>
      <c r="D262" s="25" t="n"/>
      <c r="E262" s="26" t="n"/>
      <c r="F262" s="25" t="n"/>
      <c r="G262" s="25" t="n"/>
      <c r="H262" s="25" t="n"/>
      <c r="I262" s="25" t="n"/>
      <c r="J262" s="25" t="n"/>
      <c r="K262" s="25" t="n"/>
      <c r="L262" s="27" t="n"/>
      <c r="M262" s="27" t="n"/>
      <c r="N262" s="27" t="n"/>
      <c r="O262" s="27" t="n"/>
      <c r="P262" s="28" t="n"/>
      <c r="Q262" s="29" t="n"/>
      <c r="R262" s="30">
        <f>IF(B262="","",IF(C262="IWP",COUNTIFS(Restricciones!$D$6:$D$305,B262,Restricciones!$F$6:$F$305,"Abierta")+COUNTIFS(Restricciones!$D$6:$D$305,B262,Restricciones!$F$6:$F$305,"En gestión"),IF(C262="CWA",COUNTIFS(Restricciones!$C$6:$C$305,"CWP-"&amp;MID(B262,5,4)&amp;"-*",Restricciones!$F$6:$F$305,"Abierta")+COUNTIFS(Restricciones!$C$6:$C$305,"CWP-"&amp;MID(B262,5,4)&amp;"-*",Restricciones!$F$6:$F$305,"En gestión"),COUNTIFS(Restricciones!$C$6:$C$305,IF(C262="CWP",B262,H262),Restricciones!$F$6:$F$305,"Abierta")+COUNTIFS(Restricciones!$C$6:$C$305,IF(C262="CWP",B262,H262),Restricciones!$F$6:$F$305,"En gestión"))))</f>
        <v/>
      </c>
      <c r="S262" s="30">
        <f>IF(OR(B262="",M262=""),"",IF(O262&lt;&gt;"",MAX(0,O262-M262),IF(AND($B$3&gt;M262,K262&lt;&gt;"Cerrado"),$B$3-M262,0)))</f>
        <v/>
      </c>
      <c r="T262" s="31">
        <f>IF(B262="","",IF(K262="Cerrado",IF(S262&gt;0,"Cerrado con atraso","Cerrado"),IF(S262&gt;0,"Atrasado",IF(AND(N262="",L262&lt;&gt;"",$B$3&gt;L262),"Inicio atrasado","En plazo"))))</f>
        <v/>
      </c>
      <c r="U262" s="26" t="n"/>
    </row>
    <row r="263">
      <c r="A263" s="24" t="n"/>
      <c r="B263" s="25" t="n"/>
      <c r="C263" s="25" t="n"/>
      <c r="D263" s="25" t="n"/>
      <c r="E263" s="26" t="n"/>
      <c r="F263" s="25" t="n"/>
      <c r="G263" s="25" t="n"/>
      <c r="H263" s="25" t="n"/>
      <c r="I263" s="25" t="n"/>
      <c r="J263" s="25" t="n"/>
      <c r="K263" s="25" t="n"/>
      <c r="L263" s="27" t="n"/>
      <c r="M263" s="27" t="n"/>
      <c r="N263" s="27" t="n"/>
      <c r="O263" s="27" t="n"/>
      <c r="P263" s="28" t="n"/>
      <c r="Q263" s="29" t="n"/>
      <c r="R263" s="30">
        <f>IF(B263="","",IF(C263="IWP",COUNTIFS(Restricciones!$D$6:$D$305,B263,Restricciones!$F$6:$F$305,"Abierta")+COUNTIFS(Restricciones!$D$6:$D$305,B263,Restricciones!$F$6:$F$305,"En gestión"),IF(C263="CWA",COUNTIFS(Restricciones!$C$6:$C$305,"CWP-"&amp;MID(B263,5,4)&amp;"-*",Restricciones!$F$6:$F$305,"Abierta")+COUNTIFS(Restricciones!$C$6:$C$305,"CWP-"&amp;MID(B263,5,4)&amp;"-*",Restricciones!$F$6:$F$305,"En gestión"),COUNTIFS(Restricciones!$C$6:$C$305,IF(C263="CWP",B263,H263),Restricciones!$F$6:$F$305,"Abierta")+COUNTIFS(Restricciones!$C$6:$C$305,IF(C263="CWP",B263,H263),Restricciones!$F$6:$F$305,"En gestión"))))</f>
        <v/>
      </c>
      <c r="S263" s="30">
        <f>IF(OR(B263="",M263=""),"",IF(O263&lt;&gt;"",MAX(0,O263-M263),IF(AND($B$3&gt;M263,K263&lt;&gt;"Cerrado"),$B$3-M263,0)))</f>
        <v/>
      </c>
      <c r="T263" s="31">
        <f>IF(B263="","",IF(K263="Cerrado",IF(S263&gt;0,"Cerrado con atraso","Cerrado"),IF(S263&gt;0,"Atrasado",IF(AND(N263="",L263&lt;&gt;"",$B$3&gt;L263),"Inicio atrasado","En plazo"))))</f>
        <v/>
      </c>
      <c r="U263" s="26" t="n"/>
    </row>
    <row r="264">
      <c r="A264" s="24" t="n"/>
      <c r="B264" s="25" t="n"/>
      <c r="C264" s="25" t="n"/>
      <c r="D264" s="25" t="n"/>
      <c r="E264" s="26" t="n"/>
      <c r="F264" s="25" t="n"/>
      <c r="G264" s="25" t="n"/>
      <c r="H264" s="25" t="n"/>
      <c r="I264" s="25" t="n"/>
      <c r="J264" s="25" t="n"/>
      <c r="K264" s="25" t="n"/>
      <c r="L264" s="27" t="n"/>
      <c r="M264" s="27" t="n"/>
      <c r="N264" s="27" t="n"/>
      <c r="O264" s="27" t="n"/>
      <c r="P264" s="28" t="n"/>
      <c r="Q264" s="29" t="n"/>
      <c r="R264" s="30">
        <f>IF(B264="","",IF(C264="IWP",COUNTIFS(Restricciones!$D$6:$D$305,B264,Restricciones!$F$6:$F$305,"Abierta")+COUNTIFS(Restricciones!$D$6:$D$305,B264,Restricciones!$F$6:$F$305,"En gestión"),IF(C264="CWA",COUNTIFS(Restricciones!$C$6:$C$305,"CWP-"&amp;MID(B264,5,4)&amp;"-*",Restricciones!$F$6:$F$305,"Abierta")+COUNTIFS(Restricciones!$C$6:$C$305,"CWP-"&amp;MID(B264,5,4)&amp;"-*",Restricciones!$F$6:$F$305,"En gestión"),COUNTIFS(Restricciones!$C$6:$C$305,IF(C264="CWP",B264,H264),Restricciones!$F$6:$F$305,"Abierta")+COUNTIFS(Restricciones!$C$6:$C$305,IF(C264="CWP",B264,H264),Restricciones!$F$6:$F$305,"En gestión"))))</f>
        <v/>
      </c>
      <c r="S264" s="30">
        <f>IF(OR(B264="",M264=""),"",IF(O264&lt;&gt;"",MAX(0,O264-M264),IF(AND($B$3&gt;M264,K264&lt;&gt;"Cerrado"),$B$3-M264,0)))</f>
        <v/>
      </c>
      <c r="T264" s="31">
        <f>IF(B264="","",IF(K264="Cerrado",IF(S264&gt;0,"Cerrado con atraso","Cerrado"),IF(S264&gt;0,"Atrasado",IF(AND(N264="",L264&lt;&gt;"",$B$3&gt;L264),"Inicio atrasado","En plazo"))))</f>
        <v/>
      </c>
      <c r="U264" s="26" t="n"/>
    </row>
    <row r="265">
      <c r="A265" s="24" t="n"/>
      <c r="B265" s="25" t="n"/>
      <c r="C265" s="25" t="n"/>
      <c r="D265" s="25" t="n"/>
      <c r="E265" s="26" t="n"/>
      <c r="F265" s="25" t="n"/>
      <c r="G265" s="25" t="n"/>
      <c r="H265" s="25" t="n"/>
      <c r="I265" s="25" t="n"/>
      <c r="J265" s="25" t="n"/>
      <c r="K265" s="25" t="n"/>
      <c r="L265" s="27" t="n"/>
      <c r="M265" s="27" t="n"/>
      <c r="N265" s="27" t="n"/>
      <c r="O265" s="27" t="n"/>
      <c r="P265" s="28" t="n"/>
      <c r="Q265" s="29" t="n"/>
      <c r="R265" s="30">
        <f>IF(B265="","",IF(C265="IWP",COUNTIFS(Restricciones!$D$6:$D$305,B265,Restricciones!$F$6:$F$305,"Abierta")+COUNTIFS(Restricciones!$D$6:$D$305,B265,Restricciones!$F$6:$F$305,"En gestión"),IF(C265="CWA",COUNTIFS(Restricciones!$C$6:$C$305,"CWP-"&amp;MID(B265,5,4)&amp;"-*",Restricciones!$F$6:$F$305,"Abierta")+COUNTIFS(Restricciones!$C$6:$C$305,"CWP-"&amp;MID(B265,5,4)&amp;"-*",Restricciones!$F$6:$F$305,"En gestión"),COUNTIFS(Restricciones!$C$6:$C$305,IF(C265="CWP",B265,H265),Restricciones!$F$6:$F$305,"Abierta")+COUNTIFS(Restricciones!$C$6:$C$305,IF(C265="CWP",B265,H265),Restricciones!$F$6:$F$305,"En gestión"))))</f>
        <v/>
      </c>
      <c r="S265" s="30">
        <f>IF(OR(B265="",M265=""),"",IF(O265&lt;&gt;"",MAX(0,O265-M265),IF(AND($B$3&gt;M265,K265&lt;&gt;"Cerrado"),$B$3-M265,0)))</f>
        <v/>
      </c>
      <c r="T265" s="31">
        <f>IF(B265="","",IF(K265="Cerrado",IF(S265&gt;0,"Cerrado con atraso","Cerrado"),IF(S265&gt;0,"Atrasado",IF(AND(N265="",L265&lt;&gt;"",$B$3&gt;L265),"Inicio atrasado","En plazo"))))</f>
        <v/>
      </c>
      <c r="U265" s="26" t="n"/>
    </row>
    <row r="266">
      <c r="A266" s="24" t="n"/>
      <c r="B266" s="25" t="n"/>
      <c r="C266" s="25" t="n"/>
      <c r="D266" s="25" t="n"/>
      <c r="E266" s="26" t="n"/>
      <c r="F266" s="25" t="n"/>
      <c r="G266" s="25" t="n"/>
      <c r="H266" s="25" t="n"/>
      <c r="I266" s="25" t="n"/>
      <c r="J266" s="25" t="n"/>
      <c r="K266" s="25" t="n"/>
      <c r="L266" s="27" t="n"/>
      <c r="M266" s="27" t="n"/>
      <c r="N266" s="27" t="n"/>
      <c r="O266" s="27" t="n"/>
      <c r="P266" s="28" t="n"/>
      <c r="Q266" s="29" t="n"/>
      <c r="R266" s="30">
        <f>IF(B266="","",IF(C266="IWP",COUNTIFS(Restricciones!$D$6:$D$305,B266,Restricciones!$F$6:$F$305,"Abierta")+COUNTIFS(Restricciones!$D$6:$D$305,B266,Restricciones!$F$6:$F$305,"En gestión"),IF(C266="CWA",COUNTIFS(Restricciones!$C$6:$C$305,"CWP-"&amp;MID(B266,5,4)&amp;"-*",Restricciones!$F$6:$F$305,"Abierta")+COUNTIFS(Restricciones!$C$6:$C$305,"CWP-"&amp;MID(B266,5,4)&amp;"-*",Restricciones!$F$6:$F$305,"En gestión"),COUNTIFS(Restricciones!$C$6:$C$305,IF(C266="CWP",B266,H266),Restricciones!$F$6:$F$305,"Abierta")+COUNTIFS(Restricciones!$C$6:$C$305,IF(C266="CWP",B266,H266),Restricciones!$F$6:$F$305,"En gestión"))))</f>
        <v/>
      </c>
      <c r="S266" s="30">
        <f>IF(OR(B266="",M266=""),"",IF(O266&lt;&gt;"",MAX(0,O266-M266),IF(AND($B$3&gt;M266,K266&lt;&gt;"Cerrado"),$B$3-M266,0)))</f>
        <v/>
      </c>
      <c r="T266" s="31">
        <f>IF(B266="","",IF(K266="Cerrado",IF(S266&gt;0,"Cerrado con atraso","Cerrado"),IF(S266&gt;0,"Atrasado",IF(AND(N266="",L266&lt;&gt;"",$B$3&gt;L266),"Inicio atrasado","En plazo"))))</f>
        <v/>
      </c>
      <c r="U266" s="26" t="n"/>
    </row>
    <row r="267">
      <c r="A267" s="24" t="n"/>
      <c r="B267" s="25" t="n"/>
      <c r="C267" s="25" t="n"/>
      <c r="D267" s="25" t="n"/>
      <c r="E267" s="26" t="n"/>
      <c r="F267" s="25" t="n"/>
      <c r="G267" s="25" t="n"/>
      <c r="H267" s="25" t="n"/>
      <c r="I267" s="25" t="n"/>
      <c r="J267" s="25" t="n"/>
      <c r="K267" s="25" t="n"/>
      <c r="L267" s="27" t="n"/>
      <c r="M267" s="27" t="n"/>
      <c r="N267" s="27" t="n"/>
      <c r="O267" s="27" t="n"/>
      <c r="P267" s="28" t="n"/>
      <c r="Q267" s="29" t="n"/>
      <c r="R267" s="30">
        <f>IF(B267="","",IF(C267="IWP",COUNTIFS(Restricciones!$D$6:$D$305,B267,Restricciones!$F$6:$F$305,"Abierta")+COUNTIFS(Restricciones!$D$6:$D$305,B267,Restricciones!$F$6:$F$305,"En gestión"),IF(C267="CWA",COUNTIFS(Restricciones!$C$6:$C$305,"CWP-"&amp;MID(B267,5,4)&amp;"-*",Restricciones!$F$6:$F$305,"Abierta")+COUNTIFS(Restricciones!$C$6:$C$305,"CWP-"&amp;MID(B267,5,4)&amp;"-*",Restricciones!$F$6:$F$305,"En gestión"),COUNTIFS(Restricciones!$C$6:$C$305,IF(C267="CWP",B267,H267),Restricciones!$F$6:$F$305,"Abierta")+COUNTIFS(Restricciones!$C$6:$C$305,IF(C267="CWP",B267,H267),Restricciones!$F$6:$F$305,"En gestión"))))</f>
        <v/>
      </c>
      <c r="S267" s="30">
        <f>IF(OR(B267="",M267=""),"",IF(O267&lt;&gt;"",MAX(0,O267-M267),IF(AND($B$3&gt;M267,K267&lt;&gt;"Cerrado"),$B$3-M267,0)))</f>
        <v/>
      </c>
      <c r="T267" s="31">
        <f>IF(B267="","",IF(K267="Cerrado",IF(S267&gt;0,"Cerrado con atraso","Cerrado"),IF(S267&gt;0,"Atrasado",IF(AND(N267="",L267&lt;&gt;"",$B$3&gt;L267),"Inicio atrasado","En plazo"))))</f>
        <v/>
      </c>
      <c r="U267" s="26" t="n"/>
    </row>
    <row r="268">
      <c r="A268" s="24" t="n"/>
      <c r="B268" s="25" t="n"/>
      <c r="C268" s="25" t="n"/>
      <c r="D268" s="25" t="n"/>
      <c r="E268" s="26" t="n"/>
      <c r="F268" s="25" t="n"/>
      <c r="G268" s="25" t="n"/>
      <c r="H268" s="25" t="n"/>
      <c r="I268" s="25" t="n"/>
      <c r="J268" s="25" t="n"/>
      <c r="K268" s="25" t="n"/>
      <c r="L268" s="27" t="n"/>
      <c r="M268" s="27" t="n"/>
      <c r="N268" s="27" t="n"/>
      <c r="O268" s="27" t="n"/>
      <c r="P268" s="28" t="n"/>
      <c r="Q268" s="29" t="n"/>
      <c r="R268" s="30">
        <f>IF(B268="","",IF(C268="IWP",COUNTIFS(Restricciones!$D$6:$D$305,B268,Restricciones!$F$6:$F$305,"Abierta")+COUNTIFS(Restricciones!$D$6:$D$305,B268,Restricciones!$F$6:$F$305,"En gestión"),IF(C268="CWA",COUNTIFS(Restricciones!$C$6:$C$305,"CWP-"&amp;MID(B268,5,4)&amp;"-*",Restricciones!$F$6:$F$305,"Abierta")+COUNTIFS(Restricciones!$C$6:$C$305,"CWP-"&amp;MID(B268,5,4)&amp;"-*",Restricciones!$F$6:$F$305,"En gestión"),COUNTIFS(Restricciones!$C$6:$C$305,IF(C268="CWP",B268,H268),Restricciones!$F$6:$F$305,"Abierta")+COUNTIFS(Restricciones!$C$6:$C$305,IF(C268="CWP",B268,H268),Restricciones!$F$6:$F$305,"En gestión"))))</f>
        <v/>
      </c>
      <c r="S268" s="30">
        <f>IF(OR(B268="",M268=""),"",IF(O268&lt;&gt;"",MAX(0,O268-M268),IF(AND($B$3&gt;M268,K268&lt;&gt;"Cerrado"),$B$3-M268,0)))</f>
        <v/>
      </c>
      <c r="T268" s="31">
        <f>IF(B268="","",IF(K268="Cerrado",IF(S268&gt;0,"Cerrado con atraso","Cerrado"),IF(S268&gt;0,"Atrasado",IF(AND(N268="",L268&lt;&gt;"",$B$3&gt;L268),"Inicio atrasado","En plazo"))))</f>
        <v/>
      </c>
      <c r="U268" s="26" t="n"/>
    </row>
    <row r="269">
      <c r="A269" s="24" t="n"/>
      <c r="B269" s="25" t="n"/>
      <c r="C269" s="25" t="n"/>
      <c r="D269" s="25" t="n"/>
      <c r="E269" s="26" t="n"/>
      <c r="F269" s="25" t="n"/>
      <c r="G269" s="25" t="n"/>
      <c r="H269" s="25" t="n"/>
      <c r="I269" s="25" t="n"/>
      <c r="J269" s="25" t="n"/>
      <c r="K269" s="25" t="n"/>
      <c r="L269" s="27" t="n"/>
      <c r="M269" s="27" t="n"/>
      <c r="N269" s="27" t="n"/>
      <c r="O269" s="27" t="n"/>
      <c r="P269" s="28" t="n"/>
      <c r="Q269" s="29" t="n"/>
      <c r="R269" s="30">
        <f>IF(B269="","",IF(C269="IWP",COUNTIFS(Restricciones!$D$6:$D$305,B269,Restricciones!$F$6:$F$305,"Abierta")+COUNTIFS(Restricciones!$D$6:$D$305,B269,Restricciones!$F$6:$F$305,"En gestión"),IF(C269="CWA",COUNTIFS(Restricciones!$C$6:$C$305,"CWP-"&amp;MID(B269,5,4)&amp;"-*",Restricciones!$F$6:$F$305,"Abierta")+COUNTIFS(Restricciones!$C$6:$C$305,"CWP-"&amp;MID(B269,5,4)&amp;"-*",Restricciones!$F$6:$F$305,"En gestión"),COUNTIFS(Restricciones!$C$6:$C$305,IF(C269="CWP",B269,H269),Restricciones!$F$6:$F$305,"Abierta")+COUNTIFS(Restricciones!$C$6:$C$305,IF(C269="CWP",B269,H269),Restricciones!$F$6:$F$305,"En gestión"))))</f>
        <v/>
      </c>
      <c r="S269" s="30">
        <f>IF(OR(B269="",M269=""),"",IF(O269&lt;&gt;"",MAX(0,O269-M269),IF(AND($B$3&gt;M269,K269&lt;&gt;"Cerrado"),$B$3-M269,0)))</f>
        <v/>
      </c>
      <c r="T269" s="31">
        <f>IF(B269="","",IF(K269="Cerrado",IF(S269&gt;0,"Cerrado con atraso","Cerrado"),IF(S269&gt;0,"Atrasado",IF(AND(N269="",L269&lt;&gt;"",$B$3&gt;L269),"Inicio atrasado","En plazo"))))</f>
        <v/>
      </c>
      <c r="U269" s="26" t="n"/>
    </row>
    <row r="270">
      <c r="A270" s="24" t="n"/>
      <c r="B270" s="25" t="n"/>
      <c r="C270" s="25" t="n"/>
      <c r="D270" s="25" t="n"/>
      <c r="E270" s="26" t="n"/>
      <c r="F270" s="25" t="n"/>
      <c r="G270" s="25" t="n"/>
      <c r="H270" s="25" t="n"/>
      <c r="I270" s="25" t="n"/>
      <c r="J270" s="25" t="n"/>
      <c r="K270" s="25" t="n"/>
      <c r="L270" s="27" t="n"/>
      <c r="M270" s="27" t="n"/>
      <c r="N270" s="27" t="n"/>
      <c r="O270" s="27" t="n"/>
      <c r="P270" s="28" t="n"/>
      <c r="Q270" s="29" t="n"/>
      <c r="R270" s="30">
        <f>IF(B270="","",IF(C270="IWP",COUNTIFS(Restricciones!$D$6:$D$305,B270,Restricciones!$F$6:$F$305,"Abierta")+COUNTIFS(Restricciones!$D$6:$D$305,B270,Restricciones!$F$6:$F$305,"En gestión"),IF(C270="CWA",COUNTIFS(Restricciones!$C$6:$C$305,"CWP-"&amp;MID(B270,5,4)&amp;"-*",Restricciones!$F$6:$F$305,"Abierta")+COUNTIFS(Restricciones!$C$6:$C$305,"CWP-"&amp;MID(B270,5,4)&amp;"-*",Restricciones!$F$6:$F$305,"En gestión"),COUNTIFS(Restricciones!$C$6:$C$305,IF(C270="CWP",B270,H270),Restricciones!$F$6:$F$305,"Abierta")+COUNTIFS(Restricciones!$C$6:$C$305,IF(C270="CWP",B270,H270),Restricciones!$F$6:$F$305,"En gestión"))))</f>
        <v/>
      </c>
      <c r="S270" s="30">
        <f>IF(OR(B270="",M270=""),"",IF(O270&lt;&gt;"",MAX(0,O270-M270),IF(AND($B$3&gt;M270,K270&lt;&gt;"Cerrado"),$B$3-M270,0)))</f>
        <v/>
      </c>
      <c r="T270" s="31">
        <f>IF(B270="","",IF(K270="Cerrado",IF(S270&gt;0,"Cerrado con atraso","Cerrado"),IF(S270&gt;0,"Atrasado",IF(AND(N270="",L270&lt;&gt;"",$B$3&gt;L270),"Inicio atrasado","En plazo"))))</f>
        <v/>
      </c>
      <c r="U270" s="26" t="n"/>
    </row>
    <row r="271">
      <c r="A271" s="24" t="n"/>
      <c r="B271" s="25" t="n"/>
      <c r="C271" s="25" t="n"/>
      <c r="D271" s="25" t="n"/>
      <c r="E271" s="26" t="n"/>
      <c r="F271" s="25" t="n"/>
      <c r="G271" s="25" t="n"/>
      <c r="H271" s="25" t="n"/>
      <c r="I271" s="25" t="n"/>
      <c r="J271" s="25" t="n"/>
      <c r="K271" s="25" t="n"/>
      <c r="L271" s="27" t="n"/>
      <c r="M271" s="27" t="n"/>
      <c r="N271" s="27" t="n"/>
      <c r="O271" s="27" t="n"/>
      <c r="P271" s="28" t="n"/>
      <c r="Q271" s="29" t="n"/>
      <c r="R271" s="30">
        <f>IF(B271="","",IF(C271="IWP",COUNTIFS(Restricciones!$D$6:$D$305,B271,Restricciones!$F$6:$F$305,"Abierta")+COUNTIFS(Restricciones!$D$6:$D$305,B271,Restricciones!$F$6:$F$305,"En gestión"),IF(C271="CWA",COUNTIFS(Restricciones!$C$6:$C$305,"CWP-"&amp;MID(B271,5,4)&amp;"-*",Restricciones!$F$6:$F$305,"Abierta")+COUNTIFS(Restricciones!$C$6:$C$305,"CWP-"&amp;MID(B271,5,4)&amp;"-*",Restricciones!$F$6:$F$305,"En gestión"),COUNTIFS(Restricciones!$C$6:$C$305,IF(C271="CWP",B271,H271),Restricciones!$F$6:$F$305,"Abierta")+COUNTIFS(Restricciones!$C$6:$C$305,IF(C271="CWP",B271,H271),Restricciones!$F$6:$F$305,"En gestión"))))</f>
        <v/>
      </c>
      <c r="S271" s="30">
        <f>IF(OR(B271="",M271=""),"",IF(O271&lt;&gt;"",MAX(0,O271-M271),IF(AND($B$3&gt;M271,K271&lt;&gt;"Cerrado"),$B$3-M271,0)))</f>
        <v/>
      </c>
      <c r="T271" s="31">
        <f>IF(B271="","",IF(K271="Cerrado",IF(S271&gt;0,"Cerrado con atraso","Cerrado"),IF(S271&gt;0,"Atrasado",IF(AND(N271="",L271&lt;&gt;"",$B$3&gt;L271),"Inicio atrasado","En plazo"))))</f>
        <v/>
      </c>
      <c r="U271" s="26" t="n"/>
    </row>
    <row r="272">
      <c r="A272" s="24" t="n"/>
      <c r="B272" s="25" t="n"/>
      <c r="C272" s="25" t="n"/>
      <c r="D272" s="25" t="n"/>
      <c r="E272" s="26" t="n"/>
      <c r="F272" s="25" t="n"/>
      <c r="G272" s="25" t="n"/>
      <c r="H272" s="25" t="n"/>
      <c r="I272" s="25" t="n"/>
      <c r="J272" s="25" t="n"/>
      <c r="K272" s="25" t="n"/>
      <c r="L272" s="27" t="n"/>
      <c r="M272" s="27" t="n"/>
      <c r="N272" s="27" t="n"/>
      <c r="O272" s="27" t="n"/>
      <c r="P272" s="28" t="n"/>
      <c r="Q272" s="29" t="n"/>
      <c r="R272" s="30">
        <f>IF(B272="","",IF(C272="IWP",COUNTIFS(Restricciones!$D$6:$D$305,B272,Restricciones!$F$6:$F$305,"Abierta")+COUNTIFS(Restricciones!$D$6:$D$305,B272,Restricciones!$F$6:$F$305,"En gestión"),IF(C272="CWA",COUNTIFS(Restricciones!$C$6:$C$305,"CWP-"&amp;MID(B272,5,4)&amp;"-*",Restricciones!$F$6:$F$305,"Abierta")+COUNTIFS(Restricciones!$C$6:$C$305,"CWP-"&amp;MID(B272,5,4)&amp;"-*",Restricciones!$F$6:$F$305,"En gestión"),COUNTIFS(Restricciones!$C$6:$C$305,IF(C272="CWP",B272,H272),Restricciones!$F$6:$F$305,"Abierta")+COUNTIFS(Restricciones!$C$6:$C$305,IF(C272="CWP",B272,H272),Restricciones!$F$6:$F$305,"En gestión"))))</f>
        <v/>
      </c>
      <c r="S272" s="30">
        <f>IF(OR(B272="",M272=""),"",IF(O272&lt;&gt;"",MAX(0,O272-M272),IF(AND($B$3&gt;M272,K272&lt;&gt;"Cerrado"),$B$3-M272,0)))</f>
        <v/>
      </c>
      <c r="T272" s="31">
        <f>IF(B272="","",IF(K272="Cerrado",IF(S272&gt;0,"Cerrado con atraso","Cerrado"),IF(S272&gt;0,"Atrasado",IF(AND(N272="",L272&lt;&gt;"",$B$3&gt;L272),"Inicio atrasado","En plazo"))))</f>
        <v/>
      </c>
      <c r="U272" s="26" t="n"/>
    </row>
    <row r="273">
      <c r="A273" s="24" t="n"/>
      <c r="B273" s="25" t="n"/>
      <c r="C273" s="25" t="n"/>
      <c r="D273" s="25" t="n"/>
      <c r="E273" s="26" t="n"/>
      <c r="F273" s="25" t="n"/>
      <c r="G273" s="25" t="n"/>
      <c r="H273" s="25" t="n"/>
      <c r="I273" s="25" t="n"/>
      <c r="J273" s="25" t="n"/>
      <c r="K273" s="25" t="n"/>
      <c r="L273" s="27" t="n"/>
      <c r="M273" s="27" t="n"/>
      <c r="N273" s="27" t="n"/>
      <c r="O273" s="27" t="n"/>
      <c r="P273" s="28" t="n"/>
      <c r="Q273" s="29" t="n"/>
      <c r="R273" s="30">
        <f>IF(B273="","",IF(C273="IWP",COUNTIFS(Restricciones!$D$6:$D$305,B273,Restricciones!$F$6:$F$305,"Abierta")+COUNTIFS(Restricciones!$D$6:$D$305,B273,Restricciones!$F$6:$F$305,"En gestión"),IF(C273="CWA",COUNTIFS(Restricciones!$C$6:$C$305,"CWP-"&amp;MID(B273,5,4)&amp;"-*",Restricciones!$F$6:$F$305,"Abierta")+COUNTIFS(Restricciones!$C$6:$C$305,"CWP-"&amp;MID(B273,5,4)&amp;"-*",Restricciones!$F$6:$F$305,"En gestión"),COUNTIFS(Restricciones!$C$6:$C$305,IF(C273="CWP",B273,H273),Restricciones!$F$6:$F$305,"Abierta")+COUNTIFS(Restricciones!$C$6:$C$305,IF(C273="CWP",B273,H273),Restricciones!$F$6:$F$305,"En gestión"))))</f>
        <v/>
      </c>
      <c r="S273" s="30">
        <f>IF(OR(B273="",M273=""),"",IF(O273&lt;&gt;"",MAX(0,O273-M273),IF(AND($B$3&gt;M273,K273&lt;&gt;"Cerrado"),$B$3-M273,0)))</f>
        <v/>
      </c>
      <c r="T273" s="31">
        <f>IF(B273="","",IF(K273="Cerrado",IF(S273&gt;0,"Cerrado con atraso","Cerrado"),IF(S273&gt;0,"Atrasado",IF(AND(N273="",L273&lt;&gt;"",$B$3&gt;L273),"Inicio atrasado","En plazo"))))</f>
        <v/>
      </c>
      <c r="U273" s="26" t="n"/>
    </row>
    <row r="274">
      <c r="A274" s="24" t="n"/>
      <c r="B274" s="25" t="n"/>
      <c r="C274" s="25" t="n"/>
      <c r="D274" s="25" t="n"/>
      <c r="E274" s="26" t="n"/>
      <c r="F274" s="25" t="n"/>
      <c r="G274" s="25" t="n"/>
      <c r="H274" s="25" t="n"/>
      <c r="I274" s="25" t="n"/>
      <c r="J274" s="25" t="n"/>
      <c r="K274" s="25" t="n"/>
      <c r="L274" s="27" t="n"/>
      <c r="M274" s="27" t="n"/>
      <c r="N274" s="27" t="n"/>
      <c r="O274" s="27" t="n"/>
      <c r="P274" s="28" t="n"/>
      <c r="Q274" s="29" t="n"/>
      <c r="R274" s="30">
        <f>IF(B274="","",IF(C274="IWP",COUNTIFS(Restricciones!$D$6:$D$305,B274,Restricciones!$F$6:$F$305,"Abierta")+COUNTIFS(Restricciones!$D$6:$D$305,B274,Restricciones!$F$6:$F$305,"En gestión"),IF(C274="CWA",COUNTIFS(Restricciones!$C$6:$C$305,"CWP-"&amp;MID(B274,5,4)&amp;"-*",Restricciones!$F$6:$F$305,"Abierta")+COUNTIFS(Restricciones!$C$6:$C$305,"CWP-"&amp;MID(B274,5,4)&amp;"-*",Restricciones!$F$6:$F$305,"En gestión"),COUNTIFS(Restricciones!$C$6:$C$305,IF(C274="CWP",B274,H274),Restricciones!$F$6:$F$305,"Abierta")+COUNTIFS(Restricciones!$C$6:$C$305,IF(C274="CWP",B274,H274),Restricciones!$F$6:$F$305,"En gestión"))))</f>
        <v/>
      </c>
      <c r="S274" s="30">
        <f>IF(OR(B274="",M274=""),"",IF(O274&lt;&gt;"",MAX(0,O274-M274),IF(AND($B$3&gt;M274,K274&lt;&gt;"Cerrado"),$B$3-M274,0)))</f>
        <v/>
      </c>
      <c r="T274" s="31">
        <f>IF(B274="","",IF(K274="Cerrado",IF(S274&gt;0,"Cerrado con atraso","Cerrado"),IF(S274&gt;0,"Atrasado",IF(AND(N274="",L274&lt;&gt;"",$B$3&gt;L274),"Inicio atrasado","En plazo"))))</f>
        <v/>
      </c>
      <c r="U274" s="26" t="n"/>
    </row>
    <row r="275">
      <c r="A275" s="24" t="n"/>
      <c r="B275" s="25" t="n"/>
      <c r="C275" s="25" t="n"/>
      <c r="D275" s="25" t="n"/>
      <c r="E275" s="26" t="n"/>
      <c r="F275" s="25" t="n"/>
      <c r="G275" s="25" t="n"/>
      <c r="H275" s="25" t="n"/>
      <c r="I275" s="25" t="n"/>
      <c r="J275" s="25" t="n"/>
      <c r="K275" s="25" t="n"/>
      <c r="L275" s="27" t="n"/>
      <c r="M275" s="27" t="n"/>
      <c r="N275" s="27" t="n"/>
      <c r="O275" s="27" t="n"/>
      <c r="P275" s="28" t="n"/>
      <c r="Q275" s="29" t="n"/>
      <c r="R275" s="30">
        <f>IF(B275="","",IF(C275="IWP",COUNTIFS(Restricciones!$D$6:$D$305,B275,Restricciones!$F$6:$F$305,"Abierta")+COUNTIFS(Restricciones!$D$6:$D$305,B275,Restricciones!$F$6:$F$305,"En gestión"),IF(C275="CWA",COUNTIFS(Restricciones!$C$6:$C$305,"CWP-"&amp;MID(B275,5,4)&amp;"-*",Restricciones!$F$6:$F$305,"Abierta")+COUNTIFS(Restricciones!$C$6:$C$305,"CWP-"&amp;MID(B275,5,4)&amp;"-*",Restricciones!$F$6:$F$305,"En gestión"),COUNTIFS(Restricciones!$C$6:$C$305,IF(C275="CWP",B275,H275),Restricciones!$F$6:$F$305,"Abierta")+COUNTIFS(Restricciones!$C$6:$C$305,IF(C275="CWP",B275,H275),Restricciones!$F$6:$F$305,"En gestión"))))</f>
        <v/>
      </c>
      <c r="S275" s="30">
        <f>IF(OR(B275="",M275=""),"",IF(O275&lt;&gt;"",MAX(0,O275-M275),IF(AND($B$3&gt;M275,K275&lt;&gt;"Cerrado"),$B$3-M275,0)))</f>
        <v/>
      </c>
      <c r="T275" s="31">
        <f>IF(B275="","",IF(K275="Cerrado",IF(S275&gt;0,"Cerrado con atraso","Cerrado"),IF(S275&gt;0,"Atrasado",IF(AND(N275="",L275&lt;&gt;"",$B$3&gt;L275),"Inicio atrasado","En plazo"))))</f>
        <v/>
      </c>
      <c r="U275" s="26" t="n"/>
    </row>
    <row r="276">
      <c r="A276" s="24" t="n"/>
      <c r="B276" s="25" t="n"/>
      <c r="C276" s="25" t="n"/>
      <c r="D276" s="25" t="n"/>
      <c r="E276" s="26" t="n"/>
      <c r="F276" s="25" t="n"/>
      <c r="G276" s="25" t="n"/>
      <c r="H276" s="25" t="n"/>
      <c r="I276" s="25" t="n"/>
      <c r="J276" s="25" t="n"/>
      <c r="K276" s="25" t="n"/>
      <c r="L276" s="27" t="n"/>
      <c r="M276" s="27" t="n"/>
      <c r="N276" s="27" t="n"/>
      <c r="O276" s="27" t="n"/>
      <c r="P276" s="28" t="n"/>
      <c r="Q276" s="29" t="n"/>
      <c r="R276" s="30">
        <f>IF(B276="","",IF(C276="IWP",COUNTIFS(Restricciones!$D$6:$D$305,B276,Restricciones!$F$6:$F$305,"Abierta")+COUNTIFS(Restricciones!$D$6:$D$305,B276,Restricciones!$F$6:$F$305,"En gestión"),IF(C276="CWA",COUNTIFS(Restricciones!$C$6:$C$305,"CWP-"&amp;MID(B276,5,4)&amp;"-*",Restricciones!$F$6:$F$305,"Abierta")+COUNTIFS(Restricciones!$C$6:$C$305,"CWP-"&amp;MID(B276,5,4)&amp;"-*",Restricciones!$F$6:$F$305,"En gestión"),COUNTIFS(Restricciones!$C$6:$C$305,IF(C276="CWP",B276,H276),Restricciones!$F$6:$F$305,"Abierta")+COUNTIFS(Restricciones!$C$6:$C$305,IF(C276="CWP",B276,H276),Restricciones!$F$6:$F$305,"En gestión"))))</f>
        <v/>
      </c>
      <c r="S276" s="30">
        <f>IF(OR(B276="",M276=""),"",IF(O276&lt;&gt;"",MAX(0,O276-M276),IF(AND($B$3&gt;M276,K276&lt;&gt;"Cerrado"),$B$3-M276,0)))</f>
        <v/>
      </c>
      <c r="T276" s="31">
        <f>IF(B276="","",IF(K276="Cerrado",IF(S276&gt;0,"Cerrado con atraso","Cerrado"),IF(S276&gt;0,"Atrasado",IF(AND(N276="",L276&lt;&gt;"",$B$3&gt;L276),"Inicio atrasado","En plazo"))))</f>
        <v/>
      </c>
      <c r="U276" s="26" t="n"/>
    </row>
    <row r="277">
      <c r="A277" s="24" t="n"/>
      <c r="B277" s="25" t="n"/>
      <c r="C277" s="25" t="n"/>
      <c r="D277" s="25" t="n"/>
      <c r="E277" s="26" t="n"/>
      <c r="F277" s="25" t="n"/>
      <c r="G277" s="25" t="n"/>
      <c r="H277" s="25" t="n"/>
      <c r="I277" s="25" t="n"/>
      <c r="J277" s="25" t="n"/>
      <c r="K277" s="25" t="n"/>
      <c r="L277" s="27" t="n"/>
      <c r="M277" s="27" t="n"/>
      <c r="N277" s="27" t="n"/>
      <c r="O277" s="27" t="n"/>
      <c r="P277" s="28" t="n"/>
      <c r="Q277" s="29" t="n"/>
      <c r="R277" s="30">
        <f>IF(B277="","",IF(C277="IWP",COUNTIFS(Restricciones!$D$6:$D$305,B277,Restricciones!$F$6:$F$305,"Abierta")+COUNTIFS(Restricciones!$D$6:$D$305,B277,Restricciones!$F$6:$F$305,"En gestión"),IF(C277="CWA",COUNTIFS(Restricciones!$C$6:$C$305,"CWP-"&amp;MID(B277,5,4)&amp;"-*",Restricciones!$F$6:$F$305,"Abierta")+COUNTIFS(Restricciones!$C$6:$C$305,"CWP-"&amp;MID(B277,5,4)&amp;"-*",Restricciones!$F$6:$F$305,"En gestión"),COUNTIFS(Restricciones!$C$6:$C$305,IF(C277="CWP",B277,H277),Restricciones!$F$6:$F$305,"Abierta")+COUNTIFS(Restricciones!$C$6:$C$305,IF(C277="CWP",B277,H277),Restricciones!$F$6:$F$305,"En gestión"))))</f>
        <v/>
      </c>
      <c r="S277" s="30">
        <f>IF(OR(B277="",M277=""),"",IF(O277&lt;&gt;"",MAX(0,O277-M277),IF(AND($B$3&gt;M277,K277&lt;&gt;"Cerrado"),$B$3-M277,0)))</f>
        <v/>
      </c>
      <c r="T277" s="31">
        <f>IF(B277="","",IF(K277="Cerrado",IF(S277&gt;0,"Cerrado con atraso","Cerrado"),IF(S277&gt;0,"Atrasado",IF(AND(N277="",L277&lt;&gt;"",$B$3&gt;L277),"Inicio atrasado","En plazo"))))</f>
        <v/>
      </c>
      <c r="U277" s="26" t="n"/>
    </row>
    <row r="278">
      <c r="A278" s="24" t="n"/>
      <c r="B278" s="25" t="n"/>
      <c r="C278" s="25" t="n"/>
      <c r="D278" s="25" t="n"/>
      <c r="E278" s="26" t="n"/>
      <c r="F278" s="25" t="n"/>
      <c r="G278" s="25" t="n"/>
      <c r="H278" s="25" t="n"/>
      <c r="I278" s="25" t="n"/>
      <c r="J278" s="25" t="n"/>
      <c r="K278" s="25" t="n"/>
      <c r="L278" s="27" t="n"/>
      <c r="M278" s="27" t="n"/>
      <c r="N278" s="27" t="n"/>
      <c r="O278" s="27" t="n"/>
      <c r="P278" s="28" t="n"/>
      <c r="Q278" s="29" t="n"/>
      <c r="R278" s="30">
        <f>IF(B278="","",IF(C278="IWP",COUNTIFS(Restricciones!$D$6:$D$305,B278,Restricciones!$F$6:$F$305,"Abierta")+COUNTIFS(Restricciones!$D$6:$D$305,B278,Restricciones!$F$6:$F$305,"En gestión"),IF(C278="CWA",COUNTIFS(Restricciones!$C$6:$C$305,"CWP-"&amp;MID(B278,5,4)&amp;"-*",Restricciones!$F$6:$F$305,"Abierta")+COUNTIFS(Restricciones!$C$6:$C$305,"CWP-"&amp;MID(B278,5,4)&amp;"-*",Restricciones!$F$6:$F$305,"En gestión"),COUNTIFS(Restricciones!$C$6:$C$305,IF(C278="CWP",B278,H278),Restricciones!$F$6:$F$305,"Abierta")+COUNTIFS(Restricciones!$C$6:$C$305,IF(C278="CWP",B278,H278),Restricciones!$F$6:$F$305,"En gestión"))))</f>
        <v/>
      </c>
      <c r="S278" s="30">
        <f>IF(OR(B278="",M278=""),"",IF(O278&lt;&gt;"",MAX(0,O278-M278),IF(AND($B$3&gt;M278,K278&lt;&gt;"Cerrado"),$B$3-M278,0)))</f>
        <v/>
      </c>
      <c r="T278" s="31">
        <f>IF(B278="","",IF(K278="Cerrado",IF(S278&gt;0,"Cerrado con atraso","Cerrado"),IF(S278&gt;0,"Atrasado",IF(AND(N278="",L278&lt;&gt;"",$B$3&gt;L278),"Inicio atrasado","En plazo"))))</f>
        <v/>
      </c>
      <c r="U278" s="26" t="n"/>
    </row>
    <row r="279">
      <c r="A279" s="24" t="n"/>
      <c r="B279" s="25" t="n"/>
      <c r="C279" s="25" t="n"/>
      <c r="D279" s="25" t="n"/>
      <c r="E279" s="26" t="n"/>
      <c r="F279" s="25" t="n"/>
      <c r="G279" s="25" t="n"/>
      <c r="H279" s="25" t="n"/>
      <c r="I279" s="25" t="n"/>
      <c r="J279" s="25" t="n"/>
      <c r="K279" s="25" t="n"/>
      <c r="L279" s="27" t="n"/>
      <c r="M279" s="27" t="n"/>
      <c r="N279" s="27" t="n"/>
      <c r="O279" s="27" t="n"/>
      <c r="P279" s="28" t="n"/>
      <c r="Q279" s="29" t="n"/>
      <c r="R279" s="30">
        <f>IF(B279="","",IF(C279="IWP",COUNTIFS(Restricciones!$D$6:$D$305,B279,Restricciones!$F$6:$F$305,"Abierta")+COUNTIFS(Restricciones!$D$6:$D$305,B279,Restricciones!$F$6:$F$305,"En gestión"),IF(C279="CWA",COUNTIFS(Restricciones!$C$6:$C$305,"CWP-"&amp;MID(B279,5,4)&amp;"-*",Restricciones!$F$6:$F$305,"Abierta")+COUNTIFS(Restricciones!$C$6:$C$305,"CWP-"&amp;MID(B279,5,4)&amp;"-*",Restricciones!$F$6:$F$305,"En gestión"),COUNTIFS(Restricciones!$C$6:$C$305,IF(C279="CWP",B279,H279),Restricciones!$F$6:$F$305,"Abierta")+COUNTIFS(Restricciones!$C$6:$C$305,IF(C279="CWP",B279,H279),Restricciones!$F$6:$F$305,"En gestión"))))</f>
        <v/>
      </c>
      <c r="S279" s="30">
        <f>IF(OR(B279="",M279=""),"",IF(O279&lt;&gt;"",MAX(0,O279-M279),IF(AND($B$3&gt;M279,K279&lt;&gt;"Cerrado"),$B$3-M279,0)))</f>
        <v/>
      </c>
      <c r="T279" s="31">
        <f>IF(B279="","",IF(K279="Cerrado",IF(S279&gt;0,"Cerrado con atraso","Cerrado"),IF(S279&gt;0,"Atrasado",IF(AND(N279="",L279&lt;&gt;"",$B$3&gt;L279),"Inicio atrasado","En plazo"))))</f>
        <v/>
      </c>
      <c r="U279" s="26" t="n"/>
    </row>
    <row r="280">
      <c r="A280" s="24" t="n"/>
      <c r="B280" s="25" t="n"/>
      <c r="C280" s="25" t="n"/>
      <c r="D280" s="25" t="n"/>
      <c r="E280" s="26" t="n"/>
      <c r="F280" s="25" t="n"/>
      <c r="G280" s="25" t="n"/>
      <c r="H280" s="25" t="n"/>
      <c r="I280" s="25" t="n"/>
      <c r="J280" s="25" t="n"/>
      <c r="K280" s="25" t="n"/>
      <c r="L280" s="27" t="n"/>
      <c r="M280" s="27" t="n"/>
      <c r="N280" s="27" t="n"/>
      <c r="O280" s="27" t="n"/>
      <c r="P280" s="28" t="n"/>
      <c r="Q280" s="29" t="n"/>
      <c r="R280" s="30">
        <f>IF(B280="","",IF(C280="IWP",COUNTIFS(Restricciones!$D$6:$D$305,B280,Restricciones!$F$6:$F$305,"Abierta")+COUNTIFS(Restricciones!$D$6:$D$305,B280,Restricciones!$F$6:$F$305,"En gestión"),IF(C280="CWA",COUNTIFS(Restricciones!$C$6:$C$305,"CWP-"&amp;MID(B280,5,4)&amp;"-*",Restricciones!$F$6:$F$305,"Abierta")+COUNTIFS(Restricciones!$C$6:$C$305,"CWP-"&amp;MID(B280,5,4)&amp;"-*",Restricciones!$F$6:$F$305,"En gestión"),COUNTIFS(Restricciones!$C$6:$C$305,IF(C280="CWP",B280,H280),Restricciones!$F$6:$F$305,"Abierta")+COUNTIFS(Restricciones!$C$6:$C$305,IF(C280="CWP",B280,H280),Restricciones!$F$6:$F$305,"En gestión"))))</f>
        <v/>
      </c>
      <c r="S280" s="30">
        <f>IF(OR(B280="",M280=""),"",IF(O280&lt;&gt;"",MAX(0,O280-M280),IF(AND($B$3&gt;M280,K280&lt;&gt;"Cerrado"),$B$3-M280,0)))</f>
        <v/>
      </c>
      <c r="T280" s="31">
        <f>IF(B280="","",IF(K280="Cerrado",IF(S280&gt;0,"Cerrado con atraso","Cerrado"),IF(S280&gt;0,"Atrasado",IF(AND(N280="",L280&lt;&gt;"",$B$3&gt;L280),"Inicio atrasado","En plazo"))))</f>
        <v/>
      </c>
      <c r="U280" s="26" t="n"/>
    </row>
    <row r="281">
      <c r="A281" s="24" t="n"/>
      <c r="B281" s="25" t="n"/>
      <c r="C281" s="25" t="n"/>
      <c r="D281" s="25" t="n"/>
      <c r="E281" s="26" t="n"/>
      <c r="F281" s="25" t="n"/>
      <c r="G281" s="25" t="n"/>
      <c r="H281" s="25" t="n"/>
      <c r="I281" s="25" t="n"/>
      <c r="J281" s="25" t="n"/>
      <c r="K281" s="25" t="n"/>
      <c r="L281" s="27" t="n"/>
      <c r="M281" s="27" t="n"/>
      <c r="N281" s="27" t="n"/>
      <c r="O281" s="27" t="n"/>
      <c r="P281" s="28" t="n"/>
      <c r="Q281" s="29" t="n"/>
      <c r="R281" s="30">
        <f>IF(B281="","",IF(C281="IWP",COUNTIFS(Restricciones!$D$6:$D$305,B281,Restricciones!$F$6:$F$305,"Abierta")+COUNTIFS(Restricciones!$D$6:$D$305,B281,Restricciones!$F$6:$F$305,"En gestión"),IF(C281="CWA",COUNTIFS(Restricciones!$C$6:$C$305,"CWP-"&amp;MID(B281,5,4)&amp;"-*",Restricciones!$F$6:$F$305,"Abierta")+COUNTIFS(Restricciones!$C$6:$C$305,"CWP-"&amp;MID(B281,5,4)&amp;"-*",Restricciones!$F$6:$F$305,"En gestión"),COUNTIFS(Restricciones!$C$6:$C$305,IF(C281="CWP",B281,H281),Restricciones!$F$6:$F$305,"Abierta")+COUNTIFS(Restricciones!$C$6:$C$305,IF(C281="CWP",B281,H281),Restricciones!$F$6:$F$305,"En gestión"))))</f>
        <v/>
      </c>
      <c r="S281" s="30">
        <f>IF(OR(B281="",M281=""),"",IF(O281&lt;&gt;"",MAX(0,O281-M281),IF(AND($B$3&gt;M281,K281&lt;&gt;"Cerrado"),$B$3-M281,0)))</f>
        <v/>
      </c>
      <c r="T281" s="31">
        <f>IF(B281="","",IF(K281="Cerrado",IF(S281&gt;0,"Cerrado con atraso","Cerrado"),IF(S281&gt;0,"Atrasado",IF(AND(N281="",L281&lt;&gt;"",$B$3&gt;L281),"Inicio atrasado","En plazo"))))</f>
        <v/>
      </c>
      <c r="U281" s="26" t="n"/>
    </row>
    <row r="282">
      <c r="A282" s="24" t="n"/>
      <c r="B282" s="25" t="n"/>
      <c r="C282" s="25" t="n"/>
      <c r="D282" s="25" t="n"/>
      <c r="E282" s="26" t="n"/>
      <c r="F282" s="25" t="n"/>
      <c r="G282" s="25" t="n"/>
      <c r="H282" s="25" t="n"/>
      <c r="I282" s="25" t="n"/>
      <c r="J282" s="25" t="n"/>
      <c r="K282" s="25" t="n"/>
      <c r="L282" s="27" t="n"/>
      <c r="M282" s="27" t="n"/>
      <c r="N282" s="27" t="n"/>
      <c r="O282" s="27" t="n"/>
      <c r="P282" s="28" t="n"/>
      <c r="Q282" s="29" t="n"/>
      <c r="R282" s="30">
        <f>IF(B282="","",IF(C282="IWP",COUNTIFS(Restricciones!$D$6:$D$305,B282,Restricciones!$F$6:$F$305,"Abierta")+COUNTIFS(Restricciones!$D$6:$D$305,B282,Restricciones!$F$6:$F$305,"En gestión"),IF(C282="CWA",COUNTIFS(Restricciones!$C$6:$C$305,"CWP-"&amp;MID(B282,5,4)&amp;"-*",Restricciones!$F$6:$F$305,"Abierta")+COUNTIFS(Restricciones!$C$6:$C$305,"CWP-"&amp;MID(B282,5,4)&amp;"-*",Restricciones!$F$6:$F$305,"En gestión"),COUNTIFS(Restricciones!$C$6:$C$305,IF(C282="CWP",B282,H282),Restricciones!$F$6:$F$305,"Abierta")+COUNTIFS(Restricciones!$C$6:$C$305,IF(C282="CWP",B282,H282),Restricciones!$F$6:$F$305,"En gestión"))))</f>
        <v/>
      </c>
      <c r="S282" s="30">
        <f>IF(OR(B282="",M282=""),"",IF(O282&lt;&gt;"",MAX(0,O282-M282),IF(AND($B$3&gt;M282,K282&lt;&gt;"Cerrado"),$B$3-M282,0)))</f>
        <v/>
      </c>
      <c r="T282" s="31">
        <f>IF(B282="","",IF(K282="Cerrado",IF(S282&gt;0,"Cerrado con atraso","Cerrado"),IF(S282&gt;0,"Atrasado",IF(AND(N282="",L282&lt;&gt;"",$B$3&gt;L282),"Inicio atrasado","En plazo"))))</f>
        <v/>
      </c>
      <c r="U282" s="26" t="n"/>
    </row>
    <row r="283">
      <c r="A283" s="24" t="n"/>
      <c r="B283" s="25" t="n"/>
      <c r="C283" s="25" t="n"/>
      <c r="D283" s="25" t="n"/>
      <c r="E283" s="26" t="n"/>
      <c r="F283" s="25" t="n"/>
      <c r="G283" s="25" t="n"/>
      <c r="H283" s="25" t="n"/>
      <c r="I283" s="25" t="n"/>
      <c r="J283" s="25" t="n"/>
      <c r="K283" s="25" t="n"/>
      <c r="L283" s="27" t="n"/>
      <c r="M283" s="27" t="n"/>
      <c r="N283" s="27" t="n"/>
      <c r="O283" s="27" t="n"/>
      <c r="P283" s="28" t="n"/>
      <c r="Q283" s="29" t="n"/>
      <c r="R283" s="30">
        <f>IF(B283="","",IF(C283="IWP",COUNTIFS(Restricciones!$D$6:$D$305,B283,Restricciones!$F$6:$F$305,"Abierta")+COUNTIFS(Restricciones!$D$6:$D$305,B283,Restricciones!$F$6:$F$305,"En gestión"),IF(C283="CWA",COUNTIFS(Restricciones!$C$6:$C$305,"CWP-"&amp;MID(B283,5,4)&amp;"-*",Restricciones!$F$6:$F$305,"Abierta")+COUNTIFS(Restricciones!$C$6:$C$305,"CWP-"&amp;MID(B283,5,4)&amp;"-*",Restricciones!$F$6:$F$305,"En gestión"),COUNTIFS(Restricciones!$C$6:$C$305,IF(C283="CWP",B283,H283),Restricciones!$F$6:$F$305,"Abierta")+COUNTIFS(Restricciones!$C$6:$C$305,IF(C283="CWP",B283,H283),Restricciones!$F$6:$F$305,"En gestión"))))</f>
        <v/>
      </c>
      <c r="S283" s="30">
        <f>IF(OR(B283="",M283=""),"",IF(O283&lt;&gt;"",MAX(0,O283-M283),IF(AND($B$3&gt;M283,K283&lt;&gt;"Cerrado"),$B$3-M283,0)))</f>
        <v/>
      </c>
      <c r="T283" s="31">
        <f>IF(B283="","",IF(K283="Cerrado",IF(S283&gt;0,"Cerrado con atraso","Cerrado"),IF(S283&gt;0,"Atrasado",IF(AND(N283="",L283&lt;&gt;"",$B$3&gt;L283),"Inicio atrasado","En plazo"))))</f>
        <v/>
      </c>
      <c r="U283" s="26" t="n"/>
    </row>
    <row r="284">
      <c r="A284" s="24" t="n"/>
      <c r="B284" s="25" t="n"/>
      <c r="C284" s="25" t="n"/>
      <c r="D284" s="25" t="n"/>
      <c r="E284" s="26" t="n"/>
      <c r="F284" s="25" t="n"/>
      <c r="G284" s="25" t="n"/>
      <c r="H284" s="25" t="n"/>
      <c r="I284" s="25" t="n"/>
      <c r="J284" s="25" t="n"/>
      <c r="K284" s="25" t="n"/>
      <c r="L284" s="27" t="n"/>
      <c r="M284" s="27" t="n"/>
      <c r="N284" s="27" t="n"/>
      <c r="O284" s="27" t="n"/>
      <c r="P284" s="28" t="n"/>
      <c r="Q284" s="29" t="n"/>
      <c r="R284" s="30">
        <f>IF(B284="","",IF(C284="IWP",COUNTIFS(Restricciones!$D$6:$D$305,B284,Restricciones!$F$6:$F$305,"Abierta")+COUNTIFS(Restricciones!$D$6:$D$305,B284,Restricciones!$F$6:$F$305,"En gestión"),IF(C284="CWA",COUNTIFS(Restricciones!$C$6:$C$305,"CWP-"&amp;MID(B284,5,4)&amp;"-*",Restricciones!$F$6:$F$305,"Abierta")+COUNTIFS(Restricciones!$C$6:$C$305,"CWP-"&amp;MID(B284,5,4)&amp;"-*",Restricciones!$F$6:$F$305,"En gestión"),COUNTIFS(Restricciones!$C$6:$C$305,IF(C284="CWP",B284,H284),Restricciones!$F$6:$F$305,"Abierta")+COUNTIFS(Restricciones!$C$6:$C$305,IF(C284="CWP",B284,H284),Restricciones!$F$6:$F$305,"En gestión"))))</f>
        <v/>
      </c>
      <c r="S284" s="30">
        <f>IF(OR(B284="",M284=""),"",IF(O284&lt;&gt;"",MAX(0,O284-M284),IF(AND($B$3&gt;M284,K284&lt;&gt;"Cerrado"),$B$3-M284,0)))</f>
        <v/>
      </c>
      <c r="T284" s="31">
        <f>IF(B284="","",IF(K284="Cerrado",IF(S284&gt;0,"Cerrado con atraso","Cerrado"),IF(S284&gt;0,"Atrasado",IF(AND(N284="",L284&lt;&gt;"",$B$3&gt;L284),"Inicio atrasado","En plazo"))))</f>
        <v/>
      </c>
      <c r="U284" s="26" t="n"/>
    </row>
    <row r="285">
      <c r="A285" s="24" t="n"/>
      <c r="B285" s="25" t="n"/>
      <c r="C285" s="25" t="n"/>
      <c r="D285" s="25" t="n"/>
      <c r="E285" s="26" t="n"/>
      <c r="F285" s="25" t="n"/>
      <c r="G285" s="25" t="n"/>
      <c r="H285" s="25" t="n"/>
      <c r="I285" s="25" t="n"/>
      <c r="J285" s="25" t="n"/>
      <c r="K285" s="25" t="n"/>
      <c r="L285" s="27" t="n"/>
      <c r="M285" s="27" t="n"/>
      <c r="N285" s="27" t="n"/>
      <c r="O285" s="27" t="n"/>
      <c r="P285" s="28" t="n"/>
      <c r="Q285" s="29" t="n"/>
      <c r="R285" s="30">
        <f>IF(B285="","",IF(C285="IWP",COUNTIFS(Restricciones!$D$6:$D$305,B285,Restricciones!$F$6:$F$305,"Abierta")+COUNTIFS(Restricciones!$D$6:$D$305,B285,Restricciones!$F$6:$F$305,"En gestión"),IF(C285="CWA",COUNTIFS(Restricciones!$C$6:$C$305,"CWP-"&amp;MID(B285,5,4)&amp;"-*",Restricciones!$F$6:$F$305,"Abierta")+COUNTIFS(Restricciones!$C$6:$C$305,"CWP-"&amp;MID(B285,5,4)&amp;"-*",Restricciones!$F$6:$F$305,"En gestión"),COUNTIFS(Restricciones!$C$6:$C$305,IF(C285="CWP",B285,H285),Restricciones!$F$6:$F$305,"Abierta")+COUNTIFS(Restricciones!$C$6:$C$305,IF(C285="CWP",B285,H285),Restricciones!$F$6:$F$305,"En gestión"))))</f>
        <v/>
      </c>
      <c r="S285" s="30">
        <f>IF(OR(B285="",M285=""),"",IF(O285&lt;&gt;"",MAX(0,O285-M285),IF(AND($B$3&gt;M285,K285&lt;&gt;"Cerrado"),$B$3-M285,0)))</f>
        <v/>
      </c>
      <c r="T285" s="31">
        <f>IF(B285="","",IF(K285="Cerrado",IF(S285&gt;0,"Cerrado con atraso","Cerrado"),IF(S285&gt;0,"Atrasado",IF(AND(N285="",L285&lt;&gt;"",$B$3&gt;L285),"Inicio atrasado","En plazo"))))</f>
        <v/>
      </c>
      <c r="U285" s="26" t="n"/>
    </row>
    <row r="286">
      <c r="A286" s="24" t="n"/>
      <c r="B286" s="25" t="n"/>
      <c r="C286" s="25" t="n"/>
      <c r="D286" s="25" t="n"/>
      <c r="E286" s="26" t="n"/>
      <c r="F286" s="25" t="n"/>
      <c r="G286" s="25" t="n"/>
      <c r="H286" s="25" t="n"/>
      <c r="I286" s="25" t="n"/>
      <c r="J286" s="25" t="n"/>
      <c r="K286" s="25" t="n"/>
      <c r="L286" s="27" t="n"/>
      <c r="M286" s="27" t="n"/>
      <c r="N286" s="27" t="n"/>
      <c r="O286" s="27" t="n"/>
      <c r="P286" s="28" t="n"/>
      <c r="Q286" s="29" t="n"/>
      <c r="R286" s="30">
        <f>IF(B286="","",IF(C286="IWP",COUNTIFS(Restricciones!$D$6:$D$305,B286,Restricciones!$F$6:$F$305,"Abierta")+COUNTIFS(Restricciones!$D$6:$D$305,B286,Restricciones!$F$6:$F$305,"En gestión"),IF(C286="CWA",COUNTIFS(Restricciones!$C$6:$C$305,"CWP-"&amp;MID(B286,5,4)&amp;"-*",Restricciones!$F$6:$F$305,"Abierta")+COUNTIFS(Restricciones!$C$6:$C$305,"CWP-"&amp;MID(B286,5,4)&amp;"-*",Restricciones!$F$6:$F$305,"En gestión"),COUNTIFS(Restricciones!$C$6:$C$305,IF(C286="CWP",B286,H286),Restricciones!$F$6:$F$305,"Abierta")+COUNTIFS(Restricciones!$C$6:$C$305,IF(C286="CWP",B286,H286),Restricciones!$F$6:$F$305,"En gestión"))))</f>
        <v/>
      </c>
      <c r="S286" s="30">
        <f>IF(OR(B286="",M286=""),"",IF(O286&lt;&gt;"",MAX(0,O286-M286),IF(AND($B$3&gt;M286,K286&lt;&gt;"Cerrado"),$B$3-M286,0)))</f>
        <v/>
      </c>
      <c r="T286" s="31">
        <f>IF(B286="","",IF(K286="Cerrado",IF(S286&gt;0,"Cerrado con atraso","Cerrado"),IF(S286&gt;0,"Atrasado",IF(AND(N286="",L286&lt;&gt;"",$B$3&gt;L286),"Inicio atrasado","En plazo"))))</f>
        <v/>
      </c>
      <c r="U286" s="26" t="n"/>
    </row>
    <row r="287">
      <c r="A287" s="24" t="n"/>
      <c r="B287" s="25" t="n"/>
      <c r="C287" s="25" t="n"/>
      <c r="D287" s="25" t="n"/>
      <c r="E287" s="26" t="n"/>
      <c r="F287" s="25" t="n"/>
      <c r="G287" s="25" t="n"/>
      <c r="H287" s="25" t="n"/>
      <c r="I287" s="25" t="n"/>
      <c r="J287" s="25" t="n"/>
      <c r="K287" s="25" t="n"/>
      <c r="L287" s="27" t="n"/>
      <c r="M287" s="27" t="n"/>
      <c r="N287" s="27" t="n"/>
      <c r="O287" s="27" t="n"/>
      <c r="P287" s="28" t="n"/>
      <c r="Q287" s="29" t="n"/>
      <c r="R287" s="30">
        <f>IF(B287="","",IF(C287="IWP",COUNTIFS(Restricciones!$D$6:$D$305,B287,Restricciones!$F$6:$F$305,"Abierta")+COUNTIFS(Restricciones!$D$6:$D$305,B287,Restricciones!$F$6:$F$305,"En gestión"),IF(C287="CWA",COUNTIFS(Restricciones!$C$6:$C$305,"CWP-"&amp;MID(B287,5,4)&amp;"-*",Restricciones!$F$6:$F$305,"Abierta")+COUNTIFS(Restricciones!$C$6:$C$305,"CWP-"&amp;MID(B287,5,4)&amp;"-*",Restricciones!$F$6:$F$305,"En gestión"),COUNTIFS(Restricciones!$C$6:$C$305,IF(C287="CWP",B287,H287),Restricciones!$F$6:$F$305,"Abierta")+COUNTIFS(Restricciones!$C$6:$C$305,IF(C287="CWP",B287,H287),Restricciones!$F$6:$F$305,"En gestión"))))</f>
        <v/>
      </c>
      <c r="S287" s="30">
        <f>IF(OR(B287="",M287=""),"",IF(O287&lt;&gt;"",MAX(0,O287-M287),IF(AND($B$3&gt;M287,K287&lt;&gt;"Cerrado"),$B$3-M287,0)))</f>
        <v/>
      </c>
      <c r="T287" s="31">
        <f>IF(B287="","",IF(K287="Cerrado",IF(S287&gt;0,"Cerrado con atraso","Cerrado"),IF(S287&gt;0,"Atrasado",IF(AND(N287="",L287&lt;&gt;"",$B$3&gt;L287),"Inicio atrasado","En plazo"))))</f>
        <v/>
      </c>
      <c r="U287" s="26" t="n"/>
    </row>
    <row r="288">
      <c r="A288" s="24" t="n"/>
      <c r="B288" s="25" t="n"/>
      <c r="C288" s="25" t="n"/>
      <c r="D288" s="25" t="n"/>
      <c r="E288" s="26" t="n"/>
      <c r="F288" s="25" t="n"/>
      <c r="G288" s="25" t="n"/>
      <c r="H288" s="25" t="n"/>
      <c r="I288" s="25" t="n"/>
      <c r="J288" s="25" t="n"/>
      <c r="K288" s="25" t="n"/>
      <c r="L288" s="27" t="n"/>
      <c r="M288" s="27" t="n"/>
      <c r="N288" s="27" t="n"/>
      <c r="O288" s="27" t="n"/>
      <c r="P288" s="28" t="n"/>
      <c r="Q288" s="29" t="n"/>
      <c r="R288" s="30">
        <f>IF(B288="","",IF(C288="IWP",COUNTIFS(Restricciones!$D$6:$D$305,B288,Restricciones!$F$6:$F$305,"Abierta")+COUNTIFS(Restricciones!$D$6:$D$305,B288,Restricciones!$F$6:$F$305,"En gestión"),IF(C288="CWA",COUNTIFS(Restricciones!$C$6:$C$305,"CWP-"&amp;MID(B288,5,4)&amp;"-*",Restricciones!$F$6:$F$305,"Abierta")+COUNTIFS(Restricciones!$C$6:$C$305,"CWP-"&amp;MID(B288,5,4)&amp;"-*",Restricciones!$F$6:$F$305,"En gestión"),COUNTIFS(Restricciones!$C$6:$C$305,IF(C288="CWP",B288,H288),Restricciones!$F$6:$F$305,"Abierta")+COUNTIFS(Restricciones!$C$6:$C$305,IF(C288="CWP",B288,H288),Restricciones!$F$6:$F$305,"En gestión"))))</f>
        <v/>
      </c>
      <c r="S288" s="30">
        <f>IF(OR(B288="",M288=""),"",IF(O288&lt;&gt;"",MAX(0,O288-M288),IF(AND($B$3&gt;M288,K288&lt;&gt;"Cerrado"),$B$3-M288,0)))</f>
        <v/>
      </c>
      <c r="T288" s="31">
        <f>IF(B288="","",IF(K288="Cerrado",IF(S288&gt;0,"Cerrado con atraso","Cerrado"),IF(S288&gt;0,"Atrasado",IF(AND(N288="",L288&lt;&gt;"",$B$3&gt;L288),"Inicio atrasado","En plazo"))))</f>
        <v/>
      </c>
      <c r="U288" s="26" t="n"/>
    </row>
    <row r="289">
      <c r="A289" s="24" t="n"/>
      <c r="B289" s="25" t="n"/>
      <c r="C289" s="25" t="n"/>
      <c r="D289" s="25" t="n"/>
      <c r="E289" s="26" t="n"/>
      <c r="F289" s="25" t="n"/>
      <c r="G289" s="25" t="n"/>
      <c r="H289" s="25" t="n"/>
      <c r="I289" s="25" t="n"/>
      <c r="J289" s="25" t="n"/>
      <c r="K289" s="25" t="n"/>
      <c r="L289" s="27" t="n"/>
      <c r="M289" s="27" t="n"/>
      <c r="N289" s="27" t="n"/>
      <c r="O289" s="27" t="n"/>
      <c r="P289" s="28" t="n"/>
      <c r="Q289" s="29" t="n"/>
      <c r="R289" s="30">
        <f>IF(B289="","",IF(C289="IWP",COUNTIFS(Restricciones!$D$6:$D$305,B289,Restricciones!$F$6:$F$305,"Abierta")+COUNTIFS(Restricciones!$D$6:$D$305,B289,Restricciones!$F$6:$F$305,"En gestión"),IF(C289="CWA",COUNTIFS(Restricciones!$C$6:$C$305,"CWP-"&amp;MID(B289,5,4)&amp;"-*",Restricciones!$F$6:$F$305,"Abierta")+COUNTIFS(Restricciones!$C$6:$C$305,"CWP-"&amp;MID(B289,5,4)&amp;"-*",Restricciones!$F$6:$F$305,"En gestión"),COUNTIFS(Restricciones!$C$6:$C$305,IF(C289="CWP",B289,H289),Restricciones!$F$6:$F$305,"Abierta")+COUNTIFS(Restricciones!$C$6:$C$305,IF(C289="CWP",B289,H289),Restricciones!$F$6:$F$305,"En gestión"))))</f>
        <v/>
      </c>
      <c r="S289" s="30">
        <f>IF(OR(B289="",M289=""),"",IF(O289&lt;&gt;"",MAX(0,O289-M289),IF(AND($B$3&gt;M289,K289&lt;&gt;"Cerrado"),$B$3-M289,0)))</f>
        <v/>
      </c>
      <c r="T289" s="31">
        <f>IF(B289="","",IF(K289="Cerrado",IF(S289&gt;0,"Cerrado con atraso","Cerrado"),IF(S289&gt;0,"Atrasado",IF(AND(N289="",L289&lt;&gt;"",$B$3&gt;L289),"Inicio atrasado","En plazo"))))</f>
        <v/>
      </c>
      <c r="U289" s="26" t="n"/>
    </row>
    <row r="290">
      <c r="A290" s="24" t="n"/>
      <c r="B290" s="25" t="n"/>
      <c r="C290" s="25" t="n"/>
      <c r="D290" s="25" t="n"/>
      <c r="E290" s="26" t="n"/>
      <c r="F290" s="25" t="n"/>
      <c r="G290" s="25" t="n"/>
      <c r="H290" s="25" t="n"/>
      <c r="I290" s="25" t="n"/>
      <c r="J290" s="25" t="n"/>
      <c r="K290" s="25" t="n"/>
      <c r="L290" s="27" t="n"/>
      <c r="M290" s="27" t="n"/>
      <c r="N290" s="27" t="n"/>
      <c r="O290" s="27" t="n"/>
      <c r="P290" s="28" t="n"/>
      <c r="Q290" s="29" t="n"/>
      <c r="R290" s="30">
        <f>IF(B290="","",IF(C290="IWP",COUNTIFS(Restricciones!$D$6:$D$305,B290,Restricciones!$F$6:$F$305,"Abierta")+COUNTIFS(Restricciones!$D$6:$D$305,B290,Restricciones!$F$6:$F$305,"En gestión"),IF(C290="CWA",COUNTIFS(Restricciones!$C$6:$C$305,"CWP-"&amp;MID(B290,5,4)&amp;"-*",Restricciones!$F$6:$F$305,"Abierta")+COUNTIFS(Restricciones!$C$6:$C$305,"CWP-"&amp;MID(B290,5,4)&amp;"-*",Restricciones!$F$6:$F$305,"En gestión"),COUNTIFS(Restricciones!$C$6:$C$305,IF(C290="CWP",B290,H290),Restricciones!$F$6:$F$305,"Abierta")+COUNTIFS(Restricciones!$C$6:$C$305,IF(C290="CWP",B290,H290),Restricciones!$F$6:$F$305,"En gestión"))))</f>
        <v/>
      </c>
      <c r="S290" s="30">
        <f>IF(OR(B290="",M290=""),"",IF(O290&lt;&gt;"",MAX(0,O290-M290),IF(AND($B$3&gt;M290,K290&lt;&gt;"Cerrado"),$B$3-M290,0)))</f>
        <v/>
      </c>
      <c r="T290" s="31">
        <f>IF(B290="","",IF(K290="Cerrado",IF(S290&gt;0,"Cerrado con atraso","Cerrado"),IF(S290&gt;0,"Atrasado",IF(AND(N290="",L290&lt;&gt;"",$B$3&gt;L290),"Inicio atrasado","En plazo"))))</f>
        <v/>
      </c>
      <c r="U290" s="26" t="n"/>
    </row>
    <row r="291">
      <c r="A291" s="24" t="n"/>
      <c r="B291" s="25" t="n"/>
      <c r="C291" s="25" t="n"/>
      <c r="D291" s="25" t="n"/>
      <c r="E291" s="26" t="n"/>
      <c r="F291" s="25" t="n"/>
      <c r="G291" s="25" t="n"/>
      <c r="H291" s="25" t="n"/>
      <c r="I291" s="25" t="n"/>
      <c r="J291" s="25" t="n"/>
      <c r="K291" s="25" t="n"/>
      <c r="L291" s="27" t="n"/>
      <c r="M291" s="27" t="n"/>
      <c r="N291" s="27" t="n"/>
      <c r="O291" s="27" t="n"/>
      <c r="P291" s="28" t="n"/>
      <c r="Q291" s="29" t="n"/>
      <c r="R291" s="30">
        <f>IF(B291="","",IF(C291="IWP",COUNTIFS(Restricciones!$D$6:$D$305,B291,Restricciones!$F$6:$F$305,"Abierta")+COUNTIFS(Restricciones!$D$6:$D$305,B291,Restricciones!$F$6:$F$305,"En gestión"),IF(C291="CWA",COUNTIFS(Restricciones!$C$6:$C$305,"CWP-"&amp;MID(B291,5,4)&amp;"-*",Restricciones!$F$6:$F$305,"Abierta")+COUNTIFS(Restricciones!$C$6:$C$305,"CWP-"&amp;MID(B291,5,4)&amp;"-*",Restricciones!$F$6:$F$305,"En gestión"),COUNTIFS(Restricciones!$C$6:$C$305,IF(C291="CWP",B291,H291),Restricciones!$F$6:$F$305,"Abierta")+COUNTIFS(Restricciones!$C$6:$C$305,IF(C291="CWP",B291,H291),Restricciones!$F$6:$F$305,"En gestión"))))</f>
        <v/>
      </c>
      <c r="S291" s="30">
        <f>IF(OR(B291="",M291=""),"",IF(O291&lt;&gt;"",MAX(0,O291-M291),IF(AND($B$3&gt;M291,K291&lt;&gt;"Cerrado"),$B$3-M291,0)))</f>
        <v/>
      </c>
      <c r="T291" s="31">
        <f>IF(B291="","",IF(K291="Cerrado",IF(S291&gt;0,"Cerrado con atraso","Cerrado"),IF(S291&gt;0,"Atrasado",IF(AND(N291="",L291&lt;&gt;"",$B$3&gt;L291),"Inicio atrasado","En plazo"))))</f>
        <v/>
      </c>
      <c r="U291" s="26" t="n"/>
    </row>
    <row r="292">
      <c r="A292" s="24" t="n"/>
      <c r="B292" s="25" t="n"/>
      <c r="C292" s="25" t="n"/>
      <c r="D292" s="25" t="n"/>
      <c r="E292" s="26" t="n"/>
      <c r="F292" s="25" t="n"/>
      <c r="G292" s="25" t="n"/>
      <c r="H292" s="25" t="n"/>
      <c r="I292" s="25" t="n"/>
      <c r="J292" s="25" t="n"/>
      <c r="K292" s="25" t="n"/>
      <c r="L292" s="27" t="n"/>
      <c r="M292" s="27" t="n"/>
      <c r="N292" s="27" t="n"/>
      <c r="O292" s="27" t="n"/>
      <c r="P292" s="28" t="n"/>
      <c r="Q292" s="29" t="n"/>
      <c r="R292" s="30">
        <f>IF(B292="","",IF(C292="IWP",COUNTIFS(Restricciones!$D$6:$D$305,B292,Restricciones!$F$6:$F$305,"Abierta")+COUNTIFS(Restricciones!$D$6:$D$305,B292,Restricciones!$F$6:$F$305,"En gestión"),IF(C292="CWA",COUNTIFS(Restricciones!$C$6:$C$305,"CWP-"&amp;MID(B292,5,4)&amp;"-*",Restricciones!$F$6:$F$305,"Abierta")+COUNTIFS(Restricciones!$C$6:$C$305,"CWP-"&amp;MID(B292,5,4)&amp;"-*",Restricciones!$F$6:$F$305,"En gestión"),COUNTIFS(Restricciones!$C$6:$C$305,IF(C292="CWP",B292,H292),Restricciones!$F$6:$F$305,"Abierta")+COUNTIFS(Restricciones!$C$6:$C$305,IF(C292="CWP",B292,H292),Restricciones!$F$6:$F$305,"En gestión"))))</f>
        <v/>
      </c>
      <c r="S292" s="30">
        <f>IF(OR(B292="",M292=""),"",IF(O292&lt;&gt;"",MAX(0,O292-M292),IF(AND($B$3&gt;M292,K292&lt;&gt;"Cerrado"),$B$3-M292,0)))</f>
        <v/>
      </c>
      <c r="T292" s="31">
        <f>IF(B292="","",IF(K292="Cerrado",IF(S292&gt;0,"Cerrado con atraso","Cerrado"),IF(S292&gt;0,"Atrasado",IF(AND(N292="",L292&lt;&gt;"",$B$3&gt;L292),"Inicio atrasado","En plazo"))))</f>
        <v/>
      </c>
      <c r="U292" s="26" t="n"/>
    </row>
    <row r="293">
      <c r="A293" s="24" t="n"/>
      <c r="B293" s="25" t="n"/>
      <c r="C293" s="25" t="n"/>
      <c r="D293" s="25" t="n"/>
      <c r="E293" s="26" t="n"/>
      <c r="F293" s="25" t="n"/>
      <c r="G293" s="25" t="n"/>
      <c r="H293" s="25" t="n"/>
      <c r="I293" s="25" t="n"/>
      <c r="J293" s="25" t="n"/>
      <c r="K293" s="25" t="n"/>
      <c r="L293" s="27" t="n"/>
      <c r="M293" s="27" t="n"/>
      <c r="N293" s="27" t="n"/>
      <c r="O293" s="27" t="n"/>
      <c r="P293" s="28" t="n"/>
      <c r="Q293" s="29" t="n"/>
      <c r="R293" s="30">
        <f>IF(B293="","",IF(C293="IWP",COUNTIFS(Restricciones!$D$6:$D$305,B293,Restricciones!$F$6:$F$305,"Abierta")+COUNTIFS(Restricciones!$D$6:$D$305,B293,Restricciones!$F$6:$F$305,"En gestión"),IF(C293="CWA",COUNTIFS(Restricciones!$C$6:$C$305,"CWP-"&amp;MID(B293,5,4)&amp;"-*",Restricciones!$F$6:$F$305,"Abierta")+COUNTIFS(Restricciones!$C$6:$C$305,"CWP-"&amp;MID(B293,5,4)&amp;"-*",Restricciones!$F$6:$F$305,"En gestión"),COUNTIFS(Restricciones!$C$6:$C$305,IF(C293="CWP",B293,H293),Restricciones!$F$6:$F$305,"Abierta")+COUNTIFS(Restricciones!$C$6:$C$305,IF(C293="CWP",B293,H293),Restricciones!$F$6:$F$305,"En gestión"))))</f>
        <v/>
      </c>
      <c r="S293" s="30">
        <f>IF(OR(B293="",M293=""),"",IF(O293&lt;&gt;"",MAX(0,O293-M293),IF(AND($B$3&gt;M293,K293&lt;&gt;"Cerrado"),$B$3-M293,0)))</f>
        <v/>
      </c>
      <c r="T293" s="31">
        <f>IF(B293="","",IF(K293="Cerrado",IF(S293&gt;0,"Cerrado con atraso","Cerrado"),IF(S293&gt;0,"Atrasado",IF(AND(N293="",L293&lt;&gt;"",$B$3&gt;L293),"Inicio atrasado","En plazo"))))</f>
        <v/>
      </c>
      <c r="U293" s="26" t="n"/>
    </row>
    <row r="294">
      <c r="A294" s="24" t="n"/>
      <c r="B294" s="25" t="n"/>
      <c r="C294" s="25" t="n"/>
      <c r="D294" s="25" t="n"/>
      <c r="E294" s="26" t="n"/>
      <c r="F294" s="25" t="n"/>
      <c r="G294" s="25" t="n"/>
      <c r="H294" s="25" t="n"/>
      <c r="I294" s="25" t="n"/>
      <c r="J294" s="25" t="n"/>
      <c r="K294" s="25" t="n"/>
      <c r="L294" s="27" t="n"/>
      <c r="M294" s="27" t="n"/>
      <c r="N294" s="27" t="n"/>
      <c r="O294" s="27" t="n"/>
      <c r="P294" s="28" t="n"/>
      <c r="Q294" s="29" t="n"/>
      <c r="R294" s="30">
        <f>IF(B294="","",IF(C294="IWP",COUNTIFS(Restricciones!$D$6:$D$305,B294,Restricciones!$F$6:$F$305,"Abierta")+COUNTIFS(Restricciones!$D$6:$D$305,B294,Restricciones!$F$6:$F$305,"En gestión"),IF(C294="CWA",COUNTIFS(Restricciones!$C$6:$C$305,"CWP-"&amp;MID(B294,5,4)&amp;"-*",Restricciones!$F$6:$F$305,"Abierta")+COUNTIFS(Restricciones!$C$6:$C$305,"CWP-"&amp;MID(B294,5,4)&amp;"-*",Restricciones!$F$6:$F$305,"En gestión"),COUNTIFS(Restricciones!$C$6:$C$305,IF(C294="CWP",B294,H294),Restricciones!$F$6:$F$305,"Abierta")+COUNTIFS(Restricciones!$C$6:$C$305,IF(C294="CWP",B294,H294),Restricciones!$F$6:$F$305,"En gestión"))))</f>
        <v/>
      </c>
      <c r="S294" s="30">
        <f>IF(OR(B294="",M294=""),"",IF(O294&lt;&gt;"",MAX(0,O294-M294),IF(AND($B$3&gt;M294,K294&lt;&gt;"Cerrado"),$B$3-M294,0)))</f>
        <v/>
      </c>
      <c r="T294" s="31">
        <f>IF(B294="","",IF(K294="Cerrado",IF(S294&gt;0,"Cerrado con atraso","Cerrado"),IF(S294&gt;0,"Atrasado",IF(AND(N294="",L294&lt;&gt;"",$B$3&gt;L294),"Inicio atrasado","En plazo"))))</f>
        <v/>
      </c>
      <c r="U294" s="26" t="n"/>
    </row>
    <row r="295">
      <c r="A295" s="24" t="n"/>
      <c r="B295" s="25" t="n"/>
      <c r="C295" s="25" t="n"/>
      <c r="D295" s="25" t="n"/>
      <c r="E295" s="26" t="n"/>
      <c r="F295" s="25" t="n"/>
      <c r="G295" s="25" t="n"/>
      <c r="H295" s="25" t="n"/>
      <c r="I295" s="25" t="n"/>
      <c r="J295" s="25" t="n"/>
      <c r="K295" s="25" t="n"/>
      <c r="L295" s="27" t="n"/>
      <c r="M295" s="27" t="n"/>
      <c r="N295" s="27" t="n"/>
      <c r="O295" s="27" t="n"/>
      <c r="P295" s="28" t="n"/>
      <c r="Q295" s="29" t="n"/>
      <c r="R295" s="30">
        <f>IF(B295="","",IF(C295="IWP",COUNTIFS(Restricciones!$D$6:$D$305,B295,Restricciones!$F$6:$F$305,"Abierta")+COUNTIFS(Restricciones!$D$6:$D$305,B295,Restricciones!$F$6:$F$305,"En gestión"),IF(C295="CWA",COUNTIFS(Restricciones!$C$6:$C$305,"CWP-"&amp;MID(B295,5,4)&amp;"-*",Restricciones!$F$6:$F$305,"Abierta")+COUNTIFS(Restricciones!$C$6:$C$305,"CWP-"&amp;MID(B295,5,4)&amp;"-*",Restricciones!$F$6:$F$305,"En gestión"),COUNTIFS(Restricciones!$C$6:$C$305,IF(C295="CWP",B295,H295),Restricciones!$F$6:$F$305,"Abierta")+COUNTIFS(Restricciones!$C$6:$C$305,IF(C295="CWP",B295,H295),Restricciones!$F$6:$F$305,"En gestión"))))</f>
        <v/>
      </c>
      <c r="S295" s="30">
        <f>IF(OR(B295="",M295=""),"",IF(O295&lt;&gt;"",MAX(0,O295-M295),IF(AND($B$3&gt;M295,K295&lt;&gt;"Cerrado"),$B$3-M295,0)))</f>
        <v/>
      </c>
      <c r="T295" s="31">
        <f>IF(B295="","",IF(K295="Cerrado",IF(S295&gt;0,"Cerrado con atraso","Cerrado"),IF(S295&gt;0,"Atrasado",IF(AND(N295="",L295&lt;&gt;"",$B$3&gt;L295),"Inicio atrasado","En plazo"))))</f>
        <v/>
      </c>
      <c r="U295" s="26" t="n"/>
    </row>
    <row r="296">
      <c r="A296" s="24" t="n"/>
      <c r="B296" s="25" t="n"/>
      <c r="C296" s="25" t="n"/>
      <c r="D296" s="25" t="n"/>
      <c r="E296" s="26" t="n"/>
      <c r="F296" s="25" t="n"/>
      <c r="G296" s="25" t="n"/>
      <c r="H296" s="25" t="n"/>
      <c r="I296" s="25" t="n"/>
      <c r="J296" s="25" t="n"/>
      <c r="K296" s="25" t="n"/>
      <c r="L296" s="27" t="n"/>
      <c r="M296" s="27" t="n"/>
      <c r="N296" s="27" t="n"/>
      <c r="O296" s="27" t="n"/>
      <c r="P296" s="28" t="n"/>
      <c r="Q296" s="29" t="n"/>
      <c r="R296" s="30">
        <f>IF(B296="","",IF(C296="IWP",COUNTIFS(Restricciones!$D$6:$D$305,B296,Restricciones!$F$6:$F$305,"Abierta")+COUNTIFS(Restricciones!$D$6:$D$305,B296,Restricciones!$F$6:$F$305,"En gestión"),IF(C296="CWA",COUNTIFS(Restricciones!$C$6:$C$305,"CWP-"&amp;MID(B296,5,4)&amp;"-*",Restricciones!$F$6:$F$305,"Abierta")+COUNTIFS(Restricciones!$C$6:$C$305,"CWP-"&amp;MID(B296,5,4)&amp;"-*",Restricciones!$F$6:$F$305,"En gestión"),COUNTIFS(Restricciones!$C$6:$C$305,IF(C296="CWP",B296,H296),Restricciones!$F$6:$F$305,"Abierta")+COUNTIFS(Restricciones!$C$6:$C$305,IF(C296="CWP",B296,H296),Restricciones!$F$6:$F$305,"En gestión"))))</f>
        <v/>
      </c>
      <c r="S296" s="30">
        <f>IF(OR(B296="",M296=""),"",IF(O296&lt;&gt;"",MAX(0,O296-M296),IF(AND($B$3&gt;M296,K296&lt;&gt;"Cerrado"),$B$3-M296,0)))</f>
        <v/>
      </c>
      <c r="T296" s="31">
        <f>IF(B296="","",IF(K296="Cerrado",IF(S296&gt;0,"Cerrado con atraso","Cerrado"),IF(S296&gt;0,"Atrasado",IF(AND(N296="",L296&lt;&gt;"",$B$3&gt;L296),"Inicio atrasado","En plazo"))))</f>
        <v/>
      </c>
      <c r="U296" s="26" t="n"/>
    </row>
    <row r="297">
      <c r="A297" s="24" t="n"/>
      <c r="B297" s="25" t="n"/>
      <c r="C297" s="25" t="n"/>
      <c r="D297" s="25" t="n"/>
      <c r="E297" s="26" t="n"/>
      <c r="F297" s="25" t="n"/>
      <c r="G297" s="25" t="n"/>
      <c r="H297" s="25" t="n"/>
      <c r="I297" s="25" t="n"/>
      <c r="J297" s="25" t="n"/>
      <c r="K297" s="25" t="n"/>
      <c r="L297" s="27" t="n"/>
      <c r="M297" s="27" t="n"/>
      <c r="N297" s="27" t="n"/>
      <c r="O297" s="27" t="n"/>
      <c r="P297" s="28" t="n"/>
      <c r="Q297" s="29" t="n"/>
      <c r="R297" s="30">
        <f>IF(B297="","",IF(C297="IWP",COUNTIFS(Restricciones!$D$6:$D$305,B297,Restricciones!$F$6:$F$305,"Abierta")+COUNTIFS(Restricciones!$D$6:$D$305,B297,Restricciones!$F$6:$F$305,"En gestión"),IF(C297="CWA",COUNTIFS(Restricciones!$C$6:$C$305,"CWP-"&amp;MID(B297,5,4)&amp;"-*",Restricciones!$F$6:$F$305,"Abierta")+COUNTIFS(Restricciones!$C$6:$C$305,"CWP-"&amp;MID(B297,5,4)&amp;"-*",Restricciones!$F$6:$F$305,"En gestión"),COUNTIFS(Restricciones!$C$6:$C$305,IF(C297="CWP",B297,H297),Restricciones!$F$6:$F$305,"Abierta")+COUNTIFS(Restricciones!$C$6:$C$305,IF(C297="CWP",B297,H297),Restricciones!$F$6:$F$305,"En gestión"))))</f>
        <v/>
      </c>
      <c r="S297" s="30">
        <f>IF(OR(B297="",M297=""),"",IF(O297&lt;&gt;"",MAX(0,O297-M297),IF(AND($B$3&gt;M297,K297&lt;&gt;"Cerrado"),$B$3-M297,0)))</f>
        <v/>
      </c>
      <c r="T297" s="31">
        <f>IF(B297="","",IF(K297="Cerrado",IF(S297&gt;0,"Cerrado con atraso","Cerrado"),IF(S297&gt;0,"Atrasado",IF(AND(N297="",L297&lt;&gt;"",$B$3&gt;L297),"Inicio atrasado","En plazo"))))</f>
        <v/>
      </c>
      <c r="U297" s="26" t="n"/>
    </row>
    <row r="298">
      <c r="A298" s="24" t="n"/>
      <c r="B298" s="25" t="n"/>
      <c r="C298" s="25" t="n"/>
      <c r="D298" s="25" t="n"/>
      <c r="E298" s="26" t="n"/>
      <c r="F298" s="25" t="n"/>
      <c r="G298" s="25" t="n"/>
      <c r="H298" s="25" t="n"/>
      <c r="I298" s="25" t="n"/>
      <c r="J298" s="25" t="n"/>
      <c r="K298" s="25" t="n"/>
      <c r="L298" s="27" t="n"/>
      <c r="M298" s="27" t="n"/>
      <c r="N298" s="27" t="n"/>
      <c r="O298" s="27" t="n"/>
      <c r="P298" s="28" t="n"/>
      <c r="Q298" s="29" t="n"/>
      <c r="R298" s="30">
        <f>IF(B298="","",IF(C298="IWP",COUNTIFS(Restricciones!$D$6:$D$305,B298,Restricciones!$F$6:$F$305,"Abierta")+COUNTIFS(Restricciones!$D$6:$D$305,B298,Restricciones!$F$6:$F$305,"En gestión"),IF(C298="CWA",COUNTIFS(Restricciones!$C$6:$C$305,"CWP-"&amp;MID(B298,5,4)&amp;"-*",Restricciones!$F$6:$F$305,"Abierta")+COUNTIFS(Restricciones!$C$6:$C$305,"CWP-"&amp;MID(B298,5,4)&amp;"-*",Restricciones!$F$6:$F$305,"En gestión"),COUNTIFS(Restricciones!$C$6:$C$305,IF(C298="CWP",B298,H298),Restricciones!$F$6:$F$305,"Abierta")+COUNTIFS(Restricciones!$C$6:$C$305,IF(C298="CWP",B298,H298),Restricciones!$F$6:$F$305,"En gestión"))))</f>
        <v/>
      </c>
      <c r="S298" s="30">
        <f>IF(OR(B298="",M298=""),"",IF(O298&lt;&gt;"",MAX(0,O298-M298),IF(AND($B$3&gt;M298,K298&lt;&gt;"Cerrado"),$B$3-M298,0)))</f>
        <v/>
      </c>
      <c r="T298" s="31">
        <f>IF(B298="","",IF(K298="Cerrado",IF(S298&gt;0,"Cerrado con atraso","Cerrado"),IF(S298&gt;0,"Atrasado",IF(AND(N298="",L298&lt;&gt;"",$B$3&gt;L298),"Inicio atrasado","En plazo"))))</f>
        <v/>
      </c>
      <c r="U298" s="26" t="n"/>
    </row>
    <row r="299">
      <c r="A299" s="24" t="n"/>
      <c r="B299" s="25" t="n"/>
      <c r="C299" s="25" t="n"/>
      <c r="D299" s="25" t="n"/>
      <c r="E299" s="26" t="n"/>
      <c r="F299" s="25" t="n"/>
      <c r="G299" s="25" t="n"/>
      <c r="H299" s="25" t="n"/>
      <c r="I299" s="25" t="n"/>
      <c r="J299" s="25" t="n"/>
      <c r="K299" s="25" t="n"/>
      <c r="L299" s="27" t="n"/>
      <c r="M299" s="27" t="n"/>
      <c r="N299" s="27" t="n"/>
      <c r="O299" s="27" t="n"/>
      <c r="P299" s="28" t="n"/>
      <c r="Q299" s="29" t="n"/>
      <c r="R299" s="30">
        <f>IF(B299="","",IF(C299="IWP",COUNTIFS(Restricciones!$D$6:$D$305,B299,Restricciones!$F$6:$F$305,"Abierta")+COUNTIFS(Restricciones!$D$6:$D$305,B299,Restricciones!$F$6:$F$305,"En gestión"),IF(C299="CWA",COUNTIFS(Restricciones!$C$6:$C$305,"CWP-"&amp;MID(B299,5,4)&amp;"-*",Restricciones!$F$6:$F$305,"Abierta")+COUNTIFS(Restricciones!$C$6:$C$305,"CWP-"&amp;MID(B299,5,4)&amp;"-*",Restricciones!$F$6:$F$305,"En gestión"),COUNTIFS(Restricciones!$C$6:$C$305,IF(C299="CWP",B299,H299),Restricciones!$F$6:$F$305,"Abierta")+COUNTIFS(Restricciones!$C$6:$C$305,IF(C299="CWP",B299,H299),Restricciones!$F$6:$F$305,"En gestión"))))</f>
        <v/>
      </c>
      <c r="S299" s="30">
        <f>IF(OR(B299="",M299=""),"",IF(O299&lt;&gt;"",MAX(0,O299-M299),IF(AND($B$3&gt;M299,K299&lt;&gt;"Cerrado"),$B$3-M299,0)))</f>
        <v/>
      </c>
      <c r="T299" s="31">
        <f>IF(B299="","",IF(K299="Cerrado",IF(S299&gt;0,"Cerrado con atraso","Cerrado"),IF(S299&gt;0,"Atrasado",IF(AND(N299="",L299&lt;&gt;"",$B$3&gt;L299),"Inicio atrasado","En plazo"))))</f>
        <v/>
      </c>
      <c r="U299" s="26" t="n"/>
    </row>
    <row r="300">
      <c r="A300" s="24" t="n"/>
      <c r="B300" s="25" t="n"/>
      <c r="C300" s="25" t="n"/>
      <c r="D300" s="25" t="n"/>
      <c r="E300" s="26" t="n"/>
      <c r="F300" s="25" t="n"/>
      <c r="G300" s="25" t="n"/>
      <c r="H300" s="25" t="n"/>
      <c r="I300" s="25" t="n"/>
      <c r="J300" s="25" t="n"/>
      <c r="K300" s="25" t="n"/>
      <c r="L300" s="27" t="n"/>
      <c r="M300" s="27" t="n"/>
      <c r="N300" s="27" t="n"/>
      <c r="O300" s="27" t="n"/>
      <c r="P300" s="28" t="n"/>
      <c r="Q300" s="29" t="n"/>
      <c r="R300" s="30">
        <f>IF(B300="","",IF(C300="IWP",COUNTIFS(Restricciones!$D$6:$D$305,B300,Restricciones!$F$6:$F$305,"Abierta")+COUNTIFS(Restricciones!$D$6:$D$305,B300,Restricciones!$F$6:$F$305,"En gestión"),IF(C300="CWA",COUNTIFS(Restricciones!$C$6:$C$305,"CWP-"&amp;MID(B300,5,4)&amp;"-*",Restricciones!$F$6:$F$305,"Abierta")+COUNTIFS(Restricciones!$C$6:$C$305,"CWP-"&amp;MID(B300,5,4)&amp;"-*",Restricciones!$F$6:$F$305,"En gestión"),COUNTIFS(Restricciones!$C$6:$C$305,IF(C300="CWP",B300,H300),Restricciones!$F$6:$F$305,"Abierta")+COUNTIFS(Restricciones!$C$6:$C$305,IF(C300="CWP",B300,H300),Restricciones!$F$6:$F$305,"En gestión"))))</f>
        <v/>
      </c>
      <c r="S300" s="30">
        <f>IF(OR(B300="",M300=""),"",IF(O300&lt;&gt;"",MAX(0,O300-M300),IF(AND($B$3&gt;M300,K300&lt;&gt;"Cerrado"),$B$3-M300,0)))</f>
        <v/>
      </c>
      <c r="T300" s="31">
        <f>IF(B300="","",IF(K300="Cerrado",IF(S300&gt;0,"Cerrado con atraso","Cerrado"),IF(S300&gt;0,"Atrasado",IF(AND(N300="",L300&lt;&gt;"",$B$3&gt;L300),"Inicio atrasado","En plazo"))))</f>
        <v/>
      </c>
      <c r="U300" s="26" t="n"/>
    </row>
    <row r="301">
      <c r="A301" s="24" t="n"/>
      <c r="B301" s="25" t="n"/>
      <c r="C301" s="25" t="n"/>
      <c r="D301" s="25" t="n"/>
      <c r="E301" s="26" t="n"/>
      <c r="F301" s="25" t="n"/>
      <c r="G301" s="25" t="n"/>
      <c r="H301" s="25" t="n"/>
      <c r="I301" s="25" t="n"/>
      <c r="J301" s="25" t="n"/>
      <c r="K301" s="25" t="n"/>
      <c r="L301" s="27" t="n"/>
      <c r="M301" s="27" t="n"/>
      <c r="N301" s="27" t="n"/>
      <c r="O301" s="27" t="n"/>
      <c r="P301" s="28" t="n"/>
      <c r="Q301" s="29" t="n"/>
      <c r="R301" s="30">
        <f>IF(B301="","",IF(C301="IWP",COUNTIFS(Restricciones!$D$6:$D$305,B301,Restricciones!$F$6:$F$305,"Abierta")+COUNTIFS(Restricciones!$D$6:$D$305,B301,Restricciones!$F$6:$F$305,"En gestión"),IF(C301="CWA",COUNTIFS(Restricciones!$C$6:$C$305,"CWP-"&amp;MID(B301,5,4)&amp;"-*",Restricciones!$F$6:$F$305,"Abierta")+COUNTIFS(Restricciones!$C$6:$C$305,"CWP-"&amp;MID(B301,5,4)&amp;"-*",Restricciones!$F$6:$F$305,"En gestión"),COUNTIFS(Restricciones!$C$6:$C$305,IF(C301="CWP",B301,H301),Restricciones!$F$6:$F$305,"Abierta")+COUNTIFS(Restricciones!$C$6:$C$305,IF(C301="CWP",B301,H301),Restricciones!$F$6:$F$305,"En gestión"))))</f>
        <v/>
      </c>
      <c r="S301" s="30">
        <f>IF(OR(B301="",M301=""),"",IF(O301&lt;&gt;"",MAX(0,O301-M301),IF(AND($B$3&gt;M301,K301&lt;&gt;"Cerrado"),$B$3-M301,0)))</f>
        <v/>
      </c>
      <c r="T301" s="31">
        <f>IF(B301="","",IF(K301="Cerrado",IF(S301&gt;0,"Cerrado con atraso","Cerrado"),IF(S301&gt;0,"Atrasado",IF(AND(N301="",L301&lt;&gt;"",$B$3&gt;L301),"Inicio atrasado","En plazo"))))</f>
        <v/>
      </c>
      <c r="U301" s="26" t="n"/>
    </row>
    <row r="302">
      <c r="A302" s="24" t="n"/>
      <c r="B302" s="25" t="n"/>
      <c r="C302" s="25" t="n"/>
      <c r="D302" s="25" t="n"/>
      <c r="E302" s="26" t="n"/>
      <c r="F302" s="25" t="n"/>
      <c r="G302" s="25" t="n"/>
      <c r="H302" s="25" t="n"/>
      <c r="I302" s="25" t="n"/>
      <c r="J302" s="25" t="n"/>
      <c r="K302" s="25" t="n"/>
      <c r="L302" s="27" t="n"/>
      <c r="M302" s="27" t="n"/>
      <c r="N302" s="27" t="n"/>
      <c r="O302" s="27" t="n"/>
      <c r="P302" s="28" t="n"/>
      <c r="Q302" s="29" t="n"/>
      <c r="R302" s="30">
        <f>IF(B302="","",IF(C302="IWP",COUNTIFS(Restricciones!$D$6:$D$305,B302,Restricciones!$F$6:$F$305,"Abierta")+COUNTIFS(Restricciones!$D$6:$D$305,B302,Restricciones!$F$6:$F$305,"En gestión"),IF(C302="CWA",COUNTIFS(Restricciones!$C$6:$C$305,"CWP-"&amp;MID(B302,5,4)&amp;"-*",Restricciones!$F$6:$F$305,"Abierta")+COUNTIFS(Restricciones!$C$6:$C$305,"CWP-"&amp;MID(B302,5,4)&amp;"-*",Restricciones!$F$6:$F$305,"En gestión"),COUNTIFS(Restricciones!$C$6:$C$305,IF(C302="CWP",B302,H302),Restricciones!$F$6:$F$305,"Abierta")+COUNTIFS(Restricciones!$C$6:$C$305,IF(C302="CWP",B302,H302),Restricciones!$F$6:$F$305,"En gestión"))))</f>
        <v/>
      </c>
      <c r="S302" s="30">
        <f>IF(OR(B302="",M302=""),"",IF(O302&lt;&gt;"",MAX(0,O302-M302),IF(AND($B$3&gt;M302,K302&lt;&gt;"Cerrado"),$B$3-M302,0)))</f>
        <v/>
      </c>
      <c r="T302" s="31">
        <f>IF(B302="","",IF(K302="Cerrado",IF(S302&gt;0,"Cerrado con atraso","Cerrado"),IF(S302&gt;0,"Atrasado",IF(AND(N302="",L302&lt;&gt;"",$B$3&gt;L302),"Inicio atrasado","En plazo"))))</f>
        <v/>
      </c>
      <c r="U302" s="26" t="n"/>
    </row>
    <row r="303">
      <c r="A303" s="24" t="n"/>
      <c r="B303" s="25" t="n"/>
      <c r="C303" s="25" t="n"/>
      <c r="D303" s="25" t="n"/>
      <c r="E303" s="26" t="n"/>
      <c r="F303" s="25" t="n"/>
      <c r="G303" s="25" t="n"/>
      <c r="H303" s="25" t="n"/>
      <c r="I303" s="25" t="n"/>
      <c r="J303" s="25" t="n"/>
      <c r="K303" s="25" t="n"/>
      <c r="L303" s="27" t="n"/>
      <c r="M303" s="27" t="n"/>
      <c r="N303" s="27" t="n"/>
      <c r="O303" s="27" t="n"/>
      <c r="P303" s="28" t="n"/>
      <c r="Q303" s="29" t="n"/>
      <c r="R303" s="30">
        <f>IF(B303="","",IF(C303="IWP",COUNTIFS(Restricciones!$D$6:$D$305,B303,Restricciones!$F$6:$F$305,"Abierta")+COUNTIFS(Restricciones!$D$6:$D$305,B303,Restricciones!$F$6:$F$305,"En gestión"),IF(C303="CWA",COUNTIFS(Restricciones!$C$6:$C$305,"CWP-"&amp;MID(B303,5,4)&amp;"-*",Restricciones!$F$6:$F$305,"Abierta")+COUNTIFS(Restricciones!$C$6:$C$305,"CWP-"&amp;MID(B303,5,4)&amp;"-*",Restricciones!$F$6:$F$305,"En gestión"),COUNTIFS(Restricciones!$C$6:$C$305,IF(C303="CWP",B303,H303),Restricciones!$F$6:$F$305,"Abierta")+COUNTIFS(Restricciones!$C$6:$C$305,IF(C303="CWP",B303,H303),Restricciones!$F$6:$F$305,"En gestión"))))</f>
        <v/>
      </c>
      <c r="S303" s="30">
        <f>IF(OR(B303="",M303=""),"",IF(O303&lt;&gt;"",MAX(0,O303-M303),IF(AND($B$3&gt;M303,K303&lt;&gt;"Cerrado"),$B$3-M303,0)))</f>
        <v/>
      </c>
      <c r="T303" s="31">
        <f>IF(B303="","",IF(K303="Cerrado",IF(S303&gt;0,"Cerrado con atraso","Cerrado"),IF(S303&gt;0,"Atrasado",IF(AND(N303="",L303&lt;&gt;"",$B$3&gt;L303),"Inicio atrasado","En plazo"))))</f>
        <v/>
      </c>
      <c r="U303" s="26" t="n"/>
    </row>
    <row r="304">
      <c r="A304" s="24" t="n"/>
      <c r="B304" s="25" t="n"/>
      <c r="C304" s="25" t="n"/>
      <c r="D304" s="25" t="n"/>
      <c r="E304" s="26" t="n"/>
      <c r="F304" s="25" t="n"/>
      <c r="G304" s="25" t="n"/>
      <c r="H304" s="25" t="n"/>
      <c r="I304" s="25" t="n"/>
      <c r="J304" s="25" t="n"/>
      <c r="K304" s="25" t="n"/>
      <c r="L304" s="27" t="n"/>
      <c r="M304" s="27" t="n"/>
      <c r="N304" s="27" t="n"/>
      <c r="O304" s="27" t="n"/>
      <c r="P304" s="28" t="n"/>
      <c r="Q304" s="29" t="n"/>
      <c r="R304" s="30">
        <f>IF(B304="","",IF(C304="IWP",COUNTIFS(Restricciones!$D$6:$D$305,B304,Restricciones!$F$6:$F$305,"Abierta")+COUNTIFS(Restricciones!$D$6:$D$305,B304,Restricciones!$F$6:$F$305,"En gestión"),IF(C304="CWA",COUNTIFS(Restricciones!$C$6:$C$305,"CWP-"&amp;MID(B304,5,4)&amp;"-*",Restricciones!$F$6:$F$305,"Abierta")+COUNTIFS(Restricciones!$C$6:$C$305,"CWP-"&amp;MID(B304,5,4)&amp;"-*",Restricciones!$F$6:$F$305,"En gestión"),COUNTIFS(Restricciones!$C$6:$C$305,IF(C304="CWP",B304,H304),Restricciones!$F$6:$F$305,"Abierta")+COUNTIFS(Restricciones!$C$6:$C$305,IF(C304="CWP",B304,H304),Restricciones!$F$6:$F$305,"En gestión"))))</f>
        <v/>
      </c>
      <c r="S304" s="30">
        <f>IF(OR(B304="",M304=""),"",IF(O304&lt;&gt;"",MAX(0,O304-M304),IF(AND($B$3&gt;M304,K304&lt;&gt;"Cerrado"),$B$3-M304,0)))</f>
        <v/>
      </c>
      <c r="T304" s="31">
        <f>IF(B304="","",IF(K304="Cerrado",IF(S304&gt;0,"Cerrado con atraso","Cerrado"),IF(S304&gt;0,"Atrasado",IF(AND(N304="",L304&lt;&gt;"",$B$3&gt;L304),"Inicio atrasado","En plazo"))))</f>
        <v/>
      </c>
      <c r="U304" s="26" t="n"/>
    </row>
    <row r="305">
      <c r="A305" s="24" t="n"/>
      <c r="B305" s="25" t="n"/>
      <c r="C305" s="25" t="n"/>
      <c r="D305" s="25" t="n"/>
      <c r="E305" s="26" t="n"/>
      <c r="F305" s="25" t="n"/>
      <c r="G305" s="25" t="n"/>
      <c r="H305" s="25" t="n"/>
      <c r="I305" s="25" t="n"/>
      <c r="J305" s="25" t="n"/>
      <c r="K305" s="25" t="n"/>
      <c r="L305" s="27" t="n"/>
      <c r="M305" s="27" t="n"/>
      <c r="N305" s="27" t="n"/>
      <c r="O305" s="27" t="n"/>
      <c r="P305" s="28" t="n"/>
      <c r="Q305" s="29" t="n"/>
      <c r="R305" s="30">
        <f>IF(B305="","",IF(C305="IWP",COUNTIFS(Restricciones!$D$6:$D$305,B305,Restricciones!$F$6:$F$305,"Abierta")+COUNTIFS(Restricciones!$D$6:$D$305,B305,Restricciones!$F$6:$F$305,"En gestión"),IF(C305="CWA",COUNTIFS(Restricciones!$C$6:$C$305,"CWP-"&amp;MID(B305,5,4)&amp;"-*",Restricciones!$F$6:$F$305,"Abierta")+COUNTIFS(Restricciones!$C$6:$C$305,"CWP-"&amp;MID(B305,5,4)&amp;"-*",Restricciones!$F$6:$F$305,"En gestión"),COUNTIFS(Restricciones!$C$6:$C$305,IF(C305="CWP",B305,H305),Restricciones!$F$6:$F$305,"Abierta")+COUNTIFS(Restricciones!$C$6:$C$305,IF(C305="CWP",B305,H305),Restricciones!$F$6:$F$305,"En gestión"))))</f>
        <v/>
      </c>
      <c r="S305" s="30">
        <f>IF(OR(B305="",M305=""),"",IF(O305&lt;&gt;"",MAX(0,O305-M305),IF(AND($B$3&gt;M305,K305&lt;&gt;"Cerrado"),$B$3-M305,0)))</f>
        <v/>
      </c>
      <c r="T305" s="31">
        <f>IF(B305="","",IF(K305="Cerrado",IF(S305&gt;0,"Cerrado con atraso","Cerrado"),IF(S305&gt;0,"Atrasado",IF(AND(N305="",L305&lt;&gt;"",$B$3&gt;L305),"Inicio atrasado","En plazo"))))</f>
        <v/>
      </c>
      <c r="U305" s="26" t="n"/>
    </row>
    <row r="306">
      <c r="A306" s="24" t="n"/>
      <c r="B306" s="25" t="n"/>
      <c r="C306" s="25" t="n"/>
      <c r="D306" s="25" t="n"/>
      <c r="E306" s="26" t="n"/>
      <c r="F306" s="25" t="n"/>
      <c r="G306" s="25" t="n"/>
      <c r="H306" s="25" t="n"/>
      <c r="I306" s="25" t="n"/>
      <c r="J306" s="25" t="n"/>
      <c r="K306" s="25" t="n"/>
      <c r="L306" s="27" t="n"/>
      <c r="M306" s="27" t="n"/>
      <c r="N306" s="27" t="n"/>
      <c r="O306" s="27" t="n"/>
      <c r="P306" s="28" t="n"/>
      <c r="Q306" s="29" t="n"/>
      <c r="R306" s="30">
        <f>IF(B306="","",IF(C306="IWP",COUNTIFS(Restricciones!$D$6:$D$305,B306,Restricciones!$F$6:$F$305,"Abierta")+COUNTIFS(Restricciones!$D$6:$D$305,B306,Restricciones!$F$6:$F$305,"En gestión"),IF(C306="CWA",COUNTIFS(Restricciones!$C$6:$C$305,"CWP-"&amp;MID(B306,5,4)&amp;"-*",Restricciones!$F$6:$F$305,"Abierta")+COUNTIFS(Restricciones!$C$6:$C$305,"CWP-"&amp;MID(B306,5,4)&amp;"-*",Restricciones!$F$6:$F$305,"En gestión"),COUNTIFS(Restricciones!$C$6:$C$305,IF(C306="CWP",B306,H306),Restricciones!$F$6:$F$305,"Abierta")+COUNTIFS(Restricciones!$C$6:$C$305,IF(C306="CWP",B306,H306),Restricciones!$F$6:$F$305,"En gestión"))))</f>
        <v/>
      </c>
      <c r="S306" s="30">
        <f>IF(OR(B306="",M306=""),"",IF(O306&lt;&gt;"",MAX(0,O306-M306),IF(AND($B$3&gt;M306,K306&lt;&gt;"Cerrado"),$B$3-M306,0)))</f>
        <v/>
      </c>
      <c r="T306" s="31">
        <f>IF(B306="","",IF(K306="Cerrado",IF(S306&gt;0,"Cerrado con atraso","Cerrado"),IF(S306&gt;0,"Atrasado",IF(AND(N306="",L306&lt;&gt;"",$B$3&gt;L306),"Inicio atrasado","En plazo"))))</f>
        <v/>
      </c>
      <c r="U306" s="26" t="n"/>
    </row>
    <row r="307">
      <c r="A307" s="24" t="n"/>
      <c r="B307" s="25" t="n"/>
      <c r="C307" s="25" t="n"/>
      <c r="D307" s="25" t="n"/>
      <c r="E307" s="26" t="n"/>
      <c r="F307" s="25" t="n"/>
      <c r="G307" s="25" t="n"/>
      <c r="H307" s="25" t="n"/>
      <c r="I307" s="25" t="n"/>
      <c r="J307" s="25" t="n"/>
      <c r="K307" s="25" t="n"/>
      <c r="L307" s="27" t="n"/>
      <c r="M307" s="27" t="n"/>
      <c r="N307" s="27" t="n"/>
      <c r="O307" s="27" t="n"/>
      <c r="P307" s="28" t="n"/>
      <c r="Q307" s="29" t="n"/>
      <c r="R307" s="30">
        <f>IF(B307="","",IF(C307="IWP",COUNTIFS(Restricciones!$D$6:$D$305,B307,Restricciones!$F$6:$F$305,"Abierta")+COUNTIFS(Restricciones!$D$6:$D$305,B307,Restricciones!$F$6:$F$305,"En gestión"),IF(C307="CWA",COUNTIFS(Restricciones!$C$6:$C$305,"CWP-"&amp;MID(B307,5,4)&amp;"-*",Restricciones!$F$6:$F$305,"Abierta")+COUNTIFS(Restricciones!$C$6:$C$305,"CWP-"&amp;MID(B307,5,4)&amp;"-*",Restricciones!$F$6:$F$305,"En gestión"),COUNTIFS(Restricciones!$C$6:$C$305,IF(C307="CWP",B307,H307),Restricciones!$F$6:$F$305,"Abierta")+COUNTIFS(Restricciones!$C$6:$C$305,IF(C307="CWP",B307,H307),Restricciones!$F$6:$F$305,"En gestión"))))</f>
        <v/>
      </c>
      <c r="S307" s="30">
        <f>IF(OR(B307="",M307=""),"",IF(O307&lt;&gt;"",MAX(0,O307-M307),IF(AND($B$3&gt;M307,K307&lt;&gt;"Cerrado"),$B$3-M307,0)))</f>
        <v/>
      </c>
      <c r="T307" s="31">
        <f>IF(B307="","",IF(K307="Cerrado",IF(S307&gt;0,"Cerrado con atraso","Cerrado"),IF(S307&gt;0,"Atrasado",IF(AND(N307="",L307&lt;&gt;"",$B$3&gt;L307),"Inicio atrasado","En plazo"))))</f>
        <v/>
      </c>
      <c r="U307" s="26" t="n"/>
    </row>
    <row r="308">
      <c r="A308" s="24" t="n"/>
      <c r="B308" s="25" t="n"/>
      <c r="C308" s="25" t="n"/>
      <c r="D308" s="25" t="n"/>
      <c r="E308" s="26" t="n"/>
      <c r="F308" s="25" t="n"/>
      <c r="G308" s="25" t="n"/>
      <c r="H308" s="25" t="n"/>
      <c r="I308" s="25" t="n"/>
      <c r="J308" s="25" t="n"/>
      <c r="K308" s="25" t="n"/>
      <c r="L308" s="27" t="n"/>
      <c r="M308" s="27" t="n"/>
      <c r="N308" s="27" t="n"/>
      <c r="O308" s="27" t="n"/>
      <c r="P308" s="28" t="n"/>
      <c r="Q308" s="29" t="n"/>
      <c r="R308" s="30">
        <f>IF(B308="","",IF(C308="IWP",COUNTIFS(Restricciones!$D$6:$D$305,B308,Restricciones!$F$6:$F$305,"Abierta")+COUNTIFS(Restricciones!$D$6:$D$305,B308,Restricciones!$F$6:$F$305,"En gestión"),IF(C308="CWA",COUNTIFS(Restricciones!$C$6:$C$305,"CWP-"&amp;MID(B308,5,4)&amp;"-*",Restricciones!$F$6:$F$305,"Abierta")+COUNTIFS(Restricciones!$C$6:$C$305,"CWP-"&amp;MID(B308,5,4)&amp;"-*",Restricciones!$F$6:$F$305,"En gestión"),COUNTIFS(Restricciones!$C$6:$C$305,IF(C308="CWP",B308,H308),Restricciones!$F$6:$F$305,"Abierta")+COUNTIFS(Restricciones!$C$6:$C$305,IF(C308="CWP",B308,H308),Restricciones!$F$6:$F$305,"En gestión"))))</f>
        <v/>
      </c>
      <c r="S308" s="30">
        <f>IF(OR(B308="",M308=""),"",IF(O308&lt;&gt;"",MAX(0,O308-M308),IF(AND($B$3&gt;M308,K308&lt;&gt;"Cerrado"),$B$3-M308,0)))</f>
        <v/>
      </c>
      <c r="T308" s="31">
        <f>IF(B308="","",IF(K308="Cerrado",IF(S308&gt;0,"Cerrado con atraso","Cerrado"),IF(S308&gt;0,"Atrasado",IF(AND(N308="",L308&lt;&gt;"",$B$3&gt;L308),"Inicio atrasado","En plazo"))))</f>
        <v/>
      </c>
      <c r="U308" s="26" t="n"/>
    </row>
    <row r="309">
      <c r="A309" s="24" t="n"/>
      <c r="B309" s="25" t="n"/>
      <c r="C309" s="25" t="n"/>
      <c r="D309" s="25" t="n"/>
      <c r="E309" s="26" t="n"/>
      <c r="F309" s="25" t="n"/>
      <c r="G309" s="25" t="n"/>
      <c r="H309" s="25" t="n"/>
      <c r="I309" s="25" t="n"/>
      <c r="J309" s="25" t="n"/>
      <c r="K309" s="25" t="n"/>
      <c r="L309" s="27" t="n"/>
      <c r="M309" s="27" t="n"/>
      <c r="N309" s="27" t="n"/>
      <c r="O309" s="27" t="n"/>
      <c r="P309" s="28" t="n"/>
      <c r="Q309" s="29" t="n"/>
      <c r="R309" s="30">
        <f>IF(B309="","",IF(C309="IWP",COUNTIFS(Restricciones!$D$6:$D$305,B309,Restricciones!$F$6:$F$305,"Abierta")+COUNTIFS(Restricciones!$D$6:$D$305,B309,Restricciones!$F$6:$F$305,"En gestión"),IF(C309="CWA",COUNTIFS(Restricciones!$C$6:$C$305,"CWP-"&amp;MID(B309,5,4)&amp;"-*",Restricciones!$F$6:$F$305,"Abierta")+COUNTIFS(Restricciones!$C$6:$C$305,"CWP-"&amp;MID(B309,5,4)&amp;"-*",Restricciones!$F$6:$F$305,"En gestión"),COUNTIFS(Restricciones!$C$6:$C$305,IF(C309="CWP",B309,H309),Restricciones!$F$6:$F$305,"Abierta")+COUNTIFS(Restricciones!$C$6:$C$305,IF(C309="CWP",B309,H309),Restricciones!$F$6:$F$305,"En gestión"))))</f>
        <v/>
      </c>
      <c r="S309" s="30">
        <f>IF(OR(B309="",M309=""),"",IF(O309&lt;&gt;"",MAX(0,O309-M309),IF(AND($B$3&gt;M309,K309&lt;&gt;"Cerrado"),$B$3-M309,0)))</f>
        <v/>
      </c>
      <c r="T309" s="31">
        <f>IF(B309="","",IF(K309="Cerrado",IF(S309&gt;0,"Cerrado con atraso","Cerrado"),IF(S309&gt;0,"Atrasado",IF(AND(N309="",L309&lt;&gt;"",$B$3&gt;L309),"Inicio atrasado","En plazo"))))</f>
        <v/>
      </c>
      <c r="U309" s="26" t="n"/>
    </row>
    <row r="310">
      <c r="A310" s="24" t="n"/>
      <c r="B310" s="25" t="n"/>
      <c r="C310" s="25" t="n"/>
      <c r="D310" s="25" t="n"/>
      <c r="E310" s="26" t="n"/>
      <c r="F310" s="25" t="n"/>
      <c r="G310" s="25" t="n"/>
      <c r="H310" s="25" t="n"/>
      <c r="I310" s="25" t="n"/>
      <c r="J310" s="25" t="n"/>
      <c r="K310" s="25" t="n"/>
      <c r="L310" s="27" t="n"/>
      <c r="M310" s="27" t="n"/>
      <c r="N310" s="27" t="n"/>
      <c r="O310" s="27" t="n"/>
      <c r="P310" s="28" t="n"/>
      <c r="Q310" s="29" t="n"/>
      <c r="R310" s="30">
        <f>IF(B310="","",IF(C310="IWP",COUNTIFS(Restricciones!$D$6:$D$305,B310,Restricciones!$F$6:$F$305,"Abierta")+COUNTIFS(Restricciones!$D$6:$D$305,B310,Restricciones!$F$6:$F$305,"En gestión"),IF(C310="CWA",COUNTIFS(Restricciones!$C$6:$C$305,"CWP-"&amp;MID(B310,5,4)&amp;"-*",Restricciones!$F$6:$F$305,"Abierta")+COUNTIFS(Restricciones!$C$6:$C$305,"CWP-"&amp;MID(B310,5,4)&amp;"-*",Restricciones!$F$6:$F$305,"En gestión"),COUNTIFS(Restricciones!$C$6:$C$305,IF(C310="CWP",B310,H310),Restricciones!$F$6:$F$305,"Abierta")+COUNTIFS(Restricciones!$C$6:$C$305,IF(C310="CWP",B310,H310),Restricciones!$F$6:$F$305,"En gestión"))))</f>
        <v/>
      </c>
      <c r="S310" s="30">
        <f>IF(OR(B310="",M310=""),"",IF(O310&lt;&gt;"",MAX(0,O310-M310),IF(AND($B$3&gt;M310,K310&lt;&gt;"Cerrado"),$B$3-M310,0)))</f>
        <v/>
      </c>
      <c r="T310" s="31">
        <f>IF(B310="","",IF(K310="Cerrado",IF(S310&gt;0,"Cerrado con atraso","Cerrado"),IF(S310&gt;0,"Atrasado",IF(AND(N310="",L310&lt;&gt;"",$B$3&gt;L310),"Inicio atrasado","En plazo"))))</f>
        <v/>
      </c>
      <c r="U310" s="26" t="n"/>
    </row>
    <row r="311">
      <c r="A311" s="24" t="n"/>
      <c r="B311" s="25" t="n"/>
      <c r="C311" s="25" t="n"/>
      <c r="D311" s="25" t="n"/>
      <c r="E311" s="26" t="n"/>
      <c r="F311" s="25" t="n"/>
      <c r="G311" s="25" t="n"/>
      <c r="H311" s="25" t="n"/>
      <c r="I311" s="25" t="n"/>
      <c r="J311" s="25" t="n"/>
      <c r="K311" s="25" t="n"/>
      <c r="L311" s="27" t="n"/>
      <c r="M311" s="27" t="n"/>
      <c r="N311" s="27" t="n"/>
      <c r="O311" s="27" t="n"/>
      <c r="P311" s="28" t="n"/>
      <c r="Q311" s="29" t="n"/>
      <c r="R311" s="30">
        <f>IF(B311="","",IF(C311="IWP",COUNTIFS(Restricciones!$D$6:$D$305,B311,Restricciones!$F$6:$F$305,"Abierta")+COUNTIFS(Restricciones!$D$6:$D$305,B311,Restricciones!$F$6:$F$305,"En gestión"),IF(C311="CWA",COUNTIFS(Restricciones!$C$6:$C$305,"CWP-"&amp;MID(B311,5,4)&amp;"-*",Restricciones!$F$6:$F$305,"Abierta")+COUNTIFS(Restricciones!$C$6:$C$305,"CWP-"&amp;MID(B311,5,4)&amp;"-*",Restricciones!$F$6:$F$305,"En gestión"),COUNTIFS(Restricciones!$C$6:$C$305,IF(C311="CWP",B311,H311),Restricciones!$F$6:$F$305,"Abierta")+COUNTIFS(Restricciones!$C$6:$C$305,IF(C311="CWP",B311,H311),Restricciones!$F$6:$F$305,"En gestión"))))</f>
        <v/>
      </c>
      <c r="S311" s="30">
        <f>IF(OR(B311="",M311=""),"",IF(O311&lt;&gt;"",MAX(0,O311-M311),IF(AND($B$3&gt;M311,K311&lt;&gt;"Cerrado"),$B$3-M311,0)))</f>
        <v/>
      </c>
      <c r="T311" s="31">
        <f>IF(B311="","",IF(K311="Cerrado",IF(S311&gt;0,"Cerrado con atraso","Cerrado"),IF(S311&gt;0,"Atrasado",IF(AND(N311="",L311&lt;&gt;"",$B$3&gt;L311),"Inicio atrasado","En plazo"))))</f>
        <v/>
      </c>
      <c r="U311" s="26" t="n"/>
    </row>
    <row r="312">
      <c r="A312" s="24" t="n"/>
      <c r="B312" s="25" t="n"/>
      <c r="C312" s="25" t="n"/>
      <c r="D312" s="25" t="n"/>
      <c r="E312" s="26" t="n"/>
      <c r="F312" s="25" t="n"/>
      <c r="G312" s="25" t="n"/>
      <c r="H312" s="25" t="n"/>
      <c r="I312" s="25" t="n"/>
      <c r="J312" s="25" t="n"/>
      <c r="K312" s="25" t="n"/>
      <c r="L312" s="27" t="n"/>
      <c r="M312" s="27" t="n"/>
      <c r="N312" s="27" t="n"/>
      <c r="O312" s="27" t="n"/>
      <c r="P312" s="28" t="n"/>
      <c r="Q312" s="29" t="n"/>
      <c r="R312" s="30">
        <f>IF(B312="","",IF(C312="IWP",COUNTIFS(Restricciones!$D$6:$D$305,B312,Restricciones!$F$6:$F$305,"Abierta")+COUNTIFS(Restricciones!$D$6:$D$305,B312,Restricciones!$F$6:$F$305,"En gestión"),IF(C312="CWA",COUNTIFS(Restricciones!$C$6:$C$305,"CWP-"&amp;MID(B312,5,4)&amp;"-*",Restricciones!$F$6:$F$305,"Abierta")+COUNTIFS(Restricciones!$C$6:$C$305,"CWP-"&amp;MID(B312,5,4)&amp;"-*",Restricciones!$F$6:$F$305,"En gestión"),COUNTIFS(Restricciones!$C$6:$C$305,IF(C312="CWP",B312,H312),Restricciones!$F$6:$F$305,"Abierta")+COUNTIFS(Restricciones!$C$6:$C$305,IF(C312="CWP",B312,H312),Restricciones!$F$6:$F$305,"En gestión"))))</f>
        <v/>
      </c>
      <c r="S312" s="30">
        <f>IF(OR(B312="",M312=""),"",IF(O312&lt;&gt;"",MAX(0,O312-M312),IF(AND($B$3&gt;M312,K312&lt;&gt;"Cerrado"),$B$3-M312,0)))</f>
        <v/>
      </c>
      <c r="T312" s="31">
        <f>IF(B312="","",IF(K312="Cerrado",IF(S312&gt;0,"Cerrado con atraso","Cerrado"),IF(S312&gt;0,"Atrasado",IF(AND(N312="",L312&lt;&gt;"",$B$3&gt;L312),"Inicio atrasado","En plazo"))))</f>
        <v/>
      </c>
      <c r="U312" s="26" t="n"/>
    </row>
    <row r="313">
      <c r="A313" s="24" t="n"/>
      <c r="B313" s="25" t="n"/>
      <c r="C313" s="25" t="n"/>
      <c r="D313" s="25" t="n"/>
      <c r="E313" s="26" t="n"/>
      <c r="F313" s="25" t="n"/>
      <c r="G313" s="25" t="n"/>
      <c r="H313" s="25" t="n"/>
      <c r="I313" s="25" t="n"/>
      <c r="J313" s="25" t="n"/>
      <c r="K313" s="25" t="n"/>
      <c r="L313" s="27" t="n"/>
      <c r="M313" s="27" t="n"/>
      <c r="N313" s="27" t="n"/>
      <c r="O313" s="27" t="n"/>
      <c r="P313" s="28" t="n"/>
      <c r="Q313" s="29" t="n"/>
      <c r="R313" s="30">
        <f>IF(B313="","",IF(C313="IWP",COUNTIFS(Restricciones!$D$6:$D$305,B313,Restricciones!$F$6:$F$305,"Abierta")+COUNTIFS(Restricciones!$D$6:$D$305,B313,Restricciones!$F$6:$F$305,"En gestión"),IF(C313="CWA",COUNTIFS(Restricciones!$C$6:$C$305,"CWP-"&amp;MID(B313,5,4)&amp;"-*",Restricciones!$F$6:$F$305,"Abierta")+COUNTIFS(Restricciones!$C$6:$C$305,"CWP-"&amp;MID(B313,5,4)&amp;"-*",Restricciones!$F$6:$F$305,"En gestión"),COUNTIFS(Restricciones!$C$6:$C$305,IF(C313="CWP",B313,H313),Restricciones!$F$6:$F$305,"Abierta")+COUNTIFS(Restricciones!$C$6:$C$305,IF(C313="CWP",B313,H313),Restricciones!$F$6:$F$305,"En gestión"))))</f>
        <v/>
      </c>
      <c r="S313" s="30">
        <f>IF(OR(B313="",M313=""),"",IF(O313&lt;&gt;"",MAX(0,O313-M313),IF(AND($B$3&gt;M313,K313&lt;&gt;"Cerrado"),$B$3-M313,0)))</f>
        <v/>
      </c>
      <c r="T313" s="31">
        <f>IF(B313="","",IF(K313="Cerrado",IF(S313&gt;0,"Cerrado con atraso","Cerrado"),IF(S313&gt;0,"Atrasado",IF(AND(N313="",L313&lt;&gt;"",$B$3&gt;L313),"Inicio atrasado","En plazo"))))</f>
        <v/>
      </c>
      <c r="U313" s="26" t="n"/>
    </row>
    <row r="314">
      <c r="A314" s="24" t="n"/>
      <c r="B314" s="25" t="n"/>
      <c r="C314" s="25" t="n"/>
      <c r="D314" s="25" t="n"/>
      <c r="E314" s="26" t="n"/>
      <c r="F314" s="25" t="n"/>
      <c r="G314" s="25" t="n"/>
      <c r="H314" s="25" t="n"/>
      <c r="I314" s="25" t="n"/>
      <c r="J314" s="25" t="n"/>
      <c r="K314" s="25" t="n"/>
      <c r="L314" s="27" t="n"/>
      <c r="M314" s="27" t="n"/>
      <c r="N314" s="27" t="n"/>
      <c r="O314" s="27" t="n"/>
      <c r="P314" s="28" t="n"/>
      <c r="Q314" s="29" t="n"/>
      <c r="R314" s="30">
        <f>IF(B314="","",IF(C314="IWP",COUNTIFS(Restricciones!$D$6:$D$305,B314,Restricciones!$F$6:$F$305,"Abierta")+COUNTIFS(Restricciones!$D$6:$D$305,B314,Restricciones!$F$6:$F$305,"En gestión"),IF(C314="CWA",COUNTIFS(Restricciones!$C$6:$C$305,"CWP-"&amp;MID(B314,5,4)&amp;"-*",Restricciones!$F$6:$F$305,"Abierta")+COUNTIFS(Restricciones!$C$6:$C$305,"CWP-"&amp;MID(B314,5,4)&amp;"-*",Restricciones!$F$6:$F$305,"En gestión"),COUNTIFS(Restricciones!$C$6:$C$305,IF(C314="CWP",B314,H314),Restricciones!$F$6:$F$305,"Abierta")+COUNTIFS(Restricciones!$C$6:$C$305,IF(C314="CWP",B314,H314),Restricciones!$F$6:$F$305,"En gestión"))))</f>
        <v/>
      </c>
      <c r="S314" s="30">
        <f>IF(OR(B314="",M314=""),"",IF(O314&lt;&gt;"",MAX(0,O314-M314),IF(AND($B$3&gt;M314,K314&lt;&gt;"Cerrado"),$B$3-M314,0)))</f>
        <v/>
      </c>
      <c r="T314" s="31">
        <f>IF(B314="","",IF(K314="Cerrado",IF(S314&gt;0,"Cerrado con atraso","Cerrado"),IF(S314&gt;0,"Atrasado",IF(AND(N314="",L314&lt;&gt;"",$B$3&gt;L314),"Inicio atrasado","En plazo"))))</f>
        <v/>
      </c>
      <c r="U314" s="26" t="n"/>
    </row>
    <row r="315">
      <c r="A315" s="24" t="n"/>
      <c r="B315" s="25" t="n"/>
      <c r="C315" s="25" t="n"/>
      <c r="D315" s="25" t="n"/>
      <c r="E315" s="26" t="n"/>
      <c r="F315" s="25" t="n"/>
      <c r="G315" s="25" t="n"/>
      <c r="H315" s="25" t="n"/>
      <c r="I315" s="25" t="n"/>
      <c r="J315" s="25" t="n"/>
      <c r="K315" s="25" t="n"/>
      <c r="L315" s="27" t="n"/>
      <c r="M315" s="27" t="n"/>
      <c r="N315" s="27" t="n"/>
      <c r="O315" s="27" t="n"/>
      <c r="P315" s="28" t="n"/>
      <c r="Q315" s="29" t="n"/>
      <c r="R315" s="30">
        <f>IF(B315="","",IF(C315="IWP",COUNTIFS(Restricciones!$D$6:$D$305,B315,Restricciones!$F$6:$F$305,"Abierta")+COUNTIFS(Restricciones!$D$6:$D$305,B315,Restricciones!$F$6:$F$305,"En gestión"),IF(C315="CWA",COUNTIFS(Restricciones!$C$6:$C$305,"CWP-"&amp;MID(B315,5,4)&amp;"-*",Restricciones!$F$6:$F$305,"Abierta")+COUNTIFS(Restricciones!$C$6:$C$305,"CWP-"&amp;MID(B315,5,4)&amp;"-*",Restricciones!$F$6:$F$305,"En gestión"),COUNTIFS(Restricciones!$C$6:$C$305,IF(C315="CWP",B315,H315),Restricciones!$F$6:$F$305,"Abierta")+COUNTIFS(Restricciones!$C$6:$C$305,IF(C315="CWP",B315,H315),Restricciones!$F$6:$F$305,"En gestión"))))</f>
        <v/>
      </c>
      <c r="S315" s="30">
        <f>IF(OR(B315="",M315=""),"",IF(O315&lt;&gt;"",MAX(0,O315-M315),IF(AND($B$3&gt;M315,K315&lt;&gt;"Cerrado"),$B$3-M315,0)))</f>
        <v/>
      </c>
      <c r="T315" s="31">
        <f>IF(B315="","",IF(K315="Cerrado",IF(S315&gt;0,"Cerrado con atraso","Cerrado"),IF(S315&gt;0,"Atrasado",IF(AND(N315="",L315&lt;&gt;"",$B$3&gt;L315),"Inicio atrasado","En plazo"))))</f>
        <v/>
      </c>
      <c r="U315" s="26" t="n"/>
    </row>
    <row r="316">
      <c r="A316" s="24" t="n"/>
      <c r="B316" s="25" t="n"/>
      <c r="C316" s="25" t="n"/>
      <c r="D316" s="25" t="n"/>
      <c r="E316" s="26" t="n"/>
      <c r="F316" s="25" t="n"/>
      <c r="G316" s="25" t="n"/>
      <c r="H316" s="25" t="n"/>
      <c r="I316" s="25" t="n"/>
      <c r="J316" s="25" t="n"/>
      <c r="K316" s="25" t="n"/>
      <c r="L316" s="27" t="n"/>
      <c r="M316" s="27" t="n"/>
      <c r="N316" s="27" t="n"/>
      <c r="O316" s="27" t="n"/>
      <c r="P316" s="28" t="n"/>
      <c r="Q316" s="29" t="n"/>
      <c r="R316" s="30">
        <f>IF(B316="","",IF(C316="IWP",COUNTIFS(Restricciones!$D$6:$D$305,B316,Restricciones!$F$6:$F$305,"Abierta")+COUNTIFS(Restricciones!$D$6:$D$305,B316,Restricciones!$F$6:$F$305,"En gestión"),IF(C316="CWA",COUNTIFS(Restricciones!$C$6:$C$305,"CWP-"&amp;MID(B316,5,4)&amp;"-*",Restricciones!$F$6:$F$305,"Abierta")+COUNTIFS(Restricciones!$C$6:$C$305,"CWP-"&amp;MID(B316,5,4)&amp;"-*",Restricciones!$F$6:$F$305,"En gestión"),COUNTIFS(Restricciones!$C$6:$C$305,IF(C316="CWP",B316,H316),Restricciones!$F$6:$F$305,"Abierta")+COUNTIFS(Restricciones!$C$6:$C$305,IF(C316="CWP",B316,H316),Restricciones!$F$6:$F$305,"En gestión"))))</f>
        <v/>
      </c>
      <c r="S316" s="30">
        <f>IF(OR(B316="",M316=""),"",IF(O316&lt;&gt;"",MAX(0,O316-M316),IF(AND($B$3&gt;M316,K316&lt;&gt;"Cerrado"),$B$3-M316,0)))</f>
        <v/>
      </c>
      <c r="T316" s="31">
        <f>IF(B316="","",IF(K316="Cerrado",IF(S316&gt;0,"Cerrado con atraso","Cerrado"),IF(S316&gt;0,"Atrasado",IF(AND(N316="",L316&lt;&gt;"",$B$3&gt;L316),"Inicio atrasado","En plazo"))))</f>
        <v/>
      </c>
      <c r="U316" s="26" t="n"/>
    </row>
    <row r="317">
      <c r="A317" s="24" t="n"/>
      <c r="B317" s="25" t="n"/>
      <c r="C317" s="25" t="n"/>
      <c r="D317" s="25" t="n"/>
      <c r="E317" s="26" t="n"/>
      <c r="F317" s="25" t="n"/>
      <c r="G317" s="25" t="n"/>
      <c r="H317" s="25" t="n"/>
      <c r="I317" s="25" t="n"/>
      <c r="J317" s="25" t="n"/>
      <c r="K317" s="25" t="n"/>
      <c r="L317" s="27" t="n"/>
      <c r="M317" s="27" t="n"/>
      <c r="N317" s="27" t="n"/>
      <c r="O317" s="27" t="n"/>
      <c r="P317" s="28" t="n"/>
      <c r="Q317" s="29" t="n"/>
      <c r="R317" s="30">
        <f>IF(B317="","",IF(C317="IWP",COUNTIFS(Restricciones!$D$6:$D$305,B317,Restricciones!$F$6:$F$305,"Abierta")+COUNTIFS(Restricciones!$D$6:$D$305,B317,Restricciones!$F$6:$F$305,"En gestión"),IF(C317="CWA",COUNTIFS(Restricciones!$C$6:$C$305,"CWP-"&amp;MID(B317,5,4)&amp;"-*",Restricciones!$F$6:$F$305,"Abierta")+COUNTIFS(Restricciones!$C$6:$C$305,"CWP-"&amp;MID(B317,5,4)&amp;"-*",Restricciones!$F$6:$F$305,"En gestión"),COUNTIFS(Restricciones!$C$6:$C$305,IF(C317="CWP",B317,H317),Restricciones!$F$6:$F$305,"Abierta")+COUNTIFS(Restricciones!$C$6:$C$305,IF(C317="CWP",B317,H317),Restricciones!$F$6:$F$305,"En gestión"))))</f>
        <v/>
      </c>
      <c r="S317" s="30">
        <f>IF(OR(B317="",M317=""),"",IF(O317&lt;&gt;"",MAX(0,O317-M317),IF(AND($B$3&gt;M317,K317&lt;&gt;"Cerrado"),$B$3-M317,0)))</f>
        <v/>
      </c>
      <c r="T317" s="31">
        <f>IF(B317="","",IF(K317="Cerrado",IF(S317&gt;0,"Cerrado con atraso","Cerrado"),IF(S317&gt;0,"Atrasado",IF(AND(N317="",L317&lt;&gt;"",$B$3&gt;L317),"Inicio atrasado","En plazo"))))</f>
        <v/>
      </c>
      <c r="U317" s="26" t="n"/>
    </row>
    <row r="318">
      <c r="A318" s="24" t="n"/>
      <c r="B318" s="25" t="n"/>
      <c r="C318" s="25" t="n"/>
      <c r="D318" s="25" t="n"/>
      <c r="E318" s="26" t="n"/>
      <c r="F318" s="25" t="n"/>
      <c r="G318" s="25" t="n"/>
      <c r="H318" s="25" t="n"/>
      <c r="I318" s="25" t="n"/>
      <c r="J318" s="25" t="n"/>
      <c r="K318" s="25" t="n"/>
      <c r="L318" s="27" t="n"/>
      <c r="M318" s="27" t="n"/>
      <c r="N318" s="27" t="n"/>
      <c r="O318" s="27" t="n"/>
      <c r="P318" s="28" t="n"/>
      <c r="Q318" s="29" t="n"/>
      <c r="R318" s="30">
        <f>IF(B318="","",IF(C318="IWP",COUNTIFS(Restricciones!$D$6:$D$305,B318,Restricciones!$F$6:$F$305,"Abierta")+COUNTIFS(Restricciones!$D$6:$D$305,B318,Restricciones!$F$6:$F$305,"En gestión"),IF(C318="CWA",COUNTIFS(Restricciones!$C$6:$C$305,"CWP-"&amp;MID(B318,5,4)&amp;"-*",Restricciones!$F$6:$F$305,"Abierta")+COUNTIFS(Restricciones!$C$6:$C$305,"CWP-"&amp;MID(B318,5,4)&amp;"-*",Restricciones!$F$6:$F$305,"En gestión"),COUNTIFS(Restricciones!$C$6:$C$305,IF(C318="CWP",B318,H318),Restricciones!$F$6:$F$305,"Abierta")+COUNTIFS(Restricciones!$C$6:$C$305,IF(C318="CWP",B318,H318),Restricciones!$F$6:$F$305,"En gestión"))))</f>
        <v/>
      </c>
      <c r="S318" s="30">
        <f>IF(OR(B318="",M318=""),"",IF(O318&lt;&gt;"",MAX(0,O318-M318),IF(AND($B$3&gt;M318,K318&lt;&gt;"Cerrado"),$B$3-M318,0)))</f>
        <v/>
      </c>
      <c r="T318" s="31">
        <f>IF(B318="","",IF(K318="Cerrado",IF(S318&gt;0,"Cerrado con atraso","Cerrado"),IF(S318&gt;0,"Atrasado",IF(AND(N318="",L318&lt;&gt;"",$B$3&gt;L318),"Inicio atrasado","En plazo"))))</f>
        <v/>
      </c>
      <c r="U318" s="26" t="n"/>
    </row>
    <row r="319">
      <c r="A319" s="24" t="n"/>
      <c r="B319" s="25" t="n"/>
      <c r="C319" s="25" t="n"/>
      <c r="D319" s="25" t="n"/>
      <c r="E319" s="26" t="n"/>
      <c r="F319" s="25" t="n"/>
      <c r="G319" s="25" t="n"/>
      <c r="H319" s="25" t="n"/>
      <c r="I319" s="25" t="n"/>
      <c r="J319" s="25" t="n"/>
      <c r="K319" s="25" t="n"/>
      <c r="L319" s="27" t="n"/>
      <c r="M319" s="27" t="n"/>
      <c r="N319" s="27" t="n"/>
      <c r="O319" s="27" t="n"/>
      <c r="P319" s="28" t="n"/>
      <c r="Q319" s="29" t="n"/>
      <c r="R319" s="30">
        <f>IF(B319="","",IF(C319="IWP",COUNTIFS(Restricciones!$D$6:$D$305,B319,Restricciones!$F$6:$F$305,"Abierta")+COUNTIFS(Restricciones!$D$6:$D$305,B319,Restricciones!$F$6:$F$305,"En gestión"),IF(C319="CWA",COUNTIFS(Restricciones!$C$6:$C$305,"CWP-"&amp;MID(B319,5,4)&amp;"-*",Restricciones!$F$6:$F$305,"Abierta")+COUNTIFS(Restricciones!$C$6:$C$305,"CWP-"&amp;MID(B319,5,4)&amp;"-*",Restricciones!$F$6:$F$305,"En gestión"),COUNTIFS(Restricciones!$C$6:$C$305,IF(C319="CWP",B319,H319),Restricciones!$F$6:$F$305,"Abierta")+COUNTIFS(Restricciones!$C$6:$C$305,IF(C319="CWP",B319,H319),Restricciones!$F$6:$F$305,"En gestión"))))</f>
        <v/>
      </c>
      <c r="S319" s="30">
        <f>IF(OR(B319="",M319=""),"",IF(O319&lt;&gt;"",MAX(0,O319-M319),IF(AND($B$3&gt;M319,K319&lt;&gt;"Cerrado"),$B$3-M319,0)))</f>
        <v/>
      </c>
      <c r="T319" s="31">
        <f>IF(B319="","",IF(K319="Cerrado",IF(S319&gt;0,"Cerrado con atraso","Cerrado"),IF(S319&gt;0,"Atrasado",IF(AND(N319="",L319&lt;&gt;"",$B$3&gt;L319),"Inicio atrasado","En plazo"))))</f>
        <v/>
      </c>
      <c r="U319" s="26" t="n"/>
    </row>
    <row r="320">
      <c r="A320" s="24" t="n"/>
      <c r="B320" s="25" t="n"/>
      <c r="C320" s="25" t="n"/>
      <c r="D320" s="25" t="n"/>
      <c r="E320" s="26" t="n"/>
      <c r="F320" s="25" t="n"/>
      <c r="G320" s="25" t="n"/>
      <c r="H320" s="25" t="n"/>
      <c r="I320" s="25" t="n"/>
      <c r="J320" s="25" t="n"/>
      <c r="K320" s="25" t="n"/>
      <c r="L320" s="27" t="n"/>
      <c r="M320" s="27" t="n"/>
      <c r="N320" s="27" t="n"/>
      <c r="O320" s="27" t="n"/>
      <c r="P320" s="28" t="n"/>
      <c r="Q320" s="29" t="n"/>
      <c r="R320" s="30">
        <f>IF(B320="","",IF(C320="IWP",COUNTIFS(Restricciones!$D$6:$D$305,B320,Restricciones!$F$6:$F$305,"Abierta")+COUNTIFS(Restricciones!$D$6:$D$305,B320,Restricciones!$F$6:$F$305,"En gestión"),IF(C320="CWA",COUNTIFS(Restricciones!$C$6:$C$305,"CWP-"&amp;MID(B320,5,4)&amp;"-*",Restricciones!$F$6:$F$305,"Abierta")+COUNTIFS(Restricciones!$C$6:$C$305,"CWP-"&amp;MID(B320,5,4)&amp;"-*",Restricciones!$F$6:$F$305,"En gestión"),COUNTIFS(Restricciones!$C$6:$C$305,IF(C320="CWP",B320,H320),Restricciones!$F$6:$F$305,"Abierta")+COUNTIFS(Restricciones!$C$6:$C$305,IF(C320="CWP",B320,H320),Restricciones!$F$6:$F$305,"En gestión"))))</f>
        <v/>
      </c>
      <c r="S320" s="30">
        <f>IF(OR(B320="",M320=""),"",IF(O320&lt;&gt;"",MAX(0,O320-M320),IF(AND($B$3&gt;M320,K320&lt;&gt;"Cerrado"),$B$3-M320,0)))</f>
        <v/>
      </c>
      <c r="T320" s="31">
        <f>IF(B320="","",IF(K320="Cerrado",IF(S320&gt;0,"Cerrado con atraso","Cerrado"),IF(S320&gt;0,"Atrasado",IF(AND(N320="",L320&lt;&gt;"",$B$3&gt;L320),"Inicio atrasado","En plazo"))))</f>
        <v/>
      </c>
      <c r="U320" s="26" t="n"/>
    </row>
    <row r="321">
      <c r="A321" s="24" t="n"/>
      <c r="B321" s="25" t="n"/>
      <c r="C321" s="25" t="n"/>
      <c r="D321" s="25" t="n"/>
      <c r="E321" s="26" t="n"/>
      <c r="F321" s="25" t="n"/>
      <c r="G321" s="25" t="n"/>
      <c r="H321" s="25" t="n"/>
      <c r="I321" s="25" t="n"/>
      <c r="J321" s="25" t="n"/>
      <c r="K321" s="25" t="n"/>
      <c r="L321" s="27" t="n"/>
      <c r="M321" s="27" t="n"/>
      <c r="N321" s="27" t="n"/>
      <c r="O321" s="27" t="n"/>
      <c r="P321" s="28" t="n"/>
      <c r="Q321" s="29" t="n"/>
      <c r="R321" s="30">
        <f>IF(B321="","",IF(C321="IWP",COUNTIFS(Restricciones!$D$6:$D$305,B321,Restricciones!$F$6:$F$305,"Abierta")+COUNTIFS(Restricciones!$D$6:$D$305,B321,Restricciones!$F$6:$F$305,"En gestión"),IF(C321="CWA",COUNTIFS(Restricciones!$C$6:$C$305,"CWP-"&amp;MID(B321,5,4)&amp;"-*",Restricciones!$F$6:$F$305,"Abierta")+COUNTIFS(Restricciones!$C$6:$C$305,"CWP-"&amp;MID(B321,5,4)&amp;"-*",Restricciones!$F$6:$F$305,"En gestión"),COUNTIFS(Restricciones!$C$6:$C$305,IF(C321="CWP",B321,H321),Restricciones!$F$6:$F$305,"Abierta")+COUNTIFS(Restricciones!$C$6:$C$305,IF(C321="CWP",B321,H321),Restricciones!$F$6:$F$305,"En gestión"))))</f>
        <v/>
      </c>
      <c r="S321" s="30">
        <f>IF(OR(B321="",M321=""),"",IF(O321&lt;&gt;"",MAX(0,O321-M321),IF(AND($B$3&gt;M321,K321&lt;&gt;"Cerrado"),$B$3-M321,0)))</f>
        <v/>
      </c>
      <c r="T321" s="31">
        <f>IF(B321="","",IF(K321="Cerrado",IF(S321&gt;0,"Cerrado con atraso","Cerrado"),IF(S321&gt;0,"Atrasado",IF(AND(N321="",L321&lt;&gt;"",$B$3&gt;L321),"Inicio atrasado","En plazo"))))</f>
        <v/>
      </c>
      <c r="U321" s="26" t="n"/>
    </row>
    <row r="322">
      <c r="A322" s="24" t="n"/>
      <c r="B322" s="25" t="n"/>
      <c r="C322" s="25" t="n"/>
      <c r="D322" s="25" t="n"/>
      <c r="E322" s="26" t="n"/>
      <c r="F322" s="25" t="n"/>
      <c r="G322" s="25" t="n"/>
      <c r="H322" s="25" t="n"/>
      <c r="I322" s="25" t="n"/>
      <c r="J322" s="25" t="n"/>
      <c r="K322" s="25" t="n"/>
      <c r="L322" s="27" t="n"/>
      <c r="M322" s="27" t="n"/>
      <c r="N322" s="27" t="n"/>
      <c r="O322" s="27" t="n"/>
      <c r="P322" s="28" t="n"/>
      <c r="Q322" s="29" t="n"/>
      <c r="R322" s="30">
        <f>IF(B322="","",IF(C322="IWP",COUNTIFS(Restricciones!$D$6:$D$305,B322,Restricciones!$F$6:$F$305,"Abierta")+COUNTIFS(Restricciones!$D$6:$D$305,B322,Restricciones!$F$6:$F$305,"En gestión"),IF(C322="CWA",COUNTIFS(Restricciones!$C$6:$C$305,"CWP-"&amp;MID(B322,5,4)&amp;"-*",Restricciones!$F$6:$F$305,"Abierta")+COUNTIFS(Restricciones!$C$6:$C$305,"CWP-"&amp;MID(B322,5,4)&amp;"-*",Restricciones!$F$6:$F$305,"En gestión"),COUNTIFS(Restricciones!$C$6:$C$305,IF(C322="CWP",B322,H322),Restricciones!$F$6:$F$305,"Abierta")+COUNTIFS(Restricciones!$C$6:$C$305,IF(C322="CWP",B322,H322),Restricciones!$F$6:$F$305,"En gestión"))))</f>
        <v/>
      </c>
      <c r="S322" s="30">
        <f>IF(OR(B322="",M322=""),"",IF(O322&lt;&gt;"",MAX(0,O322-M322),IF(AND($B$3&gt;M322,K322&lt;&gt;"Cerrado"),$B$3-M322,0)))</f>
        <v/>
      </c>
      <c r="T322" s="31">
        <f>IF(B322="","",IF(K322="Cerrado",IF(S322&gt;0,"Cerrado con atraso","Cerrado"),IF(S322&gt;0,"Atrasado",IF(AND(N322="",L322&lt;&gt;"",$B$3&gt;L322),"Inicio atrasado","En plazo"))))</f>
        <v/>
      </c>
      <c r="U322" s="26" t="n"/>
    </row>
    <row r="323">
      <c r="A323" s="24" t="n"/>
      <c r="B323" s="25" t="n"/>
      <c r="C323" s="25" t="n"/>
      <c r="D323" s="25" t="n"/>
      <c r="E323" s="26" t="n"/>
      <c r="F323" s="25" t="n"/>
      <c r="G323" s="25" t="n"/>
      <c r="H323" s="25" t="n"/>
      <c r="I323" s="25" t="n"/>
      <c r="J323" s="25" t="n"/>
      <c r="K323" s="25" t="n"/>
      <c r="L323" s="27" t="n"/>
      <c r="M323" s="27" t="n"/>
      <c r="N323" s="27" t="n"/>
      <c r="O323" s="27" t="n"/>
      <c r="P323" s="28" t="n"/>
      <c r="Q323" s="29" t="n"/>
      <c r="R323" s="30">
        <f>IF(B323="","",IF(C323="IWP",COUNTIFS(Restricciones!$D$6:$D$305,B323,Restricciones!$F$6:$F$305,"Abierta")+COUNTIFS(Restricciones!$D$6:$D$305,B323,Restricciones!$F$6:$F$305,"En gestión"),IF(C323="CWA",COUNTIFS(Restricciones!$C$6:$C$305,"CWP-"&amp;MID(B323,5,4)&amp;"-*",Restricciones!$F$6:$F$305,"Abierta")+COUNTIFS(Restricciones!$C$6:$C$305,"CWP-"&amp;MID(B323,5,4)&amp;"-*",Restricciones!$F$6:$F$305,"En gestión"),COUNTIFS(Restricciones!$C$6:$C$305,IF(C323="CWP",B323,H323),Restricciones!$F$6:$F$305,"Abierta")+COUNTIFS(Restricciones!$C$6:$C$305,IF(C323="CWP",B323,H323),Restricciones!$F$6:$F$305,"En gestión"))))</f>
        <v/>
      </c>
      <c r="S323" s="30">
        <f>IF(OR(B323="",M323=""),"",IF(O323&lt;&gt;"",MAX(0,O323-M323),IF(AND($B$3&gt;M323,K323&lt;&gt;"Cerrado"),$B$3-M323,0)))</f>
        <v/>
      </c>
      <c r="T323" s="31">
        <f>IF(B323="","",IF(K323="Cerrado",IF(S323&gt;0,"Cerrado con atraso","Cerrado"),IF(S323&gt;0,"Atrasado",IF(AND(N323="",L323&lt;&gt;"",$B$3&gt;L323),"Inicio atrasado","En plazo"))))</f>
        <v/>
      </c>
      <c r="U323" s="26" t="n"/>
    </row>
    <row r="324">
      <c r="A324" s="24" t="n"/>
      <c r="B324" s="25" t="n"/>
      <c r="C324" s="25" t="n"/>
      <c r="D324" s="25" t="n"/>
      <c r="E324" s="26" t="n"/>
      <c r="F324" s="25" t="n"/>
      <c r="G324" s="25" t="n"/>
      <c r="H324" s="25" t="n"/>
      <c r="I324" s="25" t="n"/>
      <c r="J324" s="25" t="n"/>
      <c r="K324" s="25" t="n"/>
      <c r="L324" s="27" t="n"/>
      <c r="M324" s="27" t="n"/>
      <c r="N324" s="27" t="n"/>
      <c r="O324" s="27" t="n"/>
      <c r="P324" s="28" t="n"/>
      <c r="Q324" s="29" t="n"/>
      <c r="R324" s="30">
        <f>IF(B324="","",IF(C324="IWP",COUNTIFS(Restricciones!$D$6:$D$305,B324,Restricciones!$F$6:$F$305,"Abierta")+COUNTIFS(Restricciones!$D$6:$D$305,B324,Restricciones!$F$6:$F$305,"En gestión"),IF(C324="CWA",COUNTIFS(Restricciones!$C$6:$C$305,"CWP-"&amp;MID(B324,5,4)&amp;"-*",Restricciones!$F$6:$F$305,"Abierta")+COUNTIFS(Restricciones!$C$6:$C$305,"CWP-"&amp;MID(B324,5,4)&amp;"-*",Restricciones!$F$6:$F$305,"En gestión"),COUNTIFS(Restricciones!$C$6:$C$305,IF(C324="CWP",B324,H324),Restricciones!$F$6:$F$305,"Abierta")+COUNTIFS(Restricciones!$C$6:$C$305,IF(C324="CWP",B324,H324),Restricciones!$F$6:$F$305,"En gestión"))))</f>
        <v/>
      </c>
      <c r="S324" s="30">
        <f>IF(OR(B324="",M324=""),"",IF(O324&lt;&gt;"",MAX(0,O324-M324),IF(AND($B$3&gt;M324,K324&lt;&gt;"Cerrado"),$B$3-M324,0)))</f>
        <v/>
      </c>
      <c r="T324" s="31">
        <f>IF(B324="","",IF(K324="Cerrado",IF(S324&gt;0,"Cerrado con atraso","Cerrado"),IF(S324&gt;0,"Atrasado",IF(AND(N324="",L324&lt;&gt;"",$B$3&gt;L324),"Inicio atrasado","En plazo"))))</f>
        <v/>
      </c>
      <c r="U324" s="26" t="n"/>
    </row>
    <row r="325">
      <c r="A325" s="24" t="n"/>
      <c r="B325" s="25" t="n"/>
      <c r="C325" s="25" t="n"/>
      <c r="D325" s="25" t="n"/>
      <c r="E325" s="26" t="n"/>
      <c r="F325" s="25" t="n"/>
      <c r="G325" s="25" t="n"/>
      <c r="H325" s="25" t="n"/>
      <c r="I325" s="25" t="n"/>
      <c r="J325" s="25" t="n"/>
      <c r="K325" s="25" t="n"/>
      <c r="L325" s="27" t="n"/>
      <c r="M325" s="27" t="n"/>
      <c r="N325" s="27" t="n"/>
      <c r="O325" s="27" t="n"/>
      <c r="P325" s="28" t="n"/>
      <c r="Q325" s="29" t="n"/>
      <c r="R325" s="30">
        <f>IF(B325="","",IF(C325="IWP",COUNTIFS(Restricciones!$D$6:$D$305,B325,Restricciones!$F$6:$F$305,"Abierta")+COUNTIFS(Restricciones!$D$6:$D$305,B325,Restricciones!$F$6:$F$305,"En gestión"),IF(C325="CWA",COUNTIFS(Restricciones!$C$6:$C$305,"CWP-"&amp;MID(B325,5,4)&amp;"-*",Restricciones!$F$6:$F$305,"Abierta")+COUNTIFS(Restricciones!$C$6:$C$305,"CWP-"&amp;MID(B325,5,4)&amp;"-*",Restricciones!$F$6:$F$305,"En gestión"),COUNTIFS(Restricciones!$C$6:$C$305,IF(C325="CWP",B325,H325),Restricciones!$F$6:$F$305,"Abierta")+COUNTIFS(Restricciones!$C$6:$C$305,IF(C325="CWP",B325,H325),Restricciones!$F$6:$F$305,"En gestión"))))</f>
        <v/>
      </c>
      <c r="S325" s="30">
        <f>IF(OR(B325="",M325=""),"",IF(O325&lt;&gt;"",MAX(0,O325-M325),IF(AND($B$3&gt;M325,K325&lt;&gt;"Cerrado"),$B$3-M325,0)))</f>
        <v/>
      </c>
      <c r="T325" s="31">
        <f>IF(B325="","",IF(K325="Cerrado",IF(S325&gt;0,"Cerrado con atraso","Cerrado"),IF(S325&gt;0,"Atrasado",IF(AND(N325="",L325&lt;&gt;"",$B$3&gt;L325),"Inicio atrasado","En plazo"))))</f>
        <v/>
      </c>
      <c r="U325" s="26" t="n"/>
    </row>
    <row r="326">
      <c r="A326" s="24" t="n"/>
      <c r="B326" s="25" t="n"/>
      <c r="C326" s="25" t="n"/>
      <c r="D326" s="25" t="n"/>
      <c r="E326" s="26" t="n"/>
      <c r="F326" s="25" t="n"/>
      <c r="G326" s="25" t="n"/>
      <c r="H326" s="25" t="n"/>
      <c r="I326" s="25" t="n"/>
      <c r="J326" s="25" t="n"/>
      <c r="K326" s="25" t="n"/>
      <c r="L326" s="27" t="n"/>
      <c r="M326" s="27" t="n"/>
      <c r="N326" s="27" t="n"/>
      <c r="O326" s="27" t="n"/>
      <c r="P326" s="28" t="n"/>
      <c r="Q326" s="29" t="n"/>
      <c r="R326" s="30">
        <f>IF(B326="","",IF(C326="IWP",COUNTIFS(Restricciones!$D$6:$D$305,B326,Restricciones!$F$6:$F$305,"Abierta")+COUNTIFS(Restricciones!$D$6:$D$305,B326,Restricciones!$F$6:$F$305,"En gestión"),IF(C326="CWA",COUNTIFS(Restricciones!$C$6:$C$305,"CWP-"&amp;MID(B326,5,4)&amp;"-*",Restricciones!$F$6:$F$305,"Abierta")+COUNTIFS(Restricciones!$C$6:$C$305,"CWP-"&amp;MID(B326,5,4)&amp;"-*",Restricciones!$F$6:$F$305,"En gestión"),COUNTIFS(Restricciones!$C$6:$C$305,IF(C326="CWP",B326,H326),Restricciones!$F$6:$F$305,"Abierta")+COUNTIFS(Restricciones!$C$6:$C$305,IF(C326="CWP",B326,H326),Restricciones!$F$6:$F$305,"En gestión"))))</f>
        <v/>
      </c>
      <c r="S326" s="30">
        <f>IF(OR(B326="",M326=""),"",IF(O326&lt;&gt;"",MAX(0,O326-M326),IF(AND($B$3&gt;M326,K326&lt;&gt;"Cerrado"),$B$3-M326,0)))</f>
        <v/>
      </c>
      <c r="T326" s="31">
        <f>IF(B326="","",IF(K326="Cerrado",IF(S326&gt;0,"Cerrado con atraso","Cerrado"),IF(S326&gt;0,"Atrasado",IF(AND(N326="",L326&lt;&gt;"",$B$3&gt;L326),"Inicio atrasado","En plazo"))))</f>
        <v/>
      </c>
      <c r="U326" s="26" t="n"/>
    </row>
    <row r="327">
      <c r="A327" s="24" t="n"/>
      <c r="B327" s="25" t="n"/>
      <c r="C327" s="25" t="n"/>
      <c r="D327" s="25" t="n"/>
      <c r="E327" s="26" t="n"/>
      <c r="F327" s="25" t="n"/>
      <c r="G327" s="25" t="n"/>
      <c r="H327" s="25" t="n"/>
      <c r="I327" s="25" t="n"/>
      <c r="J327" s="25" t="n"/>
      <c r="K327" s="25" t="n"/>
      <c r="L327" s="27" t="n"/>
      <c r="M327" s="27" t="n"/>
      <c r="N327" s="27" t="n"/>
      <c r="O327" s="27" t="n"/>
      <c r="P327" s="28" t="n"/>
      <c r="Q327" s="29" t="n"/>
      <c r="R327" s="30">
        <f>IF(B327="","",IF(C327="IWP",COUNTIFS(Restricciones!$D$6:$D$305,B327,Restricciones!$F$6:$F$305,"Abierta")+COUNTIFS(Restricciones!$D$6:$D$305,B327,Restricciones!$F$6:$F$305,"En gestión"),IF(C327="CWA",COUNTIFS(Restricciones!$C$6:$C$305,"CWP-"&amp;MID(B327,5,4)&amp;"-*",Restricciones!$F$6:$F$305,"Abierta")+COUNTIFS(Restricciones!$C$6:$C$305,"CWP-"&amp;MID(B327,5,4)&amp;"-*",Restricciones!$F$6:$F$305,"En gestión"),COUNTIFS(Restricciones!$C$6:$C$305,IF(C327="CWP",B327,H327),Restricciones!$F$6:$F$305,"Abierta")+COUNTIFS(Restricciones!$C$6:$C$305,IF(C327="CWP",B327,H327),Restricciones!$F$6:$F$305,"En gestión"))))</f>
        <v/>
      </c>
      <c r="S327" s="30">
        <f>IF(OR(B327="",M327=""),"",IF(O327&lt;&gt;"",MAX(0,O327-M327),IF(AND($B$3&gt;M327,K327&lt;&gt;"Cerrado"),$B$3-M327,0)))</f>
        <v/>
      </c>
      <c r="T327" s="31">
        <f>IF(B327="","",IF(K327="Cerrado",IF(S327&gt;0,"Cerrado con atraso","Cerrado"),IF(S327&gt;0,"Atrasado",IF(AND(N327="",L327&lt;&gt;"",$B$3&gt;L327),"Inicio atrasado","En plazo"))))</f>
        <v/>
      </c>
      <c r="U327" s="26" t="n"/>
    </row>
    <row r="328">
      <c r="A328" s="24" t="n"/>
      <c r="B328" s="25" t="n"/>
      <c r="C328" s="25" t="n"/>
      <c r="D328" s="25" t="n"/>
      <c r="E328" s="26" t="n"/>
      <c r="F328" s="25" t="n"/>
      <c r="G328" s="25" t="n"/>
      <c r="H328" s="25" t="n"/>
      <c r="I328" s="25" t="n"/>
      <c r="J328" s="25" t="n"/>
      <c r="K328" s="25" t="n"/>
      <c r="L328" s="27" t="n"/>
      <c r="M328" s="27" t="n"/>
      <c r="N328" s="27" t="n"/>
      <c r="O328" s="27" t="n"/>
      <c r="P328" s="28" t="n"/>
      <c r="Q328" s="29" t="n"/>
      <c r="R328" s="30">
        <f>IF(B328="","",IF(C328="IWP",COUNTIFS(Restricciones!$D$6:$D$305,B328,Restricciones!$F$6:$F$305,"Abierta")+COUNTIFS(Restricciones!$D$6:$D$305,B328,Restricciones!$F$6:$F$305,"En gestión"),IF(C328="CWA",COUNTIFS(Restricciones!$C$6:$C$305,"CWP-"&amp;MID(B328,5,4)&amp;"-*",Restricciones!$F$6:$F$305,"Abierta")+COUNTIFS(Restricciones!$C$6:$C$305,"CWP-"&amp;MID(B328,5,4)&amp;"-*",Restricciones!$F$6:$F$305,"En gestión"),COUNTIFS(Restricciones!$C$6:$C$305,IF(C328="CWP",B328,H328),Restricciones!$F$6:$F$305,"Abierta")+COUNTIFS(Restricciones!$C$6:$C$305,IF(C328="CWP",B328,H328),Restricciones!$F$6:$F$305,"En gestión"))))</f>
        <v/>
      </c>
      <c r="S328" s="30">
        <f>IF(OR(B328="",M328=""),"",IF(O328&lt;&gt;"",MAX(0,O328-M328),IF(AND($B$3&gt;M328,K328&lt;&gt;"Cerrado"),$B$3-M328,0)))</f>
        <v/>
      </c>
      <c r="T328" s="31">
        <f>IF(B328="","",IF(K328="Cerrado",IF(S328&gt;0,"Cerrado con atraso","Cerrado"),IF(S328&gt;0,"Atrasado",IF(AND(N328="",L328&lt;&gt;"",$B$3&gt;L328),"Inicio atrasado","En plazo"))))</f>
        <v/>
      </c>
      <c r="U328" s="26" t="n"/>
    </row>
    <row r="329">
      <c r="A329" s="24" t="n"/>
      <c r="B329" s="25" t="n"/>
      <c r="C329" s="25" t="n"/>
      <c r="D329" s="25" t="n"/>
      <c r="E329" s="26" t="n"/>
      <c r="F329" s="25" t="n"/>
      <c r="G329" s="25" t="n"/>
      <c r="H329" s="25" t="n"/>
      <c r="I329" s="25" t="n"/>
      <c r="J329" s="25" t="n"/>
      <c r="K329" s="25" t="n"/>
      <c r="L329" s="27" t="n"/>
      <c r="M329" s="27" t="n"/>
      <c r="N329" s="27" t="n"/>
      <c r="O329" s="27" t="n"/>
      <c r="P329" s="28" t="n"/>
      <c r="Q329" s="29" t="n"/>
      <c r="R329" s="30">
        <f>IF(B329="","",IF(C329="IWP",COUNTIFS(Restricciones!$D$6:$D$305,B329,Restricciones!$F$6:$F$305,"Abierta")+COUNTIFS(Restricciones!$D$6:$D$305,B329,Restricciones!$F$6:$F$305,"En gestión"),IF(C329="CWA",COUNTIFS(Restricciones!$C$6:$C$305,"CWP-"&amp;MID(B329,5,4)&amp;"-*",Restricciones!$F$6:$F$305,"Abierta")+COUNTIFS(Restricciones!$C$6:$C$305,"CWP-"&amp;MID(B329,5,4)&amp;"-*",Restricciones!$F$6:$F$305,"En gestión"),COUNTIFS(Restricciones!$C$6:$C$305,IF(C329="CWP",B329,H329),Restricciones!$F$6:$F$305,"Abierta")+COUNTIFS(Restricciones!$C$6:$C$305,IF(C329="CWP",B329,H329),Restricciones!$F$6:$F$305,"En gestión"))))</f>
        <v/>
      </c>
      <c r="S329" s="30">
        <f>IF(OR(B329="",M329=""),"",IF(O329&lt;&gt;"",MAX(0,O329-M329),IF(AND($B$3&gt;M329,K329&lt;&gt;"Cerrado"),$B$3-M329,0)))</f>
        <v/>
      </c>
      <c r="T329" s="31">
        <f>IF(B329="","",IF(K329="Cerrado",IF(S329&gt;0,"Cerrado con atraso","Cerrado"),IF(S329&gt;0,"Atrasado",IF(AND(N329="",L329&lt;&gt;"",$B$3&gt;L329),"Inicio atrasado","En plazo"))))</f>
        <v/>
      </c>
      <c r="U329" s="26" t="n"/>
    </row>
    <row r="330">
      <c r="A330" s="24" t="n"/>
      <c r="B330" s="25" t="n"/>
      <c r="C330" s="25" t="n"/>
      <c r="D330" s="25" t="n"/>
      <c r="E330" s="26" t="n"/>
      <c r="F330" s="25" t="n"/>
      <c r="G330" s="25" t="n"/>
      <c r="H330" s="25" t="n"/>
      <c r="I330" s="25" t="n"/>
      <c r="J330" s="25" t="n"/>
      <c r="K330" s="25" t="n"/>
      <c r="L330" s="27" t="n"/>
      <c r="M330" s="27" t="n"/>
      <c r="N330" s="27" t="n"/>
      <c r="O330" s="27" t="n"/>
      <c r="P330" s="28" t="n"/>
      <c r="Q330" s="29" t="n"/>
      <c r="R330" s="30">
        <f>IF(B330="","",IF(C330="IWP",COUNTIFS(Restricciones!$D$6:$D$305,B330,Restricciones!$F$6:$F$305,"Abierta")+COUNTIFS(Restricciones!$D$6:$D$305,B330,Restricciones!$F$6:$F$305,"En gestión"),IF(C330="CWA",COUNTIFS(Restricciones!$C$6:$C$305,"CWP-"&amp;MID(B330,5,4)&amp;"-*",Restricciones!$F$6:$F$305,"Abierta")+COUNTIFS(Restricciones!$C$6:$C$305,"CWP-"&amp;MID(B330,5,4)&amp;"-*",Restricciones!$F$6:$F$305,"En gestión"),COUNTIFS(Restricciones!$C$6:$C$305,IF(C330="CWP",B330,H330),Restricciones!$F$6:$F$305,"Abierta")+COUNTIFS(Restricciones!$C$6:$C$305,IF(C330="CWP",B330,H330),Restricciones!$F$6:$F$305,"En gestión"))))</f>
        <v/>
      </c>
      <c r="S330" s="30">
        <f>IF(OR(B330="",M330=""),"",IF(O330&lt;&gt;"",MAX(0,O330-M330),IF(AND($B$3&gt;M330,K330&lt;&gt;"Cerrado"),$B$3-M330,0)))</f>
        <v/>
      </c>
      <c r="T330" s="31">
        <f>IF(B330="","",IF(K330="Cerrado",IF(S330&gt;0,"Cerrado con atraso","Cerrado"),IF(S330&gt;0,"Atrasado",IF(AND(N330="",L330&lt;&gt;"",$B$3&gt;L330),"Inicio atrasado","En plazo"))))</f>
        <v/>
      </c>
      <c r="U330" s="26" t="n"/>
    </row>
    <row r="331">
      <c r="A331" s="24" t="n"/>
      <c r="B331" s="25" t="n"/>
      <c r="C331" s="25" t="n"/>
      <c r="D331" s="25" t="n"/>
      <c r="E331" s="26" t="n"/>
      <c r="F331" s="25" t="n"/>
      <c r="G331" s="25" t="n"/>
      <c r="H331" s="25" t="n"/>
      <c r="I331" s="25" t="n"/>
      <c r="J331" s="25" t="n"/>
      <c r="K331" s="25" t="n"/>
      <c r="L331" s="27" t="n"/>
      <c r="M331" s="27" t="n"/>
      <c r="N331" s="27" t="n"/>
      <c r="O331" s="27" t="n"/>
      <c r="P331" s="28" t="n"/>
      <c r="Q331" s="29" t="n"/>
      <c r="R331" s="30">
        <f>IF(B331="","",IF(C331="IWP",COUNTIFS(Restricciones!$D$6:$D$305,B331,Restricciones!$F$6:$F$305,"Abierta")+COUNTIFS(Restricciones!$D$6:$D$305,B331,Restricciones!$F$6:$F$305,"En gestión"),IF(C331="CWA",COUNTIFS(Restricciones!$C$6:$C$305,"CWP-"&amp;MID(B331,5,4)&amp;"-*",Restricciones!$F$6:$F$305,"Abierta")+COUNTIFS(Restricciones!$C$6:$C$305,"CWP-"&amp;MID(B331,5,4)&amp;"-*",Restricciones!$F$6:$F$305,"En gestión"),COUNTIFS(Restricciones!$C$6:$C$305,IF(C331="CWP",B331,H331),Restricciones!$F$6:$F$305,"Abierta")+COUNTIFS(Restricciones!$C$6:$C$305,IF(C331="CWP",B331,H331),Restricciones!$F$6:$F$305,"En gestión"))))</f>
        <v/>
      </c>
      <c r="S331" s="30">
        <f>IF(OR(B331="",M331=""),"",IF(O331&lt;&gt;"",MAX(0,O331-M331),IF(AND($B$3&gt;M331,K331&lt;&gt;"Cerrado"),$B$3-M331,0)))</f>
        <v/>
      </c>
      <c r="T331" s="31">
        <f>IF(B331="","",IF(K331="Cerrado",IF(S331&gt;0,"Cerrado con atraso","Cerrado"),IF(S331&gt;0,"Atrasado",IF(AND(N331="",L331&lt;&gt;"",$B$3&gt;L331),"Inicio atrasado","En plazo"))))</f>
        <v/>
      </c>
      <c r="U331" s="26" t="n"/>
    </row>
    <row r="332">
      <c r="A332" s="24" t="n"/>
      <c r="B332" s="25" t="n"/>
      <c r="C332" s="25" t="n"/>
      <c r="D332" s="25" t="n"/>
      <c r="E332" s="26" t="n"/>
      <c r="F332" s="25" t="n"/>
      <c r="G332" s="25" t="n"/>
      <c r="H332" s="25" t="n"/>
      <c r="I332" s="25" t="n"/>
      <c r="J332" s="25" t="n"/>
      <c r="K332" s="25" t="n"/>
      <c r="L332" s="27" t="n"/>
      <c r="M332" s="27" t="n"/>
      <c r="N332" s="27" t="n"/>
      <c r="O332" s="27" t="n"/>
      <c r="P332" s="28" t="n"/>
      <c r="Q332" s="29" t="n"/>
      <c r="R332" s="30">
        <f>IF(B332="","",IF(C332="IWP",COUNTIFS(Restricciones!$D$6:$D$305,B332,Restricciones!$F$6:$F$305,"Abierta")+COUNTIFS(Restricciones!$D$6:$D$305,B332,Restricciones!$F$6:$F$305,"En gestión"),IF(C332="CWA",COUNTIFS(Restricciones!$C$6:$C$305,"CWP-"&amp;MID(B332,5,4)&amp;"-*",Restricciones!$F$6:$F$305,"Abierta")+COUNTIFS(Restricciones!$C$6:$C$305,"CWP-"&amp;MID(B332,5,4)&amp;"-*",Restricciones!$F$6:$F$305,"En gestión"),COUNTIFS(Restricciones!$C$6:$C$305,IF(C332="CWP",B332,H332),Restricciones!$F$6:$F$305,"Abierta")+COUNTIFS(Restricciones!$C$6:$C$305,IF(C332="CWP",B332,H332),Restricciones!$F$6:$F$305,"En gestión"))))</f>
        <v/>
      </c>
      <c r="S332" s="30">
        <f>IF(OR(B332="",M332=""),"",IF(O332&lt;&gt;"",MAX(0,O332-M332),IF(AND($B$3&gt;M332,K332&lt;&gt;"Cerrado"),$B$3-M332,0)))</f>
        <v/>
      </c>
      <c r="T332" s="31">
        <f>IF(B332="","",IF(K332="Cerrado",IF(S332&gt;0,"Cerrado con atraso","Cerrado"),IF(S332&gt;0,"Atrasado",IF(AND(N332="",L332&lt;&gt;"",$B$3&gt;L332),"Inicio atrasado","En plazo"))))</f>
        <v/>
      </c>
      <c r="U332" s="26" t="n"/>
    </row>
    <row r="333">
      <c r="A333" s="24" t="n"/>
      <c r="B333" s="25" t="n"/>
      <c r="C333" s="25" t="n"/>
      <c r="D333" s="25" t="n"/>
      <c r="E333" s="26" t="n"/>
      <c r="F333" s="25" t="n"/>
      <c r="G333" s="25" t="n"/>
      <c r="H333" s="25" t="n"/>
      <c r="I333" s="25" t="n"/>
      <c r="J333" s="25" t="n"/>
      <c r="K333" s="25" t="n"/>
      <c r="L333" s="27" t="n"/>
      <c r="M333" s="27" t="n"/>
      <c r="N333" s="27" t="n"/>
      <c r="O333" s="27" t="n"/>
      <c r="P333" s="28" t="n"/>
      <c r="Q333" s="29" t="n"/>
      <c r="R333" s="30">
        <f>IF(B333="","",IF(C333="IWP",COUNTIFS(Restricciones!$D$6:$D$305,B333,Restricciones!$F$6:$F$305,"Abierta")+COUNTIFS(Restricciones!$D$6:$D$305,B333,Restricciones!$F$6:$F$305,"En gestión"),IF(C333="CWA",COUNTIFS(Restricciones!$C$6:$C$305,"CWP-"&amp;MID(B333,5,4)&amp;"-*",Restricciones!$F$6:$F$305,"Abierta")+COUNTIFS(Restricciones!$C$6:$C$305,"CWP-"&amp;MID(B333,5,4)&amp;"-*",Restricciones!$F$6:$F$305,"En gestión"),COUNTIFS(Restricciones!$C$6:$C$305,IF(C333="CWP",B333,H333),Restricciones!$F$6:$F$305,"Abierta")+COUNTIFS(Restricciones!$C$6:$C$305,IF(C333="CWP",B333,H333),Restricciones!$F$6:$F$305,"En gestión"))))</f>
        <v/>
      </c>
      <c r="S333" s="30">
        <f>IF(OR(B333="",M333=""),"",IF(O333&lt;&gt;"",MAX(0,O333-M333),IF(AND($B$3&gt;M333,K333&lt;&gt;"Cerrado"),$B$3-M333,0)))</f>
        <v/>
      </c>
      <c r="T333" s="31">
        <f>IF(B333="","",IF(K333="Cerrado",IF(S333&gt;0,"Cerrado con atraso","Cerrado"),IF(S333&gt;0,"Atrasado",IF(AND(N333="",L333&lt;&gt;"",$B$3&gt;L333),"Inicio atrasado","En plazo"))))</f>
        <v/>
      </c>
      <c r="U333" s="26" t="n"/>
    </row>
    <row r="334">
      <c r="A334" s="24" t="n"/>
      <c r="B334" s="25" t="n"/>
      <c r="C334" s="25" t="n"/>
      <c r="D334" s="25" t="n"/>
      <c r="E334" s="26" t="n"/>
      <c r="F334" s="25" t="n"/>
      <c r="G334" s="25" t="n"/>
      <c r="H334" s="25" t="n"/>
      <c r="I334" s="25" t="n"/>
      <c r="J334" s="25" t="n"/>
      <c r="K334" s="25" t="n"/>
      <c r="L334" s="27" t="n"/>
      <c r="M334" s="27" t="n"/>
      <c r="N334" s="27" t="n"/>
      <c r="O334" s="27" t="n"/>
      <c r="P334" s="28" t="n"/>
      <c r="Q334" s="29" t="n"/>
      <c r="R334" s="30">
        <f>IF(B334="","",IF(C334="IWP",COUNTIFS(Restricciones!$D$6:$D$305,B334,Restricciones!$F$6:$F$305,"Abierta")+COUNTIFS(Restricciones!$D$6:$D$305,B334,Restricciones!$F$6:$F$305,"En gestión"),IF(C334="CWA",COUNTIFS(Restricciones!$C$6:$C$305,"CWP-"&amp;MID(B334,5,4)&amp;"-*",Restricciones!$F$6:$F$305,"Abierta")+COUNTIFS(Restricciones!$C$6:$C$305,"CWP-"&amp;MID(B334,5,4)&amp;"-*",Restricciones!$F$6:$F$305,"En gestión"),COUNTIFS(Restricciones!$C$6:$C$305,IF(C334="CWP",B334,H334),Restricciones!$F$6:$F$305,"Abierta")+COUNTIFS(Restricciones!$C$6:$C$305,IF(C334="CWP",B334,H334),Restricciones!$F$6:$F$305,"En gestión"))))</f>
        <v/>
      </c>
      <c r="S334" s="30">
        <f>IF(OR(B334="",M334=""),"",IF(O334&lt;&gt;"",MAX(0,O334-M334),IF(AND($B$3&gt;M334,K334&lt;&gt;"Cerrado"),$B$3-M334,0)))</f>
        <v/>
      </c>
      <c r="T334" s="31">
        <f>IF(B334="","",IF(K334="Cerrado",IF(S334&gt;0,"Cerrado con atraso","Cerrado"),IF(S334&gt;0,"Atrasado",IF(AND(N334="",L334&lt;&gt;"",$B$3&gt;L334),"Inicio atrasado","En plazo"))))</f>
        <v/>
      </c>
      <c r="U334" s="26" t="n"/>
    </row>
    <row r="335">
      <c r="A335" s="24" t="n"/>
      <c r="B335" s="25" t="n"/>
      <c r="C335" s="25" t="n"/>
      <c r="D335" s="25" t="n"/>
      <c r="E335" s="26" t="n"/>
      <c r="F335" s="25" t="n"/>
      <c r="G335" s="25" t="n"/>
      <c r="H335" s="25" t="n"/>
      <c r="I335" s="25" t="n"/>
      <c r="J335" s="25" t="n"/>
      <c r="K335" s="25" t="n"/>
      <c r="L335" s="27" t="n"/>
      <c r="M335" s="27" t="n"/>
      <c r="N335" s="27" t="n"/>
      <c r="O335" s="27" t="n"/>
      <c r="P335" s="28" t="n"/>
      <c r="Q335" s="29" t="n"/>
      <c r="R335" s="30">
        <f>IF(B335="","",IF(C335="IWP",COUNTIFS(Restricciones!$D$6:$D$305,B335,Restricciones!$F$6:$F$305,"Abierta")+COUNTIFS(Restricciones!$D$6:$D$305,B335,Restricciones!$F$6:$F$305,"En gestión"),IF(C335="CWA",COUNTIFS(Restricciones!$C$6:$C$305,"CWP-"&amp;MID(B335,5,4)&amp;"-*",Restricciones!$F$6:$F$305,"Abierta")+COUNTIFS(Restricciones!$C$6:$C$305,"CWP-"&amp;MID(B335,5,4)&amp;"-*",Restricciones!$F$6:$F$305,"En gestión"),COUNTIFS(Restricciones!$C$6:$C$305,IF(C335="CWP",B335,H335),Restricciones!$F$6:$F$305,"Abierta")+COUNTIFS(Restricciones!$C$6:$C$305,IF(C335="CWP",B335,H335),Restricciones!$F$6:$F$305,"En gestión"))))</f>
        <v/>
      </c>
      <c r="S335" s="30">
        <f>IF(OR(B335="",M335=""),"",IF(O335&lt;&gt;"",MAX(0,O335-M335),IF(AND($B$3&gt;M335,K335&lt;&gt;"Cerrado"),$B$3-M335,0)))</f>
        <v/>
      </c>
      <c r="T335" s="31">
        <f>IF(B335="","",IF(K335="Cerrado",IF(S335&gt;0,"Cerrado con atraso","Cerrado"),IF(S335&gt;0,"Atrasado",IF(AND(N335="",L335&lt;&gt;"",$B$3&gt;L335),"Inicio atrasado","En plazo"))))</f>
        <v/>
      </c>
      <c r="U335" s="26" t="n"/>
    </row>
    <row r="336">
      <c r="A336" s="24" t="n"/>
      <c r="B336" s="25" t="n"/>
      <c r="C336" s="25" t="n"/>
      <c r="D336" s="25" t="n"/>
      <c r="E336" s="26" t="n"/>
      <c r="F336" s="25" t="n"/>
      <c r="G336" s="25" t="n"/>
      <c r="H336" s="25" t="n"/>
      <c r="I336" s="25" t="n"/>
      <c r="J336" s="25" t="n"/>
      <c r="K336" s="25" t="n"/>
      <c r="L336" s="27" t="n"/>
      <c r="M336" s="27" t="n"/>
      <c r="N336" s="27" t="n"/>
      <c r="O336" s="27" t="n"/>
      <c r="P336" s="28" t="n"/>
      <c r="Q336" s="29" t="n"/>
      <c r="R336" s="30">
        <f>IF(B336="","",IF(C336="IWP",COUNTIFS(Restricciones!$D$6:$D$305,B336,Restricciones!$F$6:$F$305,"Abierta")+COUNTIFS(Restricciones!$D$6:$D$305,B336,Restricciones!$F$6:$F$305,"En gestión"),IF(C336="CWA",COUNTIFS(Restricciones!$C$6:$C$305,"CWP-"&amp;MID(B336,5,4)&amp;"-*",Restricciones!$F$6:$F$305,"Abierta")+COUNTIFS(Restricciones!$C$6:$C$305,"CWP-"&amp;MID(B336,5,4)&amp;"-*",Restricciones!$F$6:$F$305,"En gestión"),COUNTIFS(Restricciones!$C$6:$C$305,IF(C336="CWP",B336,H336),Restricciones!$F$6:$F$305,"Abierta")+COUNTIFS(Restricciones!$C$6:$C$305,IF(C336="CWP",B336,H336),Restricciones!$F$6:$F$305,"En gestión"))))</f>
        <v/>
      </c>
      <c r="S336" s="30">
        <f>IF(OR(B336="",M336=""),"",IF(O336&lt;&gt;"",MAX(0,O336-M336),IF(AND($B$3&gt;M336,K336&lt;&gt;"Cerrado"),$B$3-M336,0)))</f>
        <v/>
      </c>
      <c r="T336" s="31">
        <f>IF(B336="","",IF(K336="Cerrado",IF(S336&gt;0,"Cerrado con atraso","Cerrado"),IF(S336&gt;0,"Atrasado",IF(AND(N336="",L336&lt;&gt;"",$B$3&gt;L336),"Inicio atrasado","En plazo"))))</f>
        <v/>
      </c>
      <c r="U336" s="26" t="n"/>
    </row>
    <row r="337">
      <c r="A337" s="24" t="n"/>
      <c r="B337" s="25" t="n"/>
      <c r="C337" s="25" t="n"/>
      <c r="D337" s="25" t="n"/>
      <c r="E337" s="26" t="n"/>
      <c r="F337" s="25" t="n"/>
      <c r="G337" s="25" t="n"/>
      <c r="H337" s="25" t="n"/>
      <c r="I337" s="25" t="n"/>
      <c r="J337" s="25" t="n"/>
      <c r="K337" s="25" t="n"/>
      <c r="L337" s="27" t="n"/>
      <c r="M337" s="27" t="n"/>
      <c r="N337" s="27" t="n"/>
      <c r="O337" s="27" t="n"/>
      <c r="P337" s="28" t="n"/>
      <c r="Q337" s="29" t="n"/>
      <c r="R337" s="30">
        <f>IF(B337="","",IF(C337="IWP",COUNTIFS(Restricciones!$D$6:$D$305,B337,Restricciones!$F$6:$F$305,"Abierta")+COUNTIFS(Restricciones!$D$6:$D$305,B337,Restricciones!$F$6:$F$305,"En gestión"),IF(C337="CWA",COUNTIFS(Restricciones!$C$6:$C$305,"CWP-"&amp;MID(B337,5,4)&amp;"-*",Restricciones!$F$6:$F$305,"Abierta")+COUNTIFS(Restricciones!$C$6:$C$305,"CWP-"&amp;MID(B337,5,4)&amp;"-*",Restricciones!$F$6:$F$305,"En gestión"),COUNTIFS(Restricciones!$C$6:$C$305,IF(C337="CWP",B337,H337),Restricciones!$F$6:$F$305,"Abierta")+COUNTIFS(Restricciones!$C$6:$C$305,IF(C337="CWP",B337,H337),Restricciones!$F$6:$F$305,"En gestión"))))</f>
        <v/>
      </c>
      <c r="S337" s="30">
        <f>IF(OR(B337="",M337=""),"",IF(O337&lt;&gt;"",MAX(0,O337-M337),IF(AND($B$3&gt;M337,K337&lt;&gt;"Cerrado"),$B$3-M337,0)))</f>
        <v/>
      </c>
      <c r="T337" s="31">
        <f>IF(B337="","",IF(K337="Cerrado",IF(S337&gt;0,"Cerrado con atraso","Cerrado"),IF(S337&gt;0,"Atrasado",IF(AND(N337="",L337&lt;&gt;"",$B$3&gt;L337),"Inicio atrasado","En plazo"))))</f>
        <v/>
      </c>
      <c r="U337" s="26" t="n"/>
    </row>
    <row r="338">
      <c r="A338" s="24" t="n"/>
      <c r="B338" s="25" t="n"/>
      <c r="C338" s="25" t="n"/>
      <c r="D338" s="25" t="n"/>
      <c r="E338" s="26" t="n"/>
      <c r="F338" s="25" t="n"/>
      <c r="G338" s="25" t="n"/>
      <c r="H338" s="25" t="n"/>
      <c r="I338" s="25" t="n"/>
      <c r="J338" s="25" t="n"/>
      <c r="K338" s="25" t="n"/>
      <c r="L338" s="27" t="n"/>
      <c r="M338" s="27" t="n"/>
      <c r="N338" s="27" t="n"/>
      <c r="O338" s="27" t="n"/>
      <c r="P338" s="28" t="n"/>
      <c r="Q338" s="29" t="n"/>
      <c r="R338" s="30">
        <f>IF(B338="","",IF(C338="IWP",COUNTIFS(Restricciones!$D$6:$D$305,B338,Restricciones!$F$6:$F$305,"Abierta")+COUNTIFS(Restricciones!$D$6:$D$305,B338,Restricciones!$F$6:$F$305,"En gestión"),IF(C338="CWA",COUNTIFS(Restricciones!$C$6:$C$305,"CWP-"&amp;MID(B338,5,4)&amp;"-*",Restricciones!$F$6:$F$305,"Abierta")+COUNTIFS(Restricciones!$C$6:$C$305,"CWP-"&amp;MID(B338,5,4)&amp;"-*",Restricciones!$F$6:$F$305,"En gestión"),COUNTIFS(Restricciones!$C$6:$C$305,IF(C338="CWP",B338,H338),Restricciones!$F$6:$F$305,"Abierta")+COUNTIFS(Restricciones!$C$6:$C$305,IF(C338="CWP",B338,H338),Restricciones!$F$6:$F$305,"En gestión"))))</f>
        <v/>
      </c>
      <c r="S338" s="30">
        <f>IF(OR(B338="",M338=""),"",IF(O338&lt;&gt;"",MAX(0,O338-M338),IF(AND($B$3&gt;M338,K338&lt;&gt;"Cerrado"),$B$3-M338,0)))</f>
        <v/>
      </c>
      <c r="T338" s="31">
        <f>IF(B338="","",IF(K338="Cerrado",IF(S338&gt;0,"Cerrado con atraso","Cerrado"),IF(S338&gt;0,"Atrasado",IF(AND(N338="",L338&lt;&gt;"",$B$3&gt;L338),"Inicio atrasado","En plazo"))))</f>
        <v/>
      </c>
      <c r="U338" s="26" t="n"/>
    </row>
    <row r="339">
      <c r="A339" s="24" t="n"/>
      <c r="B339" s="25" t="n"/>
      <c r="C339" s="25" t="n"/>
      <c r="D339" s="25" t="n"/>
      <c r="E339" s="26" t="n"/>
      <c r="F339" s="25" t="n"/>
      <c r="G339" s="25" t="n"/>
      <c r="H339" s="25" t="n"/>
      <c r="I339" s="25" t="n"/>
      <c r="J339" s="25" t="n"/>
      <c r="K339" s="25" t="n"/>
      <c r="L339" s="27" t="n"/>
      <c r="M339" s="27" t="n"/>
      <c r="N339" s="27" t="n"/>
      <c r="O339" s="27" t="n"/>
      <c r="P339" s="28" t="n"/>
      <c r="Q339" s="29" t="n"/>
      <c r="R339" s="30">
        <f>IF(B339="","",IF(C339="IWP",COUNTIFS(Restricciones!$D$6:$D$305,B339,Restricciones!$F$6:$F$305,"Abierta")+COUNTIFS(Restricciones!$D$6:$D$305,B339,Restricciones!$F$6:$F$305,"En gestión"),IF(C339="CWA",COUNTIFS(Restricciones!$C$6:$C$305,"CWP-"&amp;MID(B339,5,4)&amp;"-*",Restricciones!$F$6:$F$305,"Abierta")+COUNTIFS(Restricciones!$C$6:$C$305,"CWP-"&amp;MID(B339,5,4)&amp;"-*",Restricciones!$F$6:$F$305,"En gestión"),COUNTIFS(Restricciones!$C$6:$C$305,IF(C339="CWP",B339,H339),Restricciones!$F$6:$F$305,"Abierta")+COUNTIFS(Restricciones!$C$6:$C$305,IF(C339="CWP",B339,H339),Restricciones!$F$6:$F$305,"En gestión"))))</f>
        <v/>
      </c>
      <c r="S339" s="30">
        <f>IF(OR(B339="",M339=""),"",IF(O339&lt;&gt;"",MAX(0,O339-M339),IF(AND($B$3&gt;M339,K339&lt;&gt;"Cerrado"),$B$3-M339,0)))</f>
        <v/>
      </c>
      <c r="T339" s="31">
        <f>IF(B339="","",IF(K339="Cerrado",IF(S339&gt;0,"Cerrado con atraso","Cerrado"),IF(S339&gt;0,"Atrasado",IF(AND(N339="",L339&lt;&gt;"",$B$3&gt;L339),"Inicio atrasado","En plazo"))))</f>
        <v/>
      </c>
      <c r="U339" s="26" t="n"/>
    </row>
    <row r="340">
      <c r="A340" s="24" t="n"/>
      <c r="B340" s="25" t="n"/>
      <c r="C340" s="25" t="n"/>
      <c r="D340" s="25" t="n"/>
      <c r="E340" s="26" t="n"/>
      <c r="F340" s="25" t="n"/>
      <c r="G340" s="25" t="n"/>
      <c r="H340" s="25" t="n"/>
      <c r="I340" s="25" t="n"/>
      <c r="J340" s="25" t="n"/>
      <c r="K340" s="25" t="n"/>
      <c r="L340" s="27" t="n"/>
      <c r="M340" s="27" t="n"/>
      <c r="N340" s="27" t="n"/>
      <c r="O340" s="27" t="n"/>
      <c r="P340" s="28" t="n"/>
      <c r="Q340" s="29" t="n"/>
      <c r="R340" s="30">
        <f>IF(B340="","",IF(C340="IWP",COUNTIFS(Restricciones!$D$6:$D$305,B340,Restricciones!$F$6:$F$305,"Abierta")+COUNTIFS(Restricciones!$D$6:$D$305,B340,Restricciones!$F$6:$F$305,"En gestión"),IF(C340="CWA",COUNTIFS(Restricciones!$C$6:$C$305,"CWP-"&amp;MID(B340,5,4)&amp;"-*",Restricciones!$F$6:$F$305,"Abierta")+COUNTIFS(Restricciones!$C$6:$C$305,"CWP-"&amp;MID(B340,5,4)&amp;"-*",Restricciones!$F$6:$F$305,"En gestión"),COUNTIFS(Restricciones!$C$6:$C$305,IF(C340="CWP",B340,H340),Restricciones!$F$6:$F$305,"Abierta")+COUNTIFS(Restricciones!$C$6:$C$305,IF(C340="CWP",B340,H340),Restricciones!$F$6:$F$305,"En gestión"))))</f>
        <v/>
      </c>
      <c r="S340" s="30">
        <f>IF(OR(B340="",M340=""),"",IF(O340&lt;&gt;"",MAX(0,O340-M340),IF(AND($B$3&gt;M340,K340&lt;&gt;"Cerrado"),$B$3-M340,0)))</f>
        <v/>
      </c>
      <c r="T340" s="31">
        <f>IF(B340="","",IF(K340="Cerrado",IF(S340&gt;0,"Cerrado con atraso","Cerrado"),IF(S340&gt;0,"Atrasado",IF(AND(N340="",L340&lt;&gt;"",$B$3&gt;L340),"Inicio atrasado","En plazo"))))</f>
        <v/>
      </c>
      <c r="U340" s="26" t="n"/>
    </row>
    <row r="341">
      <c r="A341" s="24" t="n"/>
      <c r="B341" s="25" t="n"/>
      <c r="C341" s="25" t="n"/>
      <c r="D341" s="25" t="n"/>
      <c r="E341" s="26" t="n"/>
      <c r="F341" s="25" t="n"/>
      <c r="G341" s="25" t="n"/>
      <c r="H341" s="25" t="n"/>
      <c r="I341" s="25" t="n"/>
      <c r="J341" s="25" t="n"/>
      <c r="K341" s="25" t="n"/>
      <c r="L341" s="27" t="n"/>
      <c r="M341" s="27" t="n"/>
      <c r="N341" s="27" t="n"/>
      <c r="O341" s="27" t="n"/>
      <c r="P341" s="28" t="n"/>
      <c r="Q341" s="29" t="n"/>
      <c r="R341" s="30">
        <f>IF(B341="","",IF(C341="IWP",COUNTIFS(Restricciones!$D$6:$D$305,B341,Restricciones!$F$6:$F$305,"Abierta")+COUNTIFS(Restricciones!$D$6:$D$305,B341,Restricciones!$F$6:$F$305,"En gestión"),IF(C341="CWA",COUNTIFS(Restricciones!$C$6:$C$305,"CWP-"&amp;MID(B341,5,4)&amp;"-*",Restricciones!$F$6:$F$305,"Abierta")+COUNTIFS(Restricciones!$C$6:$C$305,"CWP-"&amp;MID(B341,5,4)&amp;"-*",Restricciones!$F$6:$F$305,"En gestión"),COUNTIFS(Restricciones!$C$6:$C$305,IF(C341="CWP",B341,H341),Restricciones!$F$6:$F$305,"Abierta")+COUNTIFS(Restricciones!$C$6:$C$305,IF(C341="CWP",B341,H341),Restricciones!$F$6:$F$305,"En gestión"))))</f>
        <v/>
      </c>
      <c r="S341" s="30">
        <f>IF(OR(B341="",M341=""),"",IF(O341&lt;&gt;"",MAX(0,O341-M341),IF(AND($B$3&gt;M341,K341&lt;&gt;"Cerrado"),$B$3-M341,0)))</f>
        <v/>
      </c>
      <c r="T341" s="31">
        <f>IF(B341="","",IF(K341="Cerrado",IF(S341&gt;0,"Cerrado con atraso","Cerrado"),IF(S341&gt;0,"Atrasado",IF(AND(N341="",L341&lt;&gt;"",$B$3&gt;L341),"Inicio atrasado","En plazo"))))</f>
        <v/>
      </c>
      <c r="U341" s="26" t="n"/>
    </row>
    <row r="342">
      <c r="A342" s="24" t="n"/>
      <c r="B342" s="25" t="n"/>
      <c r="C342" s="25" t="n"/>
      <c r="D342" s="25" t="n"/>
      <c r="E342" s="26" t="n"/>
      <c r="F342" s="25" t="n"/>
      <c r="G342" s="25" t="n"/>
      <c r="H342" s="25" t="n"/>
      <c r="I342" s="25" t="n"/>
      <c r="J342" s="25" t="n"/>
      <c r="K342" s="25" t="n"/>
      <c r="L342" s="27" t="n"/>
      <c r="M342" s="27" t="n"/>
      <c r="N342" s="27" t="n"/>
      <c r="O342" s="27" t="n"/>
      <c r="P342" s="28" t="n"/>
      <c r="Q342" s="29" t="n"/>
      <c r="R342" s="30">
        <f>IF(B342="","",IF(C342="IWP",COUNTIFS(Restricciones!$D$6:$D$305,B342,Restricciones!$F$6:$F$305,"Abierta")+COUNTIFS(Restricciones!$D$6:$D$305,B342,Restricciones!$F$6:$F$305,"En gestión"),IF(C342="CWA",COUNTIFS(Restricciones!$C$6:$C$305,"CWP-"&amp;MID(B342,5,4)&amp;"-*",Restricciones!$F$6:$F$305,"Abierta")+COUNTIFS(Restricciones!$C$6:$C$305,"CWP-"&amp;MID(B342,5,4)&amp;"-*",Restricciones!$F$6:$F$305,"En gestión"),COUNTIFS(Restricciones!$C$6:$C$305,IF(C342="CWP",B342,H342),Restricciones!$F$6:$F$305,"Abierta")+COUNTIFS(Restricciones!$C$6:$C$305,IF(C342="CWP",B342,H342),Restricciones!$F$6:$F$305,"En gestión"))))</f>
        <v/>
      </c>
      <c r="S342" s="30">
        <f>IF(OR(B342="",M342=""),"",IF(O342&lt;&gt;"",MAX(0,O342-M342),IF(AND($B$3&gt;M342,K342&lt;&gt;"Cerrado"),$B$3-M342,0)))</f>
        <v/>
      </c>
      <c r="T342" s="31">
        <f>IF(B342="","",IF(K342="Cerrado",IF(S342&gt;0,"Cerrado con atraso","Cerrado"),IF(S342&gt;0,"Atrasado",IF(AND(N342="",L342&lt;&gt;"",$B$3&gt;L342),"Inicio atrasado","En plazo"))))</f>
        <v/>
      </c>
      <c r="U342" s="26" t="n"/>
    </row>
    <row r="343">
      <c r="A343" s="24" t="n"/>
      <c r="B343" s="25" t="n"/>
      <c r="C343" s="25" t="n"/>
      <c r="D343" s="25" t="n"/>
      <c r="E343" s="26" t="n"/>
      <c r="F343" s="25" t="n"/>
      <c r="G343" s="25" t="n"/>
      <c r="H343" s="25" t="n"/>
      <c r="I343" s="25" t="n"/>
      <c r="J343" s="25" t="n"/>
      <c r="K343" s="25" t="n"/>
      <c r="L343" s="27" t="n"/>
      <c r="M343" s="27" t="n"/>
      <c r="N343" s="27" t="n"/>
      <c r="O343" s="27" t="n"/>
      <c r="P343" s="28" t="n"/>
      <c r="Q343" s="29" t="n"/>
      <c r="R343" s="30">
        <f>IF(B343="","",IF(C343="IWP",COUNTIFS(Restricciones!$D$6:$D$305,B343,Restricciones!$F$6:$F$305,"Abierta")+COUNTIFS(Restricciones!$D$6:$D$305,B343,Restricciones!$F$6:$F$305,"En gestión"),IF(C343="CWA",COUNTIFS(Restricciones!$C$6:$C$305,"CWP-"&amp;MID(B343,5,4)&amp;"-*",Restricciones!$F$6:$F$305,"Abierta")+COUNTIFS(Restricciones!$C$6:$C$305,"CWP-"&amp;MID(B343,5,4)&amp;"-*",Restricciones!$F$6:$F$305,"En gestión"),COUNTIFS(Restricciones!$C$6:$C$305,IF(C343="CWP",B343,H343),Restricciones!$F$6:$F$305,"Abierta")+COUNTIFS(Restricciones!$C$6:$C$305,IF(C343="CWP",B343,H343),Restricciones!$F$6:$F$305,"En gestión"))))</f>
        <v/>
      </c>
      <c r="S343" s="30">
        <f>IF(OR(B343="",M343=""),"",IF(O343&lt;&gt;"",MAX(0,O343-M343),IF(AND($B$3&gt;M343,K343&lt;&gt;"Cerrado"),$B$3-M343,0)))</f>
        <v/>
      </c>
      <c r="T343" s="31">
        <f>IF(B343="","",IF(K343="Cerrado",IF(S343&gt;0,"Cerrado con atraso","Cerrado"),IF(S343&gt;0,"Atrasado",IF(AND(N343="",L343&lt;&gt;"",$B$3&gt;L343),"Inicio atrasado","En plazo"))))</f>
        <v/>
      </c>
      <c r="U343" s="26" t="n"/>
    </row>
    <row r="344">
      <c r="A344" s="24" t="n"/>
      <c r="B344" s="25" t="n"/>
      <c r="C344" s="25" t="n"/>
      <c r="D344" s="25" t="n"/>
      <c r="E344" s="26" t="n"/>
      <c r="F344" s="25" t="n"/>
      <c r="G344" s="25" t="n"/>
      <c r="H344" s="25" t="n"/>
      <c r="I344" s="25" t="n"/>
      <c r="J344" s="25" t="n"/>
      <c r="K344" s="25" t="n"/>
      <c r="L344" s="27" t="n"/>
      <c r="M344" s="27" t="n"/>
      <c r="N344" s="27" t="n"/>
      <c r="O344" s="27" t="n"/>
      <c r="P344" s="28" t="n"/>
      <c r="Q344" s="29" t="n"/>
      <c r="R344" s="30">
        <f>IF(B344="","",IF(C344="IWP",COUNTIFS(Restricciones!$D$6:$D$305,B344,Restricciones!$F$6:$F$305,"Abierta")+COUNTIFS(Restricciones!$D$6:$D$305,B344,Restricciones!$F$6:$F$305,"En gestión"),IF(C344="CWA",COUNTIFS(Restricciones!$C$6:$C$305,"CWP-"&amp;MID(B344,5,4)&amp;"-*",Restricciones!$F$6:$F$305,"Abierta")+COUNTIFS(Restricciones!$C$6:$C$305,"CWP-"&amp;MID(B344,5,4)&amp;"-*",Restricciones!$F$6:$F$305,"En gestión"),COUNTIFS(Restricciones!$C$6:$C$305,IF(C344="CWP",B344,H344),Restricciones!$F$6:$F$305,"Abierta")+COUNTIFS(Restricciones!$C$6:$C$305,IF(C344="CWP",B344,H344),Restricciones!$F$6:$F$305,"En gestión"))))</f>
        <v/>
      </c>
      <c r="S344" s="30">
        <f>IF(OR(B344="",M344=""),"",IF(O344&lt;&gt;"",MAX(0,O344-M344),IF(AND($B$3&gt;M344,K344&lt;&gt;"Cerrado"),$B$3-M344,0)))</f>
        <v/>
      </c>
      <c r="T344" s="31">
        <f>IF(B344="","",IF(K344="Cerrado",IF(S344&gt;0,"Cerrado con atraso","Cerrado"),IF(S344&gt;0,"Atrasado",IF(AND(N344="",L344&lt;&gt;"",$B$3&gt;L344),"Inicio atrasado","En plazo"))))</f>
        <v/>
      </c>
      <c r="U344" s="26" t="n"/>
    </row>
    <row r="345">
      <c r="A345" s="24" t="n"/>
      <c r="B345" s="25" t="n"/>
      <c r="C345" s="25" t="n"/>
      <c r="D345" s="25" t="n"/>
      <c r="E345" s="26" t="n"/>
      <c r="F345" s="25" t="n"/>
      <c r="G345" s="25" t="n"/>
      <c r="H345" s="25" t="n"/>
      <c r="I345" s="25" t="n"/>
      <c r="J345" s="25" t="n"/>
      <c r="K345" s="25" t="n"/>
      <c r="L345" s="27" t="n"/>
      <c r="M345" s="27" t="n"/>
      <c r="N345" s="27" t="n"/>
      <c r="O345" s="27" t="n"/>
      <c r="P345" s="28" t="n"/>
      <c r="Q345" s="29" t="n"/>
      <c r="R345" s="30">
        <f>IF(B345="","",IF(C345="IWP",COUNTIFS(Restricciones!$D$6:$D$305,B345,Restricciones!$F$6:$F$305,"Abierta")+COUNTIFS(Restricciones!$D$6:$D$305,B345,Restricciones!$F$6:$F$305,"En gestión"),IF(C345="CWA",COUNTIFS(Restricciones!$C$6:$C$305,"CWP-"&amp;MID(B345,5,4)&amp;"-*",Restricciones!$F$6:$F$305,"Abierta")+COUNTIFS(Restricciones!$C$6:$C$305,"CWP-"&amp;MID(B345,5,4)&amp;"-*",Restricciones!$F$6:$F$305,"En gestión"),COUNTIFS(Restricciones!$C$6:$C$305,IF(C345="CWP",B345,H345),Restricciones!$F$6:$F$305,"Abierta")+COUNTIFS(Restricciones!$C$6:$C$305,IF(C345="CWP",B345,H345),Restricciones!$F$6:$F$305,"En gestión"))))</f>
        <v/>
      </c>
      <c r="S345" s="30">
        <f>IF(OR(B345="",M345=""),"",IF(O345&lt;&gt;"",MAX(0,O345-M345),IF(AND($B$3&gt;M345,K345&lt;&gt;"Cerrado"),$B$3-M345,0)))</f>
        <v/>
      </c>
      <c r="T345" s="31">
        <f>IF(B345="","",IF(K345="Cerrado",IF(S345&gt;0,"Cerrado con atraso","Cerrado"),IF(S345&gt;0,"Atrasado",IF(AND(N345="",L345&lt;&gt;"",$B$3&gt;L345),"Inicio atrasado","En plazo"))))</f>
        <v/>
      </c>
      <c r="U345" s="26" t="n"/>
    </row>
    <row r="346">
      <c r="A346" s="24" t="n"/>
      <c r="B346" s="25" t="n"/>
      <c r="C346" s="25" t="n"/>
      <c r="D346" s="25" t="n"/>
      <c r="E346" s="26" t="n"/>
      <c r="F346" s="25" t="n"/>
      <c r="G346" s="25" t="n"/>
      <c r="H346" s="25" t="n"/>
      <c r="I346" s="25" t="n"/>
      <c r="J346" s="25" t="n"/>
      <c r="K346" s="25" t="n"/>
      <c r="L346" s="27" t="n"/>
      <c r="M346" s="27" t="n"/>
      <c r="N346" s="27" t="n"/>
      <c r="O346" s="27" t="n"/>
      <c r="P346" s="28" t="n"/>
      <c r="Q346" s="29" t="n"/>
      <c r="R346" s="30">
        <f>IF(B346="","",IF(C346="IWP",COUNTIFS(Restricciones!$D$6:$D$305,B346,Restricciones!$F$6:$F$305,"Abierta")+COUNTIFS(Restricciones!$D$6:$D$305,B346,Restricciones!$F$6:$F$305,"En gestión"),IF(C346="CWA",COUNTIFS(Restricciones!$C$6:$C$305,"CWP-"&amp;MID(B346,5,4)&amp;"-*",Restricciones!$F$6:$F$305,"Abierta")+COUNTIFS(Restricciones!$C$6:$C$305,"CWP-"&amp;MID(B346,5,4)&amp;"-*",Restricciones!$F$6:$F$305,"En gestión"),COUNTIFS(Restricciones!$C$6:$C$305,IF(C346="CWP",B346,H346),Restricciones!$F$6:$F$305,"Abierta")+COUNTIFS(Restricciones!$C$6:$C$305,IF(C346="CWP",B346,H346),Restricciones!$F$6:$F$305,"En gestión"))))</f>
        <v/>
      </c>
      <c r="S346" s="30">
        <f>IF(OR(B346="",M346=""),"",IF(O346&lt;&gt;"",MAX(0,O346-M346),IF(AND($B$3&gt;M346,K346&lt;&gt;"Cerrado"),$B$3-M346,0)))</f>
        <v/>
      </c>
      <c r="T346" s="31">
        <f>IF(B346="","",IF(K346="Cerrado",IF(S346&gt;0,"Cerrado con atraso","Cerrado"),IF(S346&gt;0,"Atrasado",IF(AND(N346="",L346&lt;&gt;"",$B$3&gt;L346),"Inicio atrasado","En plazo"))))</f>
        <v/>
      </c>
      <c r="U346" s="26" t="n"/>
    </row>
    <row r="347">
      <c r="A347" s="24" t="n"/>
      <c r="B347" s="25" t="n"/>
      <c r="C347" s="25" t="n"/>
      <c r="D347" s="25" t="n"/>
      <c r="E347" s="26" t="n"/>
      <c r="F347" s="25" t="n"/>
      <c r="G347" s="25" t="n"/>
      <c r="H347" s="25" t="n"/>
      <c r="I347" s="25" t="n"/>
      <c r="J347" s="25" t="n"/>
      <c r="K347" s="25" t="n"/>
      <c r="L347" s="27" t="n"/>
      <c r="M347" s="27" t="n"/>
      <c r="N347" s="27" t="n"/>
      <c r="O347" s="27" t="n"/>
      <c r="P347" s="28" t="n"/>
      <c r="Q347" s="29" t="n"/>
      <c r="R347" s="30">
        <f>IF(B347="","",IF(C347="IWP",COUNTIFS(Restricciones!$D$6:$D$305,B347,Restricciones!$F$6:$F$305,"Abierta")+COUNTIFS(Restricciones!$D$6:$D$305,B347,Restricciones!$F$6:$F$305,"En gestión"),IF(C347="CWA",COUNTIFS(Restricciones!$C$6:$C$305,"CWP-"&amp;MID(B347,5,4)&amp;"-*",Restricciones!$F$6:$F$305,"Abierta")+COUNTIFS(Restricciones!$C$6:$C$305,"CWP-"&amp;MID(B347,5,4)&amp;"-*",Restricciones!$F$6:$F$305,"En gestión"),COUNTIFS(Restricciones!$C$6:$C$305,IF(C347="CWP",B347,H347),Restricciones!$F$6:$F$305,"Abierta")+COUNTIFS(Restricciones!$C$6:$C$305,IF(C347="CWP",B347,H347),Restricciones!$F$6:$F$305,"En gestión"))))</f>
        <v/>
      </c>
      <c r="S347" s="30">
        <f>IF(OR(B347="",M347=""),"",IF(O347&lt;&gt;"",MAX(0,O347-M347),IF(AND($B$3&gt;M347,K347&lt;&gt;"Cerrado"),$B$3-M347,0)))</f>
        <v/>
      </c>
      <c r="T347" s="31">
        <f>IF(B347="","",IF(K347="Cerrado",IF(S347&gt;0,"Cerrado con atraso","Cerrado"),IF(S347&gt;0,"Atrasado",IF(AND(N347="",L347&lt;&gt;"",$B$3&gt;L347),"Inicio atrasado","En plazo"))))</f>
        <v/>
      </c>
      <c r="U347" s="26" t="n"/>
    </row>
    <row r="348">
      <c r="A348" s="24" t="n"/>
      <c r="B348" s="25" t="n"/>
      <c r="C348" s="25" t="n"/>
      <c r="D348" s="25" t="n"/>
      <c r="E348" s="26" t="n"/>
      <c r="F348" s="25" t="n"/>
      <c r="G348" s="25" t="n"/>
      <c r="H348" s="25" t="n"/>
      <c r="I348" s="25" t="n"/>
      <c r="J348" s="25" t="n"/>
      <c r="K348" s="25" t="n"/>
      <c r="L348" s="27" t="n"/>
      <c r="M348" s="27" t="n"/>
      <c r="N348" s="27" t="n"/>
      <c r="O348" s="27" t="n"/>
      <c r="P348" s="28" t="n"/>
      <c r="Q348" s="29" t="n"/>
      <c r="R348" s="30">
        <f>IF(B348="","",IF(C348="IWP",COUNTIFS(Restricciones!$D$6:$D$305,B348,Restricciones!$F$6:$F$305,"Abierta")+COUNTIFS(Restricciones!$D$6:$D$305,B348,Restricciones!$F$6:$F$305,"En gestión"),IF(C348="CWA",COUNTIFS(Restricciones!$C$6:$C$305,"CWP-"&amp;MID(B348,5,4)&amp;"-*",Restricciones!$F$6:$F$305,"Abierta")+COUNTIFS(Restricciones!$C$6:$C$305,"CWP-"&amp;MID(B348,5,4)&amp;"-*",Restricciones!$F$6:$F$305,"En gestión"),COUNTIFS(Restricciones!$C$6:$C$305,IF(C348="CWP",B348,H348),Restricciones!$F$6:$F$305,"Abierta")+COUNTIFS(Restricciones!$C$6:$C$305,IF(C348="CWP",B348,H348),Restricciones!$F$6:$F$305,"En gestión"))))</f>
        <v/>
      </c>
      <c r="S348" s="30">
        <f>IF(OR(B348="",M348=""),"",IF(O348&lt;&gt;"",MAX(0,O348-M348),IF(AND($B$3&gt;M348,K348&lt;&gt;"Cerrado"),$B$3-M348,0)))</f>
        <v/>
      </c>
      <c r="T348" s="31">
        <f>IF(B348="","",IF(K348="Cerrado",IF(S348&gt;0,"Cerrado con atraso","Cerrado"),IF(S348&gt;0,"Atrasado",IF(AND(N348="",L348&lt;&gt;"",$B$3&gt;L348),"Inicio atrasado","En plazo"))))</f>
        <v/>
      </c>
      <c r="U348" s="26" t="n"/>
    </row>
    <row r="349">
      <c r="A349" s="24" t="n"/>
      <c r="B349" s="25" t="n"/>
      <c r="C349" s="25" t="n"/>
      <c r="D349" s="25" t="n"/>
      <c r="E349" s="26" t="n"/>
      <c r="F349" s="25" t="n"/>
      <c r="G349" s="25" t="n"/>
      <c r="H349" s="25" t="n"/>
      <c r="I349" s="25" t="n"/>
      <c r="J349" s="25" t="n"/>
      <c r="K349" s="25" t="n"/>
      <c r="L349" s="27" t="n"/>
      <c r="M349" s="27" t="n"/>
      <c r="N349" s="27" t="n"/>
      <c r="O349" s="27" t="n"/>
      <c r="P349" s="28" t="n"/>
      <c r="Q349" s="29" t="n"/>
      <c r="R349" s="30">
        <f>IF(B349="","",IF(C349="IWP",COUNTIFS(Restricciones!$D$6:$D$305,B349,Restricciones!$F$6:$F$305,"Abierta")+COUNTIFS(Restricciones!$D$6:$D$305,B349,Restricciones!$F$6:$F$305,"En gestión"),IF(C349="CWA",COUNTIFS(Restricciones!$C$6:$C$305,"CWP-"&amp;MID(B349,5,4)&amp;"-*",Restricciones!$F$6:$F$305,"Abierta")+COUNTIFS(Restricciones!$C$6:$C$305,"CWP-"&amp;MID(B349,5,4)&amp;"-*",Restricciones!$F$6:$F$305,"En gestión"),COUNTIFS(Restricciones!$C$6:$C$305,IF(C349="CWP",B349,H349),Restricciones!$F$6:$F$305,"Abierta")+COUNTIFS(Restricciones!$C$6:$C$305,IF(C349="CWP",B349,H349),Restricciones!$F$6:$F$305,"En gestión"))))</f>
        <v/>
      </c>
      <c r="S349" s="30">
        <f>IF(OR(B349="",M349=""),"",IF(O349&lt;&gt;"",MAX(0,O349-M349),IF(AND($B$3&gt;M349,K349&lt;&gt;"Cerrado"),$B$3-M349,0)))</f>
        <v/>
      </c>
      <c r="T349" s="31">
        <f>IF(B349="","",IF(K349="Cerrado",IF(S349&gt;0,"Cerrado con atraso","Cerrado"),IF(S349&gt;0,"Atrasado",IF(AND(N349="",L349&lt;&gt;"",$B$3&gt;L349),"Inicio atrasado","En plazo"))))</f>
        <v/>
      </c>
      <c r="U349" s="26" t="n"/>
    </row>
    <row r="350">
      <c r="A350" s="24" t="n"/>
      <c r="B350" s="25" t="n"/>
      <c r="C350" s="25" t="n"/>
      <c r="D350" s="25" t="n"/>
      <c r="E350" s="26" t="n"/>
      <c r="F350" s="25" t="n"/>
      <c r="G350" s="25" t="n"/>
      <c r="H350" s="25" t="n"/>
      <c r="I350" s="25" t="n"/>
      <c r="J350" s="25" t="n"/>
      <c r="K350" s="25" t="n"/>
      <c r="L350" s="27" t="n"/>
      <c r="M350" s="27" t="n"/>
      <c r="N350" s="27" t="n"/>
      <c r="O350" s="27" t="n"/>
      <c r="P350" s="28" t="n"/>
      <c r="Q350" s="29" t="n"/>
      <c r="R350" s="30">
        <f>IF(B350="","",IF(C350="IWP",COUNTIFS(Restricciones!$D$6:$D$305,B350,Restricciones!$F$6:$F$305,"Abierta")+COUNTIFS(Restricciones!$D$6:$D$305,B350,Restricciones!$F$6:$F$305,"En gestión"),IF(C350="CWA",COUNTIFS(Restricciones!$C$6:$C$305,"CWP-"&amp;MID(B350,5,4)&amp;"-*",Restricciones!$F$6:$F$305,"Abierta")+COUNTIFS(Restricciones!$C$6:$C$305,"CWP-"&amp;MID(B350,5,4)&amp;"-*",Restricciones!$F$6:$F$305,"En gestión"),COUNTIFS(Restricciones!$C$6:$C$305,IF(C350="CWP",B350,H350),Restricciones!$F$6:$F$305,"Abierta")+COUNTIFS(Restricciones!$C$6:$C$305,IF(C350="CWP",B350,H350),Restricciones!$F$6:$F$305,"En gestión"))))</f>
        <v/>
      </c>
      <c r="S350" s="30">
        <f>IF(OR(B350="",M350=""),"",IF(O350&lt;&gt;"",MAX(0,O350-M350),IF(AND($B$3&gt;M350,K350&lt;&gt;"Cerrado"),$B$3-M350,0)))</f>
        <v/>
      </c>
      <c r="T350" s="31">
        <f>IF(B350="","",IF(K350="Cerrado",IF(S350&gt;0,"Cerrado con atraso","Cerrado"),IF(S350&gt;0,"Atrasado",IF(AND(N350="",L350&lt;&gt;"",$B$3&gt;L350),"Inicio atrasado","En plazo"))))</f>
        <v/>
      </c>
      <c r="U350" s="26" t="n"/>
    </row>
    <row r="351">
      <c r="A351" s="24" t="n"/>
      <c r="B351" s="25" t="n"/>
      <c r="C351" s="25" t="n"/>
      <c r="D351" s="25" t="n"/>
      <c r="E351" s="26" t="n"/>
      <c r="F351" s="25" t="n"/>
      <c r="G351" s="25" t="n"/>
      <c r="H351" s="25" t="n"/>
      <c r="I351" s="25" t="n"/>
      <c r="J351" s="25" t="n"/>
      <c r="K351" s="25" t="n"/>
      <c r="L351" s="27" t="n"/>
      <c r="M351" s="27" t="n"/>
      <c r="N351" s="27" t="n"/>
      <c r="O351" s="27" t="n"/>
      <c r="P351" s="28" t="n"/>
      <c r="Q351" s="29" t="n"/>
      <c r="R351" s="30">
        <f>IF(B351="","",IF(C351="IWP",COUNTIFS(Restricciones!$D$6:$D$305,B351,Restricciones!$F$6:$F$305,"Abierta")+COUNTIFS(Restricciones!$D$6:$D$305,B351,Restricciones!$F$6:$F$305,"En gestión"),IF(C351="CWA",COUNTIFS(Restricciones!$C$6:$C$305,"CWP-"&amp;MID(B351,5,4)&amp;"-*",Restricciones!$F$6:$F$305,"Abierta")+COUNTIFS(Restricciones!$C$6:$C$305,"CWP-"&amp;MID(B351,5,4)&amp;"-*",Restricciones!$F$6:$F$305,"En gestión"),COUNTIFS(Restricciones!$C$6:$C$305,IF(C351="CWP",B351,H351),Restricciones!$F$6:$F$305,"Abierta")+COUNTIFS(Restricciones!$C$6:$C$305,IF(C351="CWP",B351,H351),Restricciones!$F$6:$F$305,"En gestión"))))</f>
        <v/>
      </c>
      <c r="S351" s="30">
        <f>IF(OR(B351="",M351=""),"",IF(O351&lt;&gt;"",MAX(0,O351-M351),IF(AND($B$3&gt;M351,K351&lt;&gt;"Cerrado"),$B$3-M351,0)))</f>
        <v/>
      </c>
      <c r="T351" s="31">
        <f>IF(B351="","",IF(K351="Cerrado",IF(S351&gt;0,"Cerrado con atraso","Cerrado"),IF(S351&gt;0,"Atrasado",IF(AND(N351="",L351&lt;&gt;"",$B$3&gt;L351),"Inicio atrasado","En plazo"))))</f>
        <v/>
      </c>
      <c r="U351" s="26" t="n"/>
    </row>
    <row r="352">
      <c r="A352" s="24" t="n"/>
      <c r="B352" s="25" t="n"/>
      <c r="C352" s="25" t="n"/>
      <c r="D352" s="25" t="n"/>
      <c r="E352" s="26" t="n"/>
      <c r="F352" s="25" t="n"/>
      <c r="G352" s="25" t="n"/>
      <c r="H352" s="25" t="n"/>
      <c r="I352" s="25" t="n"/>
      <c r="J352" s="25" t="n"/>
      <c r="K352" s="25" t="n"/>
      <c r="L352" s="27" t="n"/>
      <c r="M352" s="27" t="n"/>
      <c r="N352" s="27" t="n"/>
      <c r="O352" s="27" t="n"/>
      <c r="P352" s="28" t="n"/>
      <c r="Q352" s="29" t="n"/>
      <c r="R352" s="30">
        <f>IF(B352="","",IF(C352="IWP",COUNTIFS(Restricciones!$D$6:$D$305,B352,Restricciones!$F$6:$F$305,"Abierta")+COUNTIFS(Restricciones!$D$6:$D$305,B352,Restricciones!$F$6:$F$305,"En gestión"),IF(C352="CWA",COUNTIFS(Restricciones!$C$6:$C$305,"CWP-"&amp;MID(B352,5,4)&amp;"-*",Restricciones!$F$6:$F$305,"Abierta")+COUNTIFS(Restricciones!$C$6:$C$305,"CWP-"&amp;MID(B352,5,4)&amp;"-*",Restricciones!$F$6:$F$305,"En gestión"),COUNTIFS(Restricciones!$C$6:$C$305,IF(C352="CWP",B352,H352),Restricciones!$F$6:$F$305,"Abierta")+COUNTIFS(Restricciones!$C$6:$C$305,IF(C352="CWP",B352,H352),Restricciones!$F$6:$F$305,"En gestión"))))</f>
        <v/>
      </c>
      <c r="S352" s="30">
        <f>IF(OR(B352="",M352=""),"",IF(O352&lt;&gt;"",MAX(0,O352-M352),IF(AND($B$3&gt;M352,K352&lt;&gt;"Cerrado"),$B$3-M352,0)))</f>
        <v/>
      </c>
      <c r="T352" s="31">
        <f>IF(B352="","",IF(K352="Cerrado",IF(S352&gt;0,"Cerrado con atraso","Cerrado"),IF(S352&gt;0,"Atrasado",IF(AND(N352="",L352&lt;&gt;"",$B$3&gt;L352),"Inicio atrasado","En plazo"))))</f>
        <v/>
      </c>
      <c r="U352" s="26" t="n"/>
    </row>
    <row r="353">
      <c r="A353" s="24" t="n"/>
      <c r="B353" s="25" t="n"/>
      <c r="C353" s="25" t="n"/>
      <c r="D353" s="25" t="n"/>
      <c r="E353" s="26" t="n"/>
      <c r="F353" s="25" t="n"/>
      <c r="G353" s="25" t="n"/>
      <c r="H353" s="25" t="n"/>
      <c r="I353" s="25" t="n"/>
      <c r="J353" s="25" t="n"/>
      <c r="K353" s="25" t="n"/>
      <c r="L353" s="27" t="n"/>
      <c r="M353" s="27" t="n"/>
      <c r="N353" s="27" t="n"/>
      <c r="O353" s="27" t="n"/>
      <c r="P353" s="28" t="n"/>
      <c r="Q353" s="29" t="n"/>
      <c r="R353" s="30">
        <f>IF(B353="","",IF(C353="IWP",COUNTIFS(Restricciones!$D$6:$D$305,B353,Restricciones!$F$6:$F$305,"Abierta")+COUNTIFS(Restricciones!$D$6:$D$305,B353,Restricciones!$F$6:$F$305,"En gestión"),IF(C353="CWA",COUNTIFS(Restricciones!$C$6:$C$305,"CWP-"&amp;MID(B353,5,4)&amp;"-*",Restricciones!$F$6:$F$305,"Abierta")+COUNTIFS(Restricciones!$C$6:$C$305,"CWP-"&amp;MID(B353,5,4)&amp;"-*",Restricciones!$F$6:$F$305,"En gestión"),COUNTIFS(Restricciones!$C$6:$C$305,IF(C353="CWP",B353,H353),Restricciones!$F$6:$F$305,"Abierta")+COUNTIFS(Restricciones!$C$6:$C$305,IF(C353="CWP",B353,H353),Restricciones!$F$6:$F$305,"En gestión"))))</f>
        <v/>
      </c>
      <c r="S353" s="30">
        <f>IF(OR(B353="",M353=""),"",IF(O353&lt;&gt;"",MAX(0,O353-M353),IF(AND($B$3&gt;M353,K353&lt;&gt;"Cerrado"),$B$3-M353,0)))</f>
        <v/>
      </c>
      <c r="T353" s="31">
        <f>IF(B353="","",IF(K353="Cerrado",IF(S353&gt;0,"Cerrado con atraso","Cerrado"),IF(S353&gt;0,"Atrasado",IF(AND(N353="",L353&lt;&gt;"",$B$3&gt;L353),"Inicio atrasado","En plazo"))))</f>
        <v/>
      </c>
      <c r="U353" s="26" t="n"/>
    </row>
    <row r="354">
      <c r="A354" s="24" t="n"/>
      <c r="B354" s="25" t="n"/>
      <c r="C354" s="25" t="n"/>
      <c r="D354" s="25" t="n"/>
      <c r="E354" s="26" t="n"/>
      <c r="F354" s="25" t="n"/>
      <c r="G354" s="25" t="n"/>
      <c r="H354" s="25" t="n"/>
      <c r="I354" s="25" t="n"/>
      <c r="J354" s="25" t="n"/>
      <c r="K354" s="25" t="n"/>
      <c r="L354" s="27" t="n"/>
      <c r="M354" s="27" t="n"/>
      <c r="N354" s="27" t="n"/>
      <c r="O354" s="27" t="n"/>
      <c r="P354" s="28" t="n"/>
      <c r="Q354" s="29" t="n"/>
      <c r="R354" s="30">
        <f>IF(B354="","",IF(C354="IWP",COUNTIFS(Restricciones!$D$6:$D$305,B354,Restricciones!$F$6:$F$305,"Abierta")+COUNTIFS(Restricciones!$D$6:$D$305,B354,Restricciones!$F$6:$F$305,"En gestión"),IF(C354="CWA",COUNTIFS(Restricciones!$C$6:$C$305,"CWP-"&amp;MID(B354,5,4)&amp;"-*",Restricciones!$F$6:$F$305,"Abierta")+COUNTIFS(Restricciones!$C$6:$C$305,"CWP-"&amp;MID(B354,5,4)&amp;"-*",Restricciones!$F$6:$F$305,"En gestión"),COUNTIFS(Restricciones!$C$6:$C$305,IF(C354="CWP",B354,H354),Restricciones!$F$6:$F$305,"Abierta")+COUNTIFS(Restricciones!$C$6:$C$305,IF(C354="CWP",B354,H354),Restricciones!$F$6:$F$305,"En gestión"))))</f>
        <v/>
      </c>
      <c r="S354" s="30">
        <f>IF(OR(B354="",M354=""),"",IF(O354&lt;&gt;"",MAX(0,O354-M354),IF(AND($B$3&gt;M354,K354&lt;&gt;"Cerrado"),$B$3-M354,0)))</f>
        <v/>
      </c>
      <c r="T354" s="31">
        <f>IF(B354="","",IF(K354="Cerrado",IF(S354&gt;0,"Cerrado con atraso","Cerrado"),IF(S354&gt;0,"Atrasado",IF(AND(N354="",L354&lt;&gt;"",$B$3&gt;L354),"Inicio atrasado","En plazo"))))</f>
        <v/>
      </c>
      <c r="U354" s="26" t="n"/>
    </row>
    <row r="355">
      <c r="A355" s="24" t="n"/>
      <c r="B355" s="25" t="n"/>
      <c r="C355" s="25" t="n"/>
      <c r="D355" s="25" t="n"/>
      <c r="E355" s="26" t="n"/>
      <c r="F355" s="25" t="n"/>
      <c r="G355" s="25" t="n"/>
      <c r="H355" s="25" t="n"/>
      <c r="I355" s="25" t="n"/>
      <c r="J355" s="25" t="n"/>
      <c r="K355" s="25" t="n"/>
      <c r="L355" s="27" t="n"/>
      <c r="M355" s="27" t="n"/>
      <c r="N355" s="27" t="n"/>
      <c r="O355" s="27" t="n"/>
      <c r="P355" s="28" t="n"/>
      <c r="Q355" s="29" t="n"/>
      <c r="R355" s="30">
        <f>IF(B355="","",IF(C355="IWP",COUNTIFS(Restricciones!$D$6:$D$305,B355,Restricciones!$F$6:$F$305,"Abierta")+COUNTIFS(Restricciones!$D$6:$D$305,B355,Restricciones!$F$6:$F$305,"En gestión"),IF(C355="CWA",COUNTIFS(Restricciones!$C$6:$C$305,"CWP-"&amp;MID(B355,5,4)&amp;"-*",Restricciones!$F$6:$F$305,"Abierta")+COUNTIFS(Restricciones!$C$6:$C$305,"CWP-"&amp;MID(B355,5,4)&amp;"-*",Restricciones!$F$6:$F$305,"En gestión"),COUNTIFS(Restricciones!$C$6:$C$305,IF(C355="CWP",B355,H355),Restricciones!$F$6:$F$305,"Abierta")+COUNTIFS(Restricciones!$C$6:$C$305,IF(C355="CWP",B355,H355),Restricciones!$F$6:$F$305,"En gestión"))))</f>
        <v/>
      </c>
      <c r="S355" s="30">
        <f>IF(OR(B355="",M355=""),"",IF(O355&lt;&gt;"",MAX(0,O355-M355),IF(AND($B$3&gt;M355,K355&lt;&gt;"Cerrado"),$B$3-M355,0)))</f>
        <v/>
      </c>
      <c r="T355" s="31">
        <f>IF(B355="","",IF(K355="Cerrado",IF(S355&gt;0,"Cerrado con atraso","Cerrado"),IF(S355&gt;0,"Atrasado",IF(AND(N355="",L355&lt;&gt;"",$B$3&gt;L355),"Inicio atrasado","En plazo"))))</f>
        <v/>
      </c>
      <c r="U355" s="26" t="n"/>
    </row>
    <row r="356">
      <c r="A356" s="24" t="n"/>
      <c r="B356" s="25" t="n"/>
      <c r="C356" s="25" t="n"/>
      <c r="D356" s="25" t="n"/>
      <c r="E356" s="26" t="n"/>
      <c r="F356" s="25" t="n"/>
      <c r="G356" s="25" t="n"/>
      <c r="H356" s="25" t="n"/>
      <c r="I356" s="25" t="n"/>
      <c r="J356" s="25" t="n"/>
      <c r="K356" s="25" t="n"/>
      <c r="L356" s="27" t="n"/>
      <c r="M356" s="27" t="n"/>
      <c r="N356" s="27" t="n"/>
      <c r="O356" s="27" t="n"/>
      <c r="P356" s="28" t="n"/>
      <c r="Q356" s="29" t="n"/>
      <c r="R356" s="30">
        <f>IF(B356="","",IF(C356="IWP",COUNTIFS(Restricciones!$D$6:$D$305,B356,Restricciones!$F$6:$F$305,"Abierta")+COUNTIFS(Restricciones!$D$6:$D$305,B356,Restricciones!$F$6:$F$305,"En gestión"),IF(C356="CWA",COUNTIFS(Restricciones!$C$6:$C$305,"CWP-"&amp;MID(B356,5,4)&amp;"-*",Restricciones!$F$6:$F$305,"Abierta")+COUNTIFS(Restricciones!$C$6:$C$305,"CWP-"&amp;MID(B356,5,4)&amp;"-*",Restricciones!$F$6:$F$305,"En gestión"),COUNTIFS(Restricciones!$C$6:$C$305,IF(C356="CWP",B356,H356),Restricciones!$F$6:$F$305,"Abierta")+COUNTIFS(Restricciones!$C$6:$C$305,IF(C356="CWP",B356,H356),Restricciones!$F$6:$F$305,"En gestión"))))</f>
        <v/>
      </c>
      <c r="S356" s="30">
        <f>IF(OR(B356="",M356=""),"",IF(O356&lt;&gt;"",MAX(0,O356-M356),IF(AND($B$3&gt;M356,K356&lt;&gt;"Cerrado"),$B$3-M356,0)))</f>
        <v/>
      </c>
      <c r="T356" s="31">
        <f>IF(B356="","",IF(K356="Cerrado",IF(S356&gt;0,"Cerrado con atraso","Cerrado"),IF(S356&gt;0,"Atrasado",IF(AND(N356="",L356&lt;&gt;"",$B$3&gt;L356),"Inicio atrasado","En plazo"))))</f>
        <v/>
      </c>
      <c r="U356" s="26" t="n"/>
    </row>
    <row r="357">
      <c r="A357" s="24" t="n"/>
      <c r="B357" s="25" t="n"/>
      <c r="C357" s="25" t="n"/>
      <c r="D357" s="25" t="n"/>
      <c r="E357" s="26" t="n"/>
      <c r="F357" s="25" t="n"/>
      <c r="G357" s="25" t="n"/>
      <c r="H357" s="25" t="n"/>
      <c r="I357" s="25" t="n"/>
      <c r="J357" s="25" t="n"/>
      <c r="K357" s="25" t="n"/>
      <c r="L357" s="27" t="n"/>
      <c r="M357" s="27" t="n"/>
      <c r="N357" s="27" t="n"/>
      <c r="O357" s="27" t="n"/>
      <c r="P357" s="28" t="n"/>
      <c r="Q357" s="29" t="n"/>
      <c r="R357" s="30">
        <f>IF(B357="","",IF(C357="IWP",COUNTIFS(Restricciones!$D$6:$D$305,B357,Restricciones!$F$6:$F$305,"Abierta")+COUNTIFS(Restricciones!$D$6:$D$305,B357,Restricciones!$F$6:$F$305,"En gestión"),IF(C357="CWA",COUNTIFS(Restricciones!$C$6:$C$305,"CWP-"&amp;MID(B357,5,4)&amp;"-*",Restricciones!$F$6:$F$305,"Abierta")+COUNTIFS(Restricciones!$C$6:$C$305,"CWP-"&amp;MID(B357,5,4)&amp;"-*",Restricciones!$F$6:$F$305,"En gestión"),COUNTIFS(Restricciones!$C$6:$C$305,IF(C357="CWP",B357,H357),Restricciones!$F$6:$F$305,"Abierta")+COUNTIFS(Restricciones!$C$6:$C$305,IF(C357="CWP",B357,H357),Restricciones!$F$6:$F$305,"En gestión"))))</f>
        <v/>
      </c>
      <c r="S357" s="30">
        <f>IF(OR(B357="",M357=""),"",IF(O357&lt;&gt;"",MAX(0,O357-M357),IF(AND($B$3&gt;M357,K357&lt;&gt;"Cerrado"),$B$3-M357,0)))</f>
        <v/>
      </c>
      <c r="T357" s="31">
        <f>IF(B357="","",IF(K357="Cerrado",IF(S357&gt;0,"Cerrado con atraso","Cerrado"),IF(S357&gt;0,"Atrasado",IF(AND(N357="",L357&lt;&gt;"",$B$3&gt;L357),"Inicio atrasado","En plazo"))))</f>
        <v/>
      </c>
      <c r="U357" s="26" t="n"/>
    </row>
    <row r="358">
      <c r="A358" s="24" t="n"/>
      <c r="B358" s="25" t="n"/>
      <c r="C358" s="25" t="n"/>
      <c r="D358" s="25" t="n"/>
      <c r="E358" s="26" t="n"/>
      <c r="F358" s="25" t="n"/>
      <c r="G358" s="25" t="n"/>
      <c r="H358" s="25" t="n"/>
      <c r="I358" s="25" t="n"/>
      <c r="J358" s="25" t="n"/>
      <c r="K358" s="25" t="n"/>
      <c r="L358" s="27" t="n"/>
      <c r="M358" s="27" t="n"/>
      <c r="N358" s="27" t="n"/>
      <c r="O358" s="27" t="n"/>
      <c r="P358" s="28" t="n"/>
      <c r="Q358" s="29" t="n"/>
      <c r="R358" s="30">
        <f>IF(B358="","",IF(C358="IWP",COUNTIFS(Restricciones!$D$6:$D$305,B358,Restricciones!$F$6:$F$305,"Abierta")+COUNTIFS(Restricciones!$D$6:$D$305,B358,Restricciones!$F$6:$F$305,"En gestión"),IF(C358="CWA",COUNTIFS(Restricciones!$C$6:$C$305,"CWP-"&amp;MID(B358,5,4)&amp;"-*",Restricciones!$F$6:$F$305,"Abierta")+COUNTIFS(Restricciones!$C$6:$C$305,"CWP-"&amp;MID(B358,5,4)&amp;"-*",Restricciones!$F$6:$F$305,"En gestión"),COUNTIFS(Restricciones!$C$6:$C$305,IF(C358="CWP",B358,H358),Restricciones!$F$6:$F$305,"Abierta")+COUNTIFS(Restricciones!$C$6:$C$305,IF(C358="CWP",B358,H358),Restricciones!$F$6:$F$305,"En gestión"))))</f>
        <v/>
      </c>
      <c r="S358" s="30">
        <f>IF(OR(B358="",M358=""),"",IF(O358&lt;&gt;"",MAX(0,O358-M358),IF(AND($B$3&gt;M358,K358&lt;&gt;"Cerrado"),$B$3-M358,0)))</f>
        <v/>
      </c>
      <c r="T358" s="31">
        <f>IF(B358="","",IF(K358="Cerrado",IF(S358&gt;0,"Cerrado con atraso","Cerrado"),IF(S358&gt;0,"Atrasado",IF(AND(N358="",L358&lt;&gt;"",$B$3&gt;L358),"Inicio atrasado","En plazo"))))</f>
        <v/>
      </c>
      <c r="U358" s="26" t="n"/>
    </row>
    <row r="359">
      <c r="A359" s="24" t="n"/>
      <c r="B359" s="25" t="n"/>
      <c r="C359" s="25" t="n"/>
      <c r="D359" s="25" t="n"/>
      <c r="E359" s="26" t="n"/>
      <c r="F359" s="25" t="n"/>
      <c r="G359" s="25" t="n"/>
      <c r="H359" s="25" t="n"/>
      <c r="I359" s="25" t="n"/>
      <c r="J359" s="25" t="n"/>
      <c r="K359" s="25" t="n"/>
      <c r="L359" s="27" t="n"/>
      <c r="M359" s="27" t="n"/>
      <c r="N359" s="27" t="n"/>
      <c r="O359" s="27" t="n"/>
      <c r="P359" s="28" t="n"/>
      <c r="Q359" s="29" t="n"/>
      <c r="R359" s="30">
        <f>IF(B359="","",IF(C359="IWP",COUNTIFS(Restricciones!$D$6:$D$305,B359,Restricciones!$F$6:$F$305,"Abierta")+COUNTIFS(Restricciones!$D$6:$D$305,B359,Restricciones!$F$6:$F$305,"En gestión"),IF(C359="CWA",COUNTIFS(Restricciones!$C$6:$C$305,"CWP-"&amp;MID(B359,5,4)&amp;"-*",Restricciones!$F$6:$F$305,"Abierta")+COUNTIFS(Restricciones!$C$6:$C$305,"CWP-"&amp;MID(B359,5,4)&amp;"-*",Restricciones!$F$6:$F$305,"En gestión"),COUNTIFS(Restricciones!$C$6:$C$305,IF(C359="CWP",B359,H359),Restricciones!$F$6:$F$305,"Abierta")+COUNTIFS(Restricciones!$C$6:$C$305,IF(C359="CWP",B359,H359),Restricciones!$F$6:$F$305,"En gestión"))))</f>
        <v/>
      </c>
      <c r="S359" s="30">
        <f>IF(OR(B359="",M359=""),"",IF(O359&lt;&gt;"",MAX(0,O359-M359),IF(AND($B$3&gt;M359,K359&lt;&gt;"Cerrado"),$B$3-M359,0)))</f>
        <v/>
      </c>
      <c r="T359" s="31">
        <f>IF(B359="","",IF(K359="Cerrado",IF(S359&gt;0,"Cerrado con atraso","Cerrado"),IF(S359&gt;0,"Atrasado",IF(AND(N359="",L359&lt;&gt;"",$B$3&gt;L359),"Inicio atrasado","En plazo"))))</f>
        <v/>
      </c>
      <c r="U359" s="26" t="n"/>
    </row>
    <row r="360">
      <c r="A360" s="24" t="n"/>
      <c r="B360" s="25" t="n"/>
      <c r="C360" s="25" t="n"/>
      <c r="D360" s="25" t="n"/>
      <c r="E360" s="26" t="n"/>
      <c r="F360" s="25" t="n"/>
      <c r="G360" s="25" t="n"/>
      <c r="H360" s="25" t="n"/>
      <c r="I360" s="25" t="n"/>
      <c r="J360" s="25" t="n"/>
      <c r="K360" s="25" t="n"/>
      <c r="L360" s="27" t="n"/>
      <c r="M360" s="27" t="n"/>
      <c r="N360" s="27" t="n"/>
      <c r="O360" s="27" t="n"/>
      <c r="P360" s="28" t="n"/>
      <c r="Q360" s="29" t="n"/>
      <c r="R360" s="30">
        <f>IF(B360="","",IF(C360="IWP",COUNTIFS(Restricciones!$D$6:$D$305,B360,Restricciones!$F$6:$F$305,"Abierta")+COUNTIFS(Restricciones!$D$6:$D$305,B360,Restricciones!$F$6:$F$305,"En gestión"),IF(C360="CWA",COUNTIFS(Restricciones!$C$6:$C$305,"CWP-"&amp;MID(B360,5,4)&amp;"-*",Restricciones!$F$6:$F$305,"Abierta")+COUNTIFS(Restricciones!$C$6:$C$305,"CWP-"&amp;MID(B360,5,4)&amp;"-*",Restricciones!$F$6:$F$305,"En gestión"),COUNTIFS(Restricciones!$C$6:$C$305,IF(C360="CWP",B360,H360),Restricciones!$F$6:$F$305,"Abierta")+COUNTIFS(Restricciones!$C$6:$C$305,IF(C360="CWP",B360,H360),Restricciones!$F$6:$F$305,"En gestión"))))</f>
        <v/>
      </c>
      <c r="S360" s="30">
        <f>IF(OR(B360="",M360=""),"",IF(O360&lt;&gt;"",MAX(0,O360-M360),IF(AND($B$3&gt;M360,K360&lt;&gt;"Cerrado"),$B$3-M360,0)))</f>
        <v/>
      </c>
      <c r="T360" s="31">
        <f>IF(B360="","",IF(K360="Cerrado",IF(S360&gt;0,"Cerrado con atraso","Cerrado"),IF(S360&gt;0,"Atrasado",IF(AND(N360="",L360&lt;&gt;"",$B$3&gt;L360),"Inicio atrasado","En plazo"))))</f>
        <v/>
      </c>
      <c r="U360" s="26" t="n"/>
    </row>
    <row r="361">
      <c r="A361" s="24" t="n"/>
      <c r="B361" s="25" t="n"/>
      <c r="C361" s="25" t="n"/>
      <c r="D361" s="25" t="n"/>
      <c r="E361" s="26" t="n"/>
      <c r="F361" s="25" t="n"/>
      <c r="G361" s="25" t="n"/>
      <c r="H361" s="25" t="n"/>
      <c r="I361" s="25" t="n"/>
      <c r="J361" s="25" t="n"/>
      <c r="K361" s="25" t="n"/>
      <c r="L361" s="27" t="n"/>
      <c r="M361" s="27" t="n"/>
      <c r="N361" s="27" t="n"/>
      <c r="O361" s="27" t="n"/>
      <c r="P361" s="28" t="n"/>
      <c r="Q361" s="29" t="n"/>
      <c r="R361" s="30">
        <f>IF(B361="","",IF(C361="IWP",COUNTIFS(Restricciones!$D$6:$D$305,B361,Restricciones!$F$6:$F$305,"Abierta")+COUNTIFS(Restricciones!$D$6:$D$305,B361,Restricciones!$F$6:$F$305,"En gestión"),IF(C361="CWA",COUNTIFS(Restricciones!$C$6:$C$305,"CWP-"&amp;MID(B361,5,4)&amp;"-*",Restricciones!$F$6:$F$305,"Abierta")+COUNTIFS(Restricciones!$C$6:$C$305,"CWP-"&amp;MID(B361,5,4)&amp;"-*",Restricciones!$F$6:$F$305,"En gestión"),COUNTIFS(Restricciones!$C$6:$C$305,IF(C361="CWP",B361,H361),Restricciones!$F$6:$F$305,"Abierta")+COUNTIFS(Restricciones!$C$6:$C$305,IF(C361="CWP",B361,H361),Restricciones!$F$6:$F$305,"En gestión"))))</f>
        <v/>
      </c>
      <c r="S361" s="30">
        <f>IF(OR(B361="",M361=""),"",IF(O361&lt;&gt;"",MAX(0,O361-M361),IF(AND($B$3&gt;M361,K361&lt;&gt;"Cerrado"),$B$3-M361,0)))</f>
        <v/>
      </c>
      <c r="T361" s="31">
        <f>IF(B361="","",IF(K361="Cerrado",IF(S361&gt;0,"Cerrado con atraso","Cerrado"),IF(S361&gt;0,"Atrasado",IF(AND(N361="",L361&lt;&gt;"",$B$3&gt;L361),"Inicio atrasado","En plazo"))))</f>
        <v/>
      </c>
      <c r="U361" s="26" t="n"/>
    </row>
    <row r="362">
      <c r="A362" s="24" t="n"/>
      <c r="B362" s="25" t="n"/>
      <c r="C362" s="25" t="n"/>
      <c r="D362" s="25" t="n"/>
      <c r="E362" s="26" t="n"/>
      <c r="F362" s="25" t="n"/>
      <c r="G362" s="25" t="n"/>
      <c r="H362" s="25" t="n"/>
      <c r="I362" s="25" t="n"/>
      <c r="J362" s="25" t="n"/>
      <c r="K362" s="25" t="n"/>
      <c r="L362" s="27" t="n"/>
      <c r="M362" s="27" t="n"/>
      <c r="N362" s="27" t="n"/>
      <c r="O362" s="27" t="n"/>
      <c r="P362" s="28" t="n"/>
      <c r="Q362" s="29" t="n"/>
      <c r="R362" s="30">
        <f>IF(B362="","",IF(C362="IWP",COUNTIFS(Restricciones!$D$6:$D$305,B362,Restricciones!$F$6:$F$305,"Abierta")+COUNTIFS(Restricciones!$D$6:$D$305,B362,Restricciones!$F$6:$F$305,"En gestión"),IF(C362="CWA",COUNTIFS(Restricciones!$C$6:$C$305,"CWP-"&amp;MID(B362,5,4)&amp;"-*",Restricciones!$F$6:$F$305,"Abierta")+COUNTIFS(Restricciones!$C$6:$C$305,"CWP-"&amp;MID(B362,5,4)&amp;"-*",Restricciones!$F$6:$F$305,"En gestión"),COUNTIFS(Restricciones!$C$6:$C$305,IF(C362="CWP",B362,H362),Restricciones!$F$6:$F$305,"Abierta")+COUNTIFS(Restricciones!$C$6:$C$305,IF(C362="CWP",B362,H362),Restricciones!$F$6:$F$305,"En gestión"))))</f>
        <v/>
      </c>
      <c r="S362" s="30">
        <f>IF(OR(B362="",M362=""),"",IF(O362&lt;&gt;"",MAX(0,O362-M362),IF(AND($B$3&gt;M362,K362&lt;&gt;"Cerrado"),$B$3-M362,0)))</f>
        <v/>
      </c>
      <c r="T362" s="31">
        <f>IF(B362="","",IF(K362="Cerrado",IF(S362&gt;0,"Cerrado con atraso","Cerrado"),IF(S362&gt;0,"Atrasado",IF(AND(N362="",L362&lt;&gt;"",$B$3&gt;L362),"Inicio atrasado","En plazo"))))</f>
        <v/>
      </c>
      <c r="U362" s="26" t="n"/>
    </row>
    <row r="363">
      <c r="A363" s="24" t="n"/>
      <c r="B363" s="25" t="n"/>
      <c r="C363" s="25" t="n"/>
      <c r="D363" s="25" t="n"/>
      <c r="E363" s="26" t="n"/>
      <c r="F363" s="25" t="n"/>
      <c r="G363" s="25" t="n"/>
      <c r="H363" s="25" t="n"/>
      <c r="I363" s="25" t="n"/>
      <c r="J363" s="25" t="n"/>
      <c r="K363" s="25" t="n"/>
      <c r="L363" s="27" t="n"/>
      <c r="M363" s="27" t="n"/>
      <c r="N363" s="27" t="n"/>
      <c r="O363" s="27" t="n"/>
      <c r="P363" s="28" t="n"/>
      <c r="Q363" s="29" t="n"/>
      <c r="R363" s="30">
        <f>IF(B363="","",IF(C363="IWP",COUNTIFS(Restricciones!$D$6:$D$305,B363,Restricciones!$F$6:$F$305,"Abierta")+COUNTIFS(Restricciones!$D$6:$D$305,B363,Restricciones!$F$6:$F$305,"En gestión"),IF(C363="CWA",COUNTIFS(Restricciones!$C$6:$C$305,"CWP-"&amp;MID(B363,5,4)&amp;"-*",Restricciones!$F$6:$F$305,"Abierta")+COUNTIFS(Restricciones!$C$6:$C$305,"CWP-"&amp;MID(B363,5,4)&amp;"-*",Restricciones!$F$6:$F$305,"En gestión"),COUNTIFS(Restricciones!$C$6:$C$305,IF(C363="CWP",B363,H363),Restricciones!$F$6:$F$305,"Abierta")+COUNTIFS(Restricciones!$C$6:$C$305,IF(C363="CWP",B363,H363),Restricciones!$F$6:$F$305,"En gestión"))))</f>
        <v/>
      </c>
      <c r="S363" s="30">
        <f>IF(OR(B363="",M363=""),"",IF(O363&lt;&gt;"",MAX(0,O363-M363),IF(AND($B$3&gt;M363,K363&lt;&gt;"Cerrado"),$B$3-M363,0)))</f>
        <v/>
      </c>
      <c r="T363" s="31">
        <f>IF(B363="","",IF(K363="Cerrado",IF(S363&gt;0,"Cerrado con atraso","Cerrado"),IF(S363&gt;0,"Atrasado",IF(AND(N363="",L363&lt;&gt;"",$B$3&gt;L363),"Inicio atrasado","En plazo"))))</f>
        <v/>
      </c>
      <c r="U363" s="26" t="n"/>
    </row>
    <row r="364">
      <c r="A364" s="24" t="n"/>
      <c r="B364" s="25" t="n"/>
      <c r="C364" s="25" t="n"/>
      <c r="D364" s="25" t="n"/>
      <c r="E364" s="26" t="n"/>
      <c r="F364" s="25" t="n"/>
      <c r="G364" s="25" t="n"/>
      <c r="H364" s="25" t="n"/>
      <c r="I364" s="25" t="n"/>
      <c r="J364" s="25" t="n"/>
      <c r="K364" s="25" t="n"/>
      <c r="L364" s="27" t="n"/>
      <c r="M364" s="27" t="n"/>
      <c r="N364" s="27" t="n"/>
      <c r="O364" s="27" t="n"/>
      <c r="P364" s="28" t="n"/>
      <c r="Q364" s="29" t="n"/>
      <c r="R364" s="30">
        <f>IF(B364="","",IF(C364="IWP",COUNTIFS(Restricciones!$D$6:$D$305,B364,Restricciones!$F$6:$F$305,"Abierta")+COUNTIFS(Restricciones!$D$6:$D$305,B364,Restricciones!$F$6:$F$305,"En gestión"),IF(C364="CWA",COUNTIFS(Restricciones!$C$6:$C$305,"CWP-"&amp;MID(B364,5,4)&amp;"-*",Restricciones!$F$6:$F$305,"Abierta")+COUNTIFS(Restricciones!$C$6:$C$305,"CWP-"&amp;MID(B364,5,4)&amp;"-*",Restricciones!$F$6:$F$305,"En gestión"),COUNTIFS(Restricciones!$C$6:$C$305,IF(C364="CWP",B364,H364),Restricciones!$F$6:$F$305,"Abierta")+COUNTIFS(Restricciones!$C$6:$C$305,IF(C364="CWP",B364,H364),Restricciones!$F$6:$F$305,"En gestión"))))</f>
        <v/>
      </c>
      <c r="S364" s="30">
        <f>IF(OR(B364="",M364=""),"",IF(O364&lt;&gt;"",MAX(0,O364-M364),IF(AND($B$3&gt;M364,K364&lt;&gt;"Cerrado"),$B$3-M364,0)))</f>
        <v/>
      </c>
      <c r="T364" s="31">
        <f>IF(B364="","",IF(K364="Cerrado",IF(S364&gt;0,"Cerrado con atraso","Cerrado"),IF(S364&gt;0,"Atrasado",IF(AND(N364="",L364&lt;&gt;"",$B$3&gt;L364),"Inicio atrasado","En plazo"))))</f>
        <v/>
      </c>
      <c r="U364" s="26" t="n"/>
    </row>
    <row r="365">
      <c r="A365" s="24" t="n"/>
      <c r="B365" s="25" t="n"/>
      <c r="C365" s="25" t="n"/>
      <c r="D365" s="25" t="n"/>
      <c r="E365" s="26" t="n"/>
      <c r="F365" s="25" t="n"/>
      <c r="G365" s="25" t="n"/>
      <c r="H365" s="25" t="n"/>
      <c r="I365" s="25" t="n"/>
      <c r="J365" s="25" t="n"/>
      <c r="K365" s="25" t="n"/>
      <c r="L365" s="27" t="n"/>
      <c r="M365" s="27" t="n"/>
      <c r="N365" s="27" t="n"/>
      <c r="O365" s="27" t="n"/>
      <c r="P365" s="28" t="n"/>
      <c r="Q365" s="29" t="n"/>
      <c r="R365" s="30">
        <f>IF(B365="","",IF(C365="IWP",COUNTIFS(Restricciones!$D$6:$D$305,B365,Restricciones!$F$6:$F$305,"Abierta")+COUNTIFS(Restricciones!$D$6:$D$305,B365,Restricciones!$F$6:$F$305,"En gestión"),IF(C365="CWA",COUNTIFS(Restricciones!$C$6:$C$305,"CWP-"&amp;MID(B365,5,4)&amp;"-*",Restricciones!$F$6:$F$305,"Abierta")+COUNTIFS(Restricciones!$C$6:$C$305,"CWP-"&amp;MID(B365,5,4)&amp;"-*",Restricciones!$F$6:$F$305,"En gestión"),COUNTIFS(Restricciones!$C$6:$C$305,IF(C365="CWP",B365,H365),Restricciones!$F$6:$F$305,"Abierta")+COUNTIFS(Restricciones!$C$6:$C$305,IF(C365="CWP",B365,H365),Restricciones!$F$6:$F$305,"En gestión"))))</f>
        <v/>
      </c>
      <c r="S365" s="30">
        <f>IF(OR(B365="",M365=""),"",IF(O365&lt;&gt;"",MAX(0,O365-M365),IF(AND($B$3&gt;M365,K365&lt;&gt;"Cerrado"),$B$3-M365,0)))</f>
        <v/>
      </c>
      <c r="T365" s="31">
        <f>IF(B365="","",IF(K365="Cerrado",IF(S365&gt;0,"Cerrado con atraso","Cerrado"),IF(S365&gt;0,"Atrasado",IF(AND(N365="",L365&lt;&gt;"",$B$3&gt;L365),"Inicio atrasado","En plazo"))))</f>
        <v/>
      </c>
      <c r="U365" s="26" t="n"/>
    </row>
    <row r="366">
      <c r="A366" s="24" t="n"/>
      <c r="B366" s="25" t="n"/>
      <c r="C366" s="25" t="n"/>
      <c r="D366" s="25" t="n"/>
      <c r="E366" s="26" t="n"/>
      <c r="F366" s="25" t="n"/>
      <c r="G366" s="25" t="n"/>
      <c r="H366" s="25" t="n"/>
      <c r="I366" s="25" t="n"/>
      <c r="J366" s="25" t="n"/>
      <c r="K366" s="25" t="n"/>
      <c r="L366" s="27" t="n"/>
      <c r="M366" s="27" t="n"/>
      <c r="N366" s="27" t="n"/>
      <c r="O366" s="27" t="n"/>
      <c r="P366" s="28" t="n"/>
      <c r="Q366" s="29" t="n"/>
      <c r="R366" s="30">
        <f>IF(B366="","",IF(C366="IWP",COUNTIFS(Restricciones!$D$6:$D$305,B366,Restricciones!$F$6:$F$305,"Abierta")+COUNTIFS(Restricciones!$D$6:$D$305,B366,Restricciones!$F$6:$F$305,"En gestión"),IF(C366="CWA",COUNTIFS(Restricciones!$C$6:$C$305,"CWP-"&amp;MID(B366,5,4)&amp;"-*",Restricciones!$F$6:$F$305,"Abierta")+COUNTIFS(Restricciones!$C$6:$C$305,"CWP-"&amp;MID(B366,5,4)&amp;"-*",Restricciones!$F$6:$F$305,"En gestión"),COUNTIFS(Restricciones!$C$6:$C$305,IF(C366="CWP",B366,H366),Restricciones!$F$6:$F$305,"Abierta")+COUNTIFS(Restricciones!$C$6:$C$305,IF(C366="CWP",B366,H366),Restricciones!$F$6:$F$305,"En gestión"))))</f>
        <v/>
      </c>
      <c r="S366" s="30">
        <f>IF(OR(B366="",M366=""),"",IF(O366&lt;&gt;"",MAX(0,O366-M366),IF(AND($B$3&gt;M366,K366&lt;&gt;"Cerrado"),$B$3-M366,0)))</f>
        <v/>
      </c>
      <c r="T366" s="31">
        <f>IF(B366="","",IF(K366="Cerrado",IF(S366&gt;0,"Cerrado con atraso","Cerrado"),IF(S366&gt;0,"Atrasado",IF(AND(N366="",L366&lt;&gt;"",$B$3&gt;L366),"Inicio atrasado","En plazo"))))</f>
        <v/>
      </c>
      <c r="U366" s="26" t="n"/>
    </row>
    <row r="367">
      <c r="A367" s="24" t="n"/>
      <c r="B367" s="25" t="n"/>
      <c r="C367" s="25" t="n"/>
      <c r="D367" s="25" t="n"/>
      <c r="E367" s="26" t="n"/>
      <c r="F367" s="25" t="n"/>
      <c r="G367" s="25" t="n"/>
      <c r="H367" s="25" t="n"/>
      <c r="I367" s="25" t="n"/>
      <c r="J367" s="25" t="n"/>
      <c r="K367" s="25" t="n"/>
      <c r="L367" s="27" t="n"/>
      <c r="M367" s="27" t="n"/>
      <c r="N367" s="27" t="n"/>
      <c r="O367" s="27" t="n"/>
      <c r="P367" s="28" t="n"/>
      <c r="Q367" s="29" t="n"/>
      <c r="R367" s="30">
        <f>IF(B367="","",IF(C367="IWP",COUNTIFS(Restricciones!$D$6:$D$305,B367,Restricciones!$F$6:$F$305,"Abierta")+COUNTIFS(Restricciones!$D$6:$D$305,B367,Restricciones!$F$6:$F$305,"En gestión"),IF(C367="CWA",COUNTIFS(Restricciones!$C$6:$C$305,"CWP-"&amp;MID(B367,5,4)&amp;"-*",Restricciones!$F$6:$F$305,"Abierta")+COUNTIFS(Restricciones!$C$6:$C$305,"CWP-"&amp;MID(B367,5,4)&amp;"-*",Restricciones!$F$6:$F$305,"En gestión"),COUNTIFS(Restricciones!$C$6:$C$305,IF(C367="CWP",B367,H367),Restricciones!$F$6:$F$305,"Abierta")+COUNTIFS(Restricciones!$C$6:$C$305,IF(C367="CWP",B367,H367),Restricciones!$F$6:$F$305,"En gestión"))))</f>
        <v/>
      </c>
      <c r="S367" s="30">
        <f>IF(OR(B367="",M367=""),"",IF(O367&lt;&gt;"",MAX(0,O367-M367),IF(AND($B$3&gt;M367,K367&lt;&gt;"Cerrado"),$B$3-M367,0)))</f>
        <v/>
      </c>
      <c r="T367" s="31">
        <f>IF(B367="","",IF(K367="Cerrado",IF(S367&gt;0,"Cerrado con atraso","Cerrado"),IF(S367&gt;0,"Atrasado",IF(AND(N367="",L367&lt;&gt;"",$B$3&gt;L367),"Inicio atrasado","En plazo"))))</f>
        <v/>
      </c>
      <c r="U367" s="26" t="n"/>
    </row>
    <row r="368">
      <c r="A368" s="24" t="n"/>
      <c r="B368" s="25" t="n"/>
      <c r="C368" s="25" t="n"/>
      <c r="D368" s="25" t="n"/>
      <c r="E368" s="26" t="n"/>
      <c r="F368" s="25" t="n"/>
      <c r="G368" s="25" t="n"/>
      <c r="H368" s="25" t="n"/>
      <c r="I368" s="25" t="n"/>
      <c r="J368" s="25" t="n"/>
      <c r="K368" s="25" t="n"/>
      <c r="L368" s="27" t="n"/>
      <c r="M368" s="27" t="n"/>
      <c r="N368" s="27" t="n"/>
      <c r="O368" s="27" t="n"/>
      <c r="P368" s="28" t="n"/>
      <c r="Q368" s="29" t="n"/>
      <c r="R368" s="30">
        <f>IF(B368="","",IF(C368="IWP",COUNTIFS(Restricciones!$D$6:$D$305,B368,Restricciones!$F$6:$F$305,"Abierta")+COUNTIFS(Restricciones!$D$6:$D$305,B368,Restricciones!$F$6:$F$305,"En gestión"),IF(C368="CWA",COUNTIFS(Restricciones!$C$6:$C$305,"CWP-"&amp;MID(B368,5,4)&amp;"-*",Restricciones!$F$6:$F$305,"Abierta")+COUNTIFS(Restricciones!$C$6:$C$305,"CWP-"&amp;MID(B368,5,4)&amp;"-*",Restricciones!$F$6:$F$305,"En gestión"),COUNTIFS(Restricciones!$C$6:$C$305,IF(C368="CWP",B368,H368),Restricciones!$F$6:$F$305,"Abierta")+COUNTIFS(Restricciones!$C$6:$C$305,IF(C368="CWP",B368,H368),Restricciones!$F$6:$F$305,"En gestión"))))</f>
        <v/>
      </c>
      <c r="S368" s="30">
        <f>IF(OR(B368="",M368=""),"",IF(O368&lt;&gt;"",MAX(0,O368-M368),IF(AND($B$3&gt;M368,K368&lt;&gt;"Cerrado"),$B$3-M368,0)))</f>
        <v/>
      </c>
      <c r="T368" s="31">
        <f>IF(B368="","",IF(K368="Cerrado",IF(S368&gt;0,"Cerrado con atraso","Cerrado"),IF(S368&gt;0,"Atrasado",IF(AND(N368="",L368&lt;&gt;"",$B$3&gt;L368),"Inicio atrasado","En plazo"))))</f>
        <v/>
      </c>
      <c r="U368" s="26" t="n"/>
    </row>
    <row r="369">
      <c r="A369" s="24" t="n"/>
      <c r="B369" s="25" t="n"/>
      <c r="C369" s="25" t="n"/>
      <c r="D369" s="25" t="n"/>
      <c r="E369" s="26" t="n"/>
      <c r="F369" s="25" t="n"/>
      <c r="G369" s="25" t="n"/>
      <c r="H369" s="25" t="n"/>
      <c r="I369" s="25" t="n"/>
      <c r="J369" s="25" t="n"/>
      <c r="K369" s="25" t="n"/>
      <c r="L369" s="27" t="n"/>
      <c r="M369" s="27" t="n"/>
      <c r="N369" s="27" t="n"/>
      <c r="O369" s="27" t="n"/>
      <c r="P369" s="28" t="n"/>
      <c r="Q369" s="29" t="n"/>
      <c r="R369" s="30">
        <f>IF(B369="","",IF(C369="IWP",COUNTIFS(Restricciones!$D$6:$D$305,B369,Restricciones!$F$6:$F$305,"Abierta")+COUNTIFS(Restricciones!$D$6:$D$305,B369,Restricciones!$F$6:$F$305,"En gestión"),IF(C369="CWA",COUNTIFS(Restricciones!$C$6:$C$305,"CWP-"&amp;MID(B369,5,4)&amp;"-*",Restricciones!$F$6:$F$305,"Abierta")+COUNTIFS(Restricciones!$C$6:$C$305,"CWP-"&amp;MID(B369,5,4)&amp;"-*",Restricciones!$F$6:$F$305,"En gestión"),COUNTIFS(Restricciones!$C$6:$C$305,IF(C369="CWP",B369,H369),Restricciones!$F$6:$F$305,"Abierta")+COUNTIFS(Restricciones!$C$6:$C$305,IF(C369="CWP",B369,H369),Restricciones!$F$6:$F$305,"En gestión"))))</f>
        <v/>
      </c>
      <c r="S369" s="30">
        <f>IF(OR(B369="",M369=""),"",IF(O369&lt;&gt;"",MAX(0,O369-M369),IF(AND($B$3&gt;M369,K369&lt;&gt;"Cerrado"),$B$3-M369,0)))</f>
        <v/>
      </c>
      <c r="T369" s="31">
        <f>IF(B369="","",IF(K369="Cerrado",IF(S369&gt;0,"Cerrado con atraso","Cerrado"),IF(S369&gt;0,"Atrasado",IF(AND(N369="",L369&lt;&gt;"",$B$3&gt;L369),"Inicio atrasado","En plazo"))))</f>
        <v/>
      </c>
      <c r="U369" s="26" t="n"/>
    </row>
    <row r="370">
      <c r="A370" s="24" t="n"/>
      <c r="B370" s="25" t="n"/>
      <c r="C370" s="25" t="n"/>
      <c r="D370" s="25" t="n"/>
      <c r="E370" s="26" t="n"/>
      <c r="F370" s="25" t="n"/>
      <c r="G370" s="25" t="n"/>
      <c r="H370" s="25" t="n"/>
      <c r="I370" s="25" t="n"/>
      <c r="J370" s="25" t="n"/>
      <c r="K370" s="25" t="n"/>
      <c r="L370" s="27" t="n"/>
      <c r="M370" s="27" t="n"/>
      <c r="N370" s="27" t="n"/>
      <c r="O370" s="27" t="n"/>
      <c r="P370" s="28" t="n"/>
      <c r="Q370" s="29" t="n"/>
      <c r="R370" s="30">
        <f>IF(B370="","",IF(C370="IWP",COUNTIFS(Restricciones!$D$6:$D$305,B370,Restricciones!$F$6:$F$305,"Abierta")+COUNTIFS(Restricciones!$D$6:$D$305,B370,Restricciones!$F$6:$F$305,"En gestión"),IF(C370="CWA",COUNTIFS(Restricciones!$C$6:$C$305,"CWP-"&amp;MID(B370,5,4)&amp;"-*",Restricciones!$F$6:$F$305,"Abierta")+COUNTIFS(Restricciones!$C$6:$C$305,"CWP-"&amp;MID(B370,5,4)&amp;"-*",Restricciones!$F$6:$F$305,"En gestión"),COUNTIFS(Restricciones!$C$6:$C$305,IF(C370="CWP",B370,H370),Restricciones!$F$6:$F$305,"Abierta")+COUNTIFS(Restricciones!$C$6:$C$305,IF(C370="CWP",B370,H370),Restricciones!$F$6:$F$305,"En gestión"))))</f>
        <v/>
      </c>
      <c r="S370" s="30">
        <f>IF(OR(B370="",M370=""),"",IF(O370&lt;&gt;"",MAX(0,O370-M370),IF(AND($B$3&gt;M370,K370&lt;&gt;"Cerrado"),$B$3-M370,0)))</f>
        <v/>
      </c>
      <c r="T370" s="31">
        <f>IF(B370="","",IF(K370="Cerrado",IF(S370&gt;0,"Cerrado con atraso","Cerrado"),IF(S370&gt;0,"Atrasado",IF(AND(N370="",L370&lt;&gt;"",$B$3&gt;L370),"Inicio atrasado","En plazo"))))</f>
        <v/>
      </c>
      <c r="U370" s="26" t="n"/>
    </row>
    <row r="371">
      <c r="A371" s="24" t="n"/>
      <c r="B371" s="25" t="n"/>
      <c r="C371" s="25" t="n"/>
      <c r="D371" s="25" t="n"/>
      <c r="E371" s="26" t="n"/>
      <c r="F371" s="25" t="n"/>
      <c r="G371" s="25" t="n"/>
      <c r="H371" s="25" t="n"/>
      <c r="I371" s="25" t="n"/>
      <c r="J371" s="25" t="n"/>
      <c r="K371" s="25" t="n"/>
      <c r="L371" s="27" t="n"/>
      <c r="M371" s="27" t="n"/>
      <c r="N371" s="27" t="n"/>
      <c r="O371" s="27" t="n"/>
      <c r="P371" s="28" t="n"/>
      <c r="Q371" s="29" t="n"/>
      <c r="R371" s="30">
        <f>IF(B371="","",IF(C371="IWP",COUNTIFS(Restricciones!$D$6:$D$305,B371,Restricciones!$F$6:$F$305,"Abierta")+COUNTIFS(Restricciones!$D$6:$D$305,B371,Restricciones!$F$6:$F$305,"En gestión"),IF(C371="CWA",COUNTIFS(Restricciones!$C$6:$C$305,"CWP-"&amp;MID(B371,5,4)&amp;"-*",Restricciones!$F$6:$F$305,"Abierta")+COUNTIFS(Restricciones!$C$6:$C$305,"CWP-"&amp;MID(B371,5,4)&amp;"-*",Restricciones!$F$6:$F$305,"En gestión"),COUNTIFS(Restricciones!$C$6:$C$305,IF(C371="CWP",B371,H371),Restricciones!$F$6:$F$305,"Abierta")+COUNTIFS(Restricciones!$C$6:$C$305,IF(C371="CWP",B371,H371),Restricciones!$F$6:$F$305,"En gestión"))))</f>
        <v/>
      </c>
      <c r="S371" s="30">
        <f>IF(OR(B371="",M371=""),"",IF(O371&lt;&gt;"",MAX(0,O371-M371),IF(AND($B$3&gt;M371,K371&lt;&gt;"Cerrado"),$B$3-M371,0)))</f>
        <v/>
      </c>
      <c r="T371" s="31">
        <f>IF(B371="","",IF(K371="Cerrado",IF(S371&gt;0,"Cerrado con atraso","Cerrado"),IF(S371&gt;0,"Atrasado",IF(AND(N371="",L371&lt;&gt;"",$B$3&gt;L371),"Inicio atrasado","En plazo"))))</f>
        <v/>
      </c>
      <c r="U371" s="26" t="n"/>
    </row>
    <row r="372">
      <c r="A372" s="24" t="n"/>
      <c r="B372" s="25" t="n"/>
      <c r="C372" s="25" t="n"/>
      <c r="D372" s="25" t="n"/>
      <c r="E372" s="26" t="n"/>
      <c r="F372" s="25" t="n"/>
      <c r="G372" s="25" t="n"/>
      <c r="H372" s="25" t="n"/>
      <c r="I372" s="25" t="n"/>
      <c r="J372" s="25" t="n"/>
      <c r="K372" s="25" t="n"/>
      <c r="L372" s="27" t="n"/>
      <c r="M372" s="27" t="n"/>
      <c r="N372" s="27" t="n"/>
      <c r="O372" s="27" t="n"/>
      <c r="P372" s="28" t="n"/>
      <c r="Q372" s="29" t="n"/>
      <c r="R372" s="30">
        <f>IF(B372="","",IF(C372="IWP",COUNTIFS(Restricciones!$D$6:$D$305,B372,Restricciones!$F$6:$F$305,"Abierta")+COUNTIFS(Restricciones!$D$6:$D$305,B372,Restricciones!$F$6:$F$305,"En gestión"),IF(C372="CWA",COUNTIFS(Restricciones!$C$6:$C$305,"CWP-"&amp;MID(B372,5,4)&amp;"-*",Restricciones!$F$6:$F$305,"Abierta")+COUNTIFS(Restricciones!$C$6:$C$305,"CWP-"&amp;MID(B372,5,4)&amp;"-*",Restricciones!$F$6:$F$305,"En gestión"),COUNTIFS(Restricciones!$C$6:$C$305,IF(C372="CWP",B372,H372),Restricciones!$F$6:$F$305,"Abierta")+COUNTIFS(Restricciones!$C$6:$C$305,IF(C372="CWP",B372,H372),Restricciones!$F$6:$F$305,"En gestión"))))</f>
        <v/>
      </c>
      <c r="S372" s="30">
        <f>IF(OR(B372="",M372=""),"",IF(O372&lt;&gt;"",MAX(0,O372-M372),IF(AND($B$3&gt;M372,K372&lt;&gt;"Cerrado"),$B$3-M372,0)))</f>
        <v/>
      </c>
      <c r="T372" s="31">
        <f>IF(B372="","",IF(K372="Cerrado",IF(S372&gt;0,"Cerrado con atraso","Cerrado"),IF(S372&gt;0,"Atrasado",IF(AND(N372="",L372&lt;&gt;"",$B$3&gt;L372),"Inicio atrasado","En plazo"))))</f>
        <v/>
      </c>
      <c r="U372" s="26" t="n"/>
    </row>
    <row r="373">
      <c r="A373" s="24" t="n"/>
      <c r="B373" s="25" t="n"/>
      <c r="C373" s="25" t="n"/>
      <c r="D373" s="25" t="n"/>
      <c r="E373" s="26" t="n"/>
      <c r="F373" s="25" t="n"/>
      <c r="G373" s="25" t="n"/>
      <c r="H373" s="25" t="n"/>
      <c r="I373" s="25" t="n"/>
      <c r="J373" s="25" t="n"/>
      <c r="K373" s="25" t="n"/>
      <c r="L373" s="27" t="n"/>
      <c r="M373" s="27" t="n"/>
      <c r="N373" s="27" t="n"/>
      <c r="O373" s="27" t="n"/>
      <c r="P373" s="28" t="n"/>
      <c r="Q373" s="29" t="n"/>
      <c r="R373" s="30">
        <f>IF(B373="","",IF(C373="IWP",COUNTIFS(Restricciones!$D$6:$D$305,B373,Restricciones!$F$6:$F$305,"Abierta")+COUNTIFS(Restricciones!$D$6:$D$305,B373,Restricciones!$F$6:$F$305,"En gestión"),IF(C373="CWA",COUNTIFS(Restricciones!$C$6:$C$305,"CWP-"&amp;MID(B373,5,4)&amp;"-*",Restricciones!$F$6:$F$305,"Abierta")+COUNTIFS(Restricciones!$C$6:$C$305,"CWP-"&amp;MID(B373,5,4)&amp;"-*",Restricciones!$F$6:$F$305,"En gestión"),COUNTIFS(Restricciones!$C$6:$C$305,IF(C373="CWP",B373,H373),Restricciones!$F$6:$F$305,"Abierta")+COUNTIFS(Restricciones!$C$6:$C$305,IF(C373="CWP",B373,H373),Restricciones!$F$6:$F$305,"En gestión"))))</f>
        <v/>
      </c>
      <c r="S373" s="30">
        <f>IF(OR(B373="",M373=""),"",IF(O373&lt;&gt;"",MAX(0,O373-M373),IF(AND($B$3&gt;M373,K373&lt;&gt;"Cerrado"),$B$3-M373,0)))</f>
        <v/>
      </c>
      <c r="T373" s="31">
        <f>IF(B373="","",IF(K373="Cerrado",IF(S373&gt;0,"Cerrado con atraso","Cerrado"),IF(S373&gt;0,"Atrasado",IF(AND(N373="",L373&lt;&gt;"",$B$3&gt;L373),"Inicio atrasado","En plazo"))))</f>
        <v/>
      </c>
      <c r="U373" s="26" t="n"/>
    </row>
    <row r="374">
      <c r="A374" s="24" t="n"/>
      <c r="B374" s="25" t="n"/>
      <c r="C374" s="25" t="n"/>
      <c r="D374" s="25" t="n"/>
      <c r="E374" s="26" t="n"/>
      <c r="F374" s="25" t="n"/>
      <c r="G374" s="25" t="n"/>
      <c r="H374" s="25" t="n"/>
      <c r="I374" s="25" t="n"/>
      <c r="J374" s="25" t="n"/>
      <c r="K374" s="25" t="n"/>
      <c r="L374" s="27" t="n"/>
      <c r="M374" s="27" t="n"/>
      <c r="N374" s="27" t="n"/>
      <c r="O374" s="27" t="n"/>
      <c r="P374" s="28" t="n"/>
      <c r="Q374" s="29" t="n"/>
      <c r="R374" s="30">
        <f>IF(B374="","",IF(C374="IWP",COUNTIFS(Restricciones!$D$6:$D$305,B374,Restricciones!$F$6:$F$305,"Abierta")+COUNTIFS(Restricciones!$D$6:$D$305,B374,Restricciones!$F$6:$F$305,"En gestión"),IF(C374="CWA",COUNTIFS(Restricciones!$C$6:$C$305,"CWP-"&amp;MID(B374,5,4)&amp;"-*",Restricciones!$F$6:$F$305,"Abierta")+COUNTIFS(Restricciones!$C$6:$C$305,"CWP-"&amp;MID(B374,5,4)&amp;"-*",Restricciones!$F$6:$F$305,"En gestión"),COUNTIFS(Restricciones!$C$6:$C$305,IF(C374="CWP",B374,H374),Restricciones!$F$6:$F$305,"Abierta")+COUNTIFS(Restricciones!$C$6:$C$305,IF(C374="CWP",B374,H374),Restricciones!$F$6:$F$305,"En gestión"))))</f>
        <v/>
      </c>
      <c r="S374" s="30">
        <f>IF(OR(B374="",M374=""),"",IF(O374&lt;&gt;"",MAX(0,O374-M374),IF(AND($B$3&gt;M374,K374&lt;&gt;"Cerrado"),$B$3-M374,0)))</f>
        <v/>
      </c>
      <c r="T374" s="31">
        <f>IF(B374="","",IF(K374="Cerrado",IF(S374&gt;0,"Cerrado con atraso","Cerrado"),IF(S374&gt;0,"Atrasado",IF(AND(N374="",L374&lt;&gt;"",$B$3&gt;L374),"Inicio atrasado","En plazo"))))</f>
        <v/>
      </c>
      <c r="U374" s="26" t="n"/>
    </row>
    <row r="375">
      <c r="A375" s="24" t="n"/>
      <c r="B375" s="25" t="n"/>
      <c r="C375" s="25" t="n"/>
      <c r="D375" s="25" t="n"/>
      <c r="E375" s="26" t="n"/>
      <c r="F375" s="25" t="n"/>
      <c r="G375" s="25" t="n"/>
      <c r="H375" s="25" t="n"/>
      <c r="I375" s="25" t="n"/>
      <c r="J375" s="25" t="n"/>
      <c r="K375" s="25" t="n"/>
      <c r="L375" s="27" t="n"/>
      <c r="M375" s="27" t="n"/>
      <c r="N375" s="27" t="n"/>
      <c r="O375" s="27" t="n"/>
      <c r="P375" s="28" t="n"/>
      <c r="Q375" s="29" t="n"/>
      <c r="R375" s="30">
        <f>IF(B375="","",IF(C375="IWP",COUNTIFS(Restricciones!$D$6:$D$305,B375,Restricciones!$F$6:$F$305,"Abierta")+COUNTIFS(Restricciones!$D$6:$D$305,B375,Restricciones!$F$6:$F$305,"En gestión"),IF(C375="CWA",COUNTIFS(Restricciones!$C$6:$C$305,"CWP-"&amp;MID(B375,5,4)&amp;"-*",Restricciones!$F$6:$F$305,"Abierta")+COUNTIFS(Restricciones!$C$6:$C$305,"CWP-"&amp;MID(B375,5,4)&amp;"-*",Restricciones!$F$6:$F$305,"En gestión"),COUNTIFS(Restricciones!$C$6:$C$305,IF(C375="CWP",B375,H375),Restricciones!$F$6:$F$305,"Abierta")+COUNTIFS(Restricciones!$C$6:$C$305,IF(C375="CWP",B375,H375),Restricciones!$F$6:$F$305,"En gestión"))))</f>
        <v/>
      </c>
      <c r="S375" s="30">
        <f>IF(OR(B375="",M375=""),"",IF(O375&lt;&gt;"",MAX(0,O375-M375),IF(AND($B$3&gt;M375,K375&lt;&gt;"Cerrado"),$B$3-M375,0)))</f>
        <v/>
      </c>
      <c r="T375" s="31">
        <f>IF(B375="","",IF(K375="Cerrado",IF(S375&gt;0,"Cerrado con atraso","Cerrado"),IF(S375&gt;0,"Atrasado",IF(AND(N375="",L375&lt;&gt;"",$B$3&gt;L375),"Inicio atrasado","En plazo"))))</f>
        <v/>
      </c>
      <c r="U375" s="26" t="n"/>
    </row>
    <row r="376">
      <c r="A376" s="24" t="n"/>
      <c r="B376" s="25" t="n"/>
      <c r="C376" s="25" t="n"/>
      <c r="D376" s="25" t="n"/>
      <c r="E376" s="26" t="n"/>
      <c r="F376" s="25" t="n"/>
      <c r="G376" s="25" t="n"/>
      <c r="H376" s="25" t="n"/>
      <c r="I376" s="25" t="n"/>
      <c r="J376" s="25" t="n"/>
      <c r="K376" s="25" t="n"/>
      <c r="L376" s="27" t="n"/>
      <c r="M376" s="27" t="n"/>
      <c r="N376" s="27" t="n"/>
      <c r="O376" s="27" t="n"/>
      <c r="P376" s="28" t="n"/>
      <c r="Q376" s="29" t="n"/>
      <c r="R376" s="30">
        <f>IF(B376="","",IF(C376="IWP",COUNTIFS(Restricciones!$D$6:$D$305,B376,Restricciones!$F$6:$F$305,"Abierta")+COUNTIFS(Restricciones!$D$6:$D$305,B376,Restricciones!$F$6:$F$305,"En gestión"),IF(C376="CWA",COUNTIFS(Restricciones!$C$6:$C$305,"CWP-"&amp;MID(B376,5,4)&amp;"-*",Restricciones!$F$6:$F$305,"Abierta")+COUNTIFS(Restricciones!$C$6:$C$305,"CWP-"&amp;MID(B376,5,4)&amp;"-*",Restricciones!$F$6:$F$305,"En gestión"),COUNTIFS(Restricciones!$C$6:$C$305,IF(C376="CWP",B376,H376),Restricciones!$F$6:$F$305,"Abierta")+COUNTIFS(Restricciones!$C$6:$C$305,IF(C376="CWP",B376,H376),Restricciones!$F$6:$F$305,"En gestión"))))</f>
        <v/>
      </c>
      <c r="S376" s="30">
        <f>IF(OR(B376="",M376=""),"",IF(O376&lt;&gt;"",MAX(0,O376-M376),IF(AND($B$3&gt;M376,K376&lt;&gt;"Cerrado"),$B$3-M376,0)))</f>
        <v/>
      </c>
      <c r="T376" s="31">
        <f>IF(B376="","",IF(K376="Cerrado",IF(S376&gt;0,"Cerrado con atraso","Cerrado"),IF(S376&gt;0,"Atrasado",IF(AND(N376="",L376&lt;&gt;"",$B$3&gt;L376),"Inicio atrasado","En plazo"))))</f>
        <v/>
      </c>
      <c r="U376" s="26" t="n"/>
    </row>
    <row r="377">
      <c r="A377" s="24" t="n"/>
      <c r="B377" s="25" t="n"/>
      <c r="C377" s="25" t="n"/>
      <c r="D377" s="25" t="n"/>
      <c r="E377" s="26" t="n"/>
      <c r="F377" s="25" t="n"/>
      <c r="G377" s="25" t="n"/>
      <c r="H377" s="25" t="n"/>
      <c r="I377" s="25" t="n"/>
      <c r="J377" s="25" t="n"/>
      <c r="K377" s="25" t="n"/>
      <c r="L377" s="27" t="n"/>
      <c r="M377" s="27" t="n"/>
      <c r="N377" s="27" t="n"/>
      <c r="O377" s="27" t="n"/>
      <c r="P377" s="28" t="n"/>
      <c r="Q377" s="29" t="n"/>
      <c r="R377" s="30">
        <f>IF(B377="","",IF(C377="IWP",COUNTIFS(Restricciones!$D$6:$D$305,B377,Restricciones!$F$6:$F$305,"Abierta")+COUNTIFS(Restricciones!$D$6:$D$305,B377,Restricciones!$F$6:$F$305,"En gestión"),IF(C377="CWA",COUNTIFS(Restricciones!$C$6:$C$305,"CWP-"&amp;MID(B377,5,4)&amp;"-*",Restricciones!$F$6:$F$305,"Abierta")+COUNTIFS(Restricciones!$C$6:$C$305,"CWP-"&amp;MID(B377,5,4)&amp;"-*",Restricciones!$F$6:$F$305,"En gestión"),COUNTIFS(Restricciones!$C$6:$C$305,IF(C377="CWP",B377,H377),Restricciones!$F$6:$F$305,"Abierta")+COUNTIFS(Restricciones!$C$6:$C$305,IF(C377="CWP",B377,H377),Restricciones!$F$6:$F$305,"En gestión"))))</f>
        <v/>
      </c>
      <c r="S377" s="30">
        <f>IF(OR(B377="",M377=""),"",IF(O377&lt;&gt;"",MAX(0,O377-M377),IF(AND($B$3&gt;M377,K377&lt;&gt;"Cerrado"),$B$3-M377,0)))</f>
        <v/>
      </c>
      <c r="T377" s="31">
        <f>IF(B377="","",IF(K377="Cerrado",IF(S377&gt;0,"Cerrado con atraso","Cerrado"),IF(S377&gt;0,"Atrasado",IF(AND(N377="",L377&lt;&gt;"",$B$3&gt;L377),"Inicio atrasado","En plazo"))))</f>
        <v/>
      </c>
      <c r="U377" s="26" t="n"/>
    </row>
    <row r="378">
      <c r="A378" s="24" t="n"/>
      <c r="B378" s="25" t="n"/>
      <c r="C378" s="25" t="n"/>
      <c r="D378" s="25" t="n"/>
      <c r="E378" s="26" t="n"/>
      <c r="F378" s="25" t="n"/>
      <c r="G378" s="25" t="n"/>
      <c r="H378" s="25" t="n"/>
      <c r="I378" s="25" t="n"/>
      <c r="J378" s="25" t="n"/>
      <c r="K378" s="25" t="n"/>
      <c r="L378" s="27" t="n"/>
      <c r="M378" s="27" t="n"/>
      <c r="N378" s="27" t="n"/>
      <c r="O378" s="27" t="n"/>
      <c r="P378" s="28" t="n"/>
      <c r="Q378" s="29" t="n"/>
      <c r="R378" s="30">
        <f>IF(B378="","",IF(C378="IWP",COUNTIFS(Restricciones!$D$6:$D$305,B378,Restricciones!$F$6:$F$305,"Abierta")+COUNTIFS(Restricciones!$D$6:$D$305,B378,Restricciones!$F$6:$F$305,"En gestión"),IF(C378="CWA",COUNTIFS(Restricciones!$C$6:$C$305,"CWP-"&amp;MID(B378,5,4)&amp;"-*",Restricciones!$F$6:$F$305,"Abierta")+COUNTIFS(Restricciones!$C$6:$C$305,"CWP-"&amp;MID(B378,5,4)&amp;"-*",Restricciones!$F$6:$F$305,"En gestión"),COUNTIFS(Restricciones!$C$6:$C$305,IF(C378="CWP",B378,H378),Restricciones!$F$6:$F$305,"Abierta")+COUNTIFS(Restricciones!$C$6:$C$305,IF(C378="CWP",B378,H378),Restricciones!$F$6:$F$305,"En gestión"))))</f>
        <v/>
      </c>
      <c r="S378" s="30">
        <f>IF(OR(B378="",M378=""),"",IF(O378&lt;&gt;"",MAX(0,O378-M378),IF(AND($B$3&gt;M378,K378&lt;&gt;"Cerrado"),$B$3-M378,0)))</f>
        <v/>
      </c>
      <c r="T378" s="31">
        <f>IF(B378="","",IF(K378="Cerrado",IF(S378&gt;0,"Cerrado con atraso","Cerrado"),IF(S378&gt;0,"Atrasado",IF(AND(N378="",L378&lt;&gt;"",$B$3&gt;L378),"Inicio atrasado","En plazo"))))</f>
        <v/>
      </c>
      <c r="U378" s="26" t="n"/>
    </row>
    <row r="379">
      <c r="A379" s="24" t="n"/>
      <c r="B379" s="25" t="n"/>
      <c r="C379" s="25" t="n"/>
      <c r="D379" s="25" t="n"/>
      <c r="E379" s="26" t="n"/>
      <c r="F379" s="25" t="n"/>
      <c r="G379" s="25" t="n"/>
      <c r="H379" s="25" t="n"/>
      <c r="I379" s="25" t="n"/>
      <c r="J379" s="25" t="n"/>
      <c r="K379" s="25" t="n"/>
      <c r="L379" s="27" t="n"/>
      <c r="M379" s="27" t="n"/>
      <c r="N379" s="27" t="n"/>
      <c r="O379" s="27" t="n"/>
      <c r="P379" s="28" t="n"/>
      <c r="Q379" s="29" t="n"/>
      <c r="R379" s="30">
        <f>IF(B379="","",IF(C379="IWP",COUNTIFS(Restricciones!$D$6:$D$305,B379,Restricciones!$F$6:$F$305,"Abierta")+COUNTIFS(Restricciones!$D$6:$D$305,B379,Restricciones!$F$6:$F$305,"En gestión"),IF(C379="CWA",COUNTIFS(Restricciones!$C$6:$C$305,"CWP-"&amp;MID(B379,5,4)&amp;"-*",Restricciones!$F$6:$F$305,"Abierta")+COUNTIFS(Restricciones!$C$6:$C$305,"CWP-"&amp;MID(B379,5,4)&amp;"-*",Restricciones!$F$6:$F$305,"En gestión"),COUNTIFS(Restricciones!$C$6:$C$305,IF(C379="CWP",B379,H379),Restricciones!$F$6:$F$305,"Abierta")+COUNTIFS(Restricciones!$C$6:$C$305,IF(C379="CWP",B379,H379),Restricciones!$F$6:$F$305,"En gestión"))))</f>
        <v/>
      </c>
      <c r="S379" s="30">
        <f>IF(OR(B379="",M379=""),"",IF(O379&lt;&gt;"",MAX(0,O379-M379),IF(AND($B$3&gt;M379,K379&lt;&gt;"Cerrado"),$B$3-M379,0)))</f>
        <v/>
      </c>
      <c r="T379" s="31">
        <f>IF(B379="","",IF(K379="Cerrado",IF(S379&gt;0,"Cerrado con atraso","Cerrado"),IF(S379&gt;0,"Atrasado",IF(AND(N379="",L379&lt;&gt;"",$B$3&gt;L379),"Inicio atrasado","En plazo"))))</f>
        <v/>
      </c>
      <c r="U379" s="26" t="n"/>
    </row>
    <row r="380">
      <c r="A380" s="24" t="n"/>
      <c r="B380" s="25" t="n"/>
      <c r="C380" s="25" t="n"/>
      <c r="D380" s="25" t="n"/>
      <c r="E380" s="26" t="n"/>
      <c r="F380" s="25" t="n"/>
      <c r="G380" s="25" t="n"/>
      <c r="H380" s="25" t="n"/>
      <c r="I380" s="25" t="n"/>
      <c r="J380" s="25" t="n"/>
      <c r="K380" s="25" t="n"/>
      <c r="L380" s="27" t="n"/>
      <c r="M380" s="27" t="n"/>
      <c r="N380" s="27" t="n"/>
      <c r="O380" s="27" t="n"/>
      <c r="P380" s="28" t="n"/>
      <c r="Q380" s="29" t="n"/>
      <c r="R380" s="30">
        <f>IF(B380="","",IF(C380="IWP",COUNTIFS(Restricciones!$D$6:$D$305,B380,Restricciones!$F$6:$F$305,"Abierta")+COUNTIFS(Restricciones!$D$6:$D$305,B380,Restricciones!$F$6:$F$305,"En gestión"),IF(C380="CWA",COUNTIFS(Restricciones!$C$6:$C$305,"CWP-"&amp;MID(B380,5,4)&amp;"-*",Restricciones!$F$6:$F$305,"Abierta")+COUNTIFS(Restricciones!$C$6:$C$305,"CWP-"&amp;MID(B380,5,4)&amp;"-*",Restricciones!$F$6:$F$305,"En gestión"),COUNTIFS(Restricciones!$C$6:$C$305,IF(C380="CWP",B380,H380),Restricciones!$F$6:$F$305,"Abierta")+COUNTIFS(Restricciones!$C$6:$C$305,IF(C380="CWP",B380,H380),Restricciones!$F$6:$F$305,"En gestión"))))</f>
        <v/>
      </c>
      <c r="S380" s="30">
        <f>IF(OR(B380="",M380=""),"",IF(O380&lt;&gt;"",MAX(0,O380-M380),IF(AND($B$3&gt;M380,K380&lt;&gt;"Cerrado"),$B$3-M380,0)))</f>
        <v/>
      </c>
      <c r="T380" s="31">
        <f>IF(B380="","",IF(K380="Cerrado",IF(S380&gt;0,"Cerrado con atraso","Cerrado"),IF(S380&gt;0,"Atrasado",IF(AND(N380="",L380&lt;&gt;"",$B$3&gt;L380),"Inicio atrasado","En plazo"))))</f>
        <v/>
      </c>
      <c r="U380" s="26" t="n"/>
    </row>
    <row r="381">
      <c r="A381" s="24" t="n"/>
      <c r="B381" s="25" t="n"/>
      <c r="C381" s="25" t="n"/>
      <c r="D381" s="25" t="n"/>
      <c r="E381" s="26" t="n"/>
      <c r="F381" s="25" t="n"/>
      <c r="G381" s="25" t="n"/>
      <c r="H381" s="25" t="n"/>
      <c r="I381" s="25" t="n"/>
      <c r="J381" s="25" t="n"/>
      <c r="K381" s="25" t="n"/>
      <c r="L381" s="27" t="n"/>
      <c r="M381" s="27" t="n"/>
      <c r="N381" s="27" t="n"/>
      <c r="O381" s="27" t="n"/>
      <c r="P381" s="28" t="n"/>
      <c r="Q381" s="29" t="n"/>
      <c r="R381" s="30">
        <f>IF(B381="","",IF(C381="IWP",COUNTIFS(Restricciones!$D$6:$D$305,B381,Restricciones!$F$6:$F$305,"Abierta")+COUNTIFS(Restricciones!$D$6:$D$305,B381,Restricciones!$F$6:$F$305,"En gestión"),IF(C381="CWA",COUNTIFS(Restricciones!$C$6:$C$305,"CWP-"&amp;MID(B381,5,4)&amp;"-*",Restricciones!$F$6:$F$305,"Abierta")+COUNTIFS(Restricciones!$C$6:$C$305,"CWP-"&amp;MID(B381,5,4)&amp;"-*",Restricciones!$F$6:$F$305,"En gestión"),COUNTIFS(Restricciones!$C$6:$C$305,IF(C381="CWP",B381,H381),Restricciones!$F$6:$F$305,"Abierta")+COUNTIFS(Restricciones!$C$6:$C$305,IF(C381="CWP",B381,H381),Restricciones!$F$6:$F$305,"En gestión"))))</f>
        <v/>
      </c>
      <c r="S381" s="30">
        <f>IF(OR(B381="",M381=""),"",IF(O381&lt;&gt;"",MAX(0,O381-M381),IF(AND($B$3&gt;M381,K381&lt;&gt;"Cerrado"),$B$3-M381,0)))</f>
        <v/>
      </c>
      <c r="T381" s="31">
        <f>IF(B381="","",IF(K381="Cerrado",IF(S381&gt;0,"Cerrado con atraso","Cerrado"),IF(S381&gt;0,"Atrasado",IF(AND(N381="",L381&lt;&gt;"",$B$3&gt;L381),"Inicio atrasado","En plazo"))))</f>
        <v/>
      </c>
      <c r="U381" s="26" t="n"/>
    </row>
    <row r="382">
      <c r="A382" s="24" t="n"/>
      <c r="B382" s="25" t="n"/>
      <c r="C382" s="25" t="n"/>
      <c r="D382" s="25" t="n"/>
      <c r="E382" s="26" t="n"/>
      <c r="F382" s="25" t="n"/>
      <c r="G382" s="25" t="n"/>
      <c r="H382" s="25" t="n"/>
      <c r="I382" s="25" t="n"/>
      <c r="J382" s="25" t="n"/>
      <c r="K382" s="25" t="n"/>
      <c r="L382" s="27" t="n"/>
      <c r="M382" s="27" t="n"/>
      <c r="N382" s="27" t="n"/>
      <c r="O382" s="27" t="n"/>
      <c r="P382" s="28" t="n"/>
      <c r="Q382" s="29" t="n"/>
      <c r="R382" s="30">
        <f>IF(B382="","",IF(C382="IWP",COUNTIFS(Restricciones!$D$6:$D$305,B382,Restricciones!$F$6:$F$305,"Abierta")+COUNTIFS(Restricciones!$D$6:$D$305,B382,Restricciones!$F$6:$F$305,"En gestión"),IF(C382="CWA",COUNTIFS(Restricciones!$C$6:$C$305,"CWP-"&amp;MID(B382,5,4)&amp;"-*",Restricciones!$F$6:$F$305,"Abierta")+COUNTIFS(Restricciones!$C$6:$C$305,"CWP-"&amp;MID(B382,5,4)&amp;"-*",Restricciones!$F$6:$F$305,"En gestión"),COUNTIFS(Restricciones!$C$6:$C$305,IF(C382="CWP",B382,H382),Restricciones!$F$6:$F$305,"Abierta")+COUNTIFS(Restricciones!$C$6:$C$305,IF(C382="CWP",B382,H382),Restricciones!$F$6:$F$305,"En gestión"))))</f>
        <v/>
      </c>
      <c r="S382" s="30">
        <f>IF(OR(B382="",M382=""),"",IF(O382&lt;&gt;"",MAX(0,O382-M382),IF(AND($B$3&gt;M382,K382&lt;&gt;"Cerrado"),$B$3-M382,0)))</f>
        <v/>
      </c>
      <c r="T382" s="31">
        <f>IF(B382="","",IF(K382="Cerrado",IF(S382&gt;0,"Cerrado con atraso","Cerrado"),IF(S382&gt;0,"Atrasado",IF(AND(N382="",L382&lt;&gt;"",$B$3&gt;L382),"Inicio atrasado","En plazo"))))</f>
        <v/>
      </c>
      <c r="U382" s="26" t="n"/>
    </row>
    <row r="383">
      <c r="A383" s="24" t="n"/>
      <c r="B383" s="25" t="n"/>
      <c r="C383" s="25" t="n"/>
      <c r="D383" s="25" t="n"/>
      <c r="E383" s="26" t="n"/>
      <c r="F383" s="25" t="n"/>
      <c r="G383" s="25" t="n"/>
      <c r="H383" s="25" t="n"/>
      <c r="I383" s="25" t="n"/>
      <c r="J383" s="25" t="n"/>
      <c r="K383" s="25" t="n"/>
      <c r="L383" s="27" t="n"/>
      <c r="M383" s="27" t="n"/>
      <c r="N383" s="27" t="n"/>
      <c r="O383" s="27" t="n"/>
      <c r="P383" s="28" t="n"/>
      <c r="Q383" s="29" t="n"/>
      <c r="R383" s="30">
        <f>IF(B383="","",IF(C383="IWP",COUNTIFS(Restricciones!$D$6:$D$305,B383,Restricciones!$F$6:$F$305,"Abierta")+COUNTIFS(Restricciones!$D$6:$D$305,B383,Restricciones!$F$6:$F$305,"En gestión"),IF(C383="CWA",COUNTIFS(Restricciones!$C$6:$C$305,"CWP-"&amp;MID(B383,5,4)&amp;"-*",Restricciones!$F$6:$F$305,"Abierta")+COUNTIFS(Restricciones!$C$6:$C$305,"CWP-"&amp;MID(B383,5,4)&amp;"-*",Restricciones!$F$6:$F$305,"En gestión"),COUNTIFS(Restricciones!$C$6:$C$305,IF(C383="CWP",B383,H383),Restricciones!$F$6:$F$305,"Abierta")+COUNTIFS(Restricciones!$C$6:$C$305,IF(C383="CWP",B383,H383),Restricciones!$F$6:$F$305,"En gestión"))))</f>
        <v/>
      </c>
      <c r="S383" s="30">
        <f>IF(OR(B383="",M383=""),"",IF(O383&lt;&gt;"",MAX(0,O383-M383),IF(AND($B$3&gt;M383,K383&lt;&gt;"Cerrado"),$B$3-M383,0)))</f>
        <v/>
      </c>
      <c r="T383" s="31">
        <f>IF(B383="","",IF(K383="Cerrado",IF(S383&gt;0,"Cerrado con atraso","Cerrado"),IF(S383&gt;0,"Atrasado",IF(AND(N383="",L383&lt;&gt;"",$B$3&gt;L383),"Inicio atrasado","En plazo"))))</f>
        <v/>
      </c>
      <c r="U383" s="26" t="n"/>
    </row>
    <row r="384">
      <c r="A384" s="24" t="n"/>
      <c r="B384" s="25" t="n"/>
      <c r="C384" s="25" t="n"/>
      <c r="D384" s="25" t="n"/>
      <c r="E384" s="26" t="n"/>
      <c r="F384" s="25" t="n"/>
      <c r="G384" s="25" t="n"/>
      <c r="H384" s="25" t="n"/>
      <c r="I384" s="25" t="n"/>
      <c r="J384" s="25" t="n"/>
      <c r="K384" s="25" t="n"/>
      <c r="L384" s="27" t="n"/>
      <c r="M384" s="27" t="n"/>
      <c r="N384" s="27" t="n"/>
      <c r="O384" s="27" t="n"/>
      <c r="P384" s="28" t="n"/>
      <c r="Q384" s="29" t="n"/>
      <c r="R384" s="30">
        <f>IF(B384="","",IF(C384="IWP",COUNTIFS(Restricciones!$D$6:$D$305,B384,Restricciones!$F$6:$F$305,"Abierta")+COUNTIFS(Restricciones!$D$6:$D$305,B384,Restricciones!$F$6:$F$305,"En gestión"),IF(C384="CWA",COUNTIFS(Restricciones!$C$6:$C$305,"CWP-"&amp;MID(B384,5,4)&amp;"-*",Restricciones!$F$6:$F$305,"Abierta")+COUNTIFS(Restricciones!$C$6:$C$305,"CWP-"&amp;MID(B384,5,4)&amp;"-*",Restricciones!$F$6:$F$305,"En gestión"),COUNTIFS(Restricciones!$C$6:$C$305,IF(C384="CWP",B384,H384),Restricciones!$F$6:$F$305,"Abierta")+COUNTIFS(Restricciones!$C$6:$C$305,IF(C384="CWP",B384,H384),Restricciones!$F$6:$F$305,"En gestión"))))</f>
        <v/>
      </c>
      <c r="S384" s="30">
        <f>IF(OR(B384="",M384=""),"",IF(O384&lt;&gt;"",MAX(0,O384-M384),IF(AND($B$3&gt;M384,K384&lt;&gt;"Cerrado"),$B$3-M384,0)))</f>
        <v/>
      </c>
      <c r="T384" s="31">
        <f>IF(B384="","",IF(K384="Cerrado",IF(S384&gt;0,"Cerrado con atraso","Cerrado"),IF(S384&gt;0,"Atrasado",IF(AND(N384="",L384&lt;&gt;"",$B$3&gt;L384),"Inicio atrasado","En plazo"))))</f>
        <v/>
      </c>
      <c r="U384" s="26" t="n"/>
    </row>
    <row r="385">
      <c r="A385" s="24" t="n"/>
      <c r="B385" s="25" t="n"/>
      <c r="C385" s="25" t="n"/>
      <c r="D385" s="25" t="n"/>
      <c r="E385" s="26" t="n"/>
      <c r="F385" s="25" t="n"/>
      <c r="G385" s="25" t="n"/>
      <c r="H385" s="25" t="n"/>
      <c r="I385" s="25" t="n"/>
      <c r="J385" s="25" t="n"/>
      <c r="K385" s="25" t="n"/>
      <c r="L385" s="27" t="n"/>
      <c r="M385" s="27" t="n"/>
      <c r="N385" s="27" t="n"/>
      <c r="O385" s="27" t="n"/>
      <c r="P385" s="28" t="n"/>
      <c r="Q385" s="29" t="n"/>
      <c r="R385" s="30">
        <f>IF(B385="","",IF(C385="IWP",COUNTIFS(Restricciones!$D$6:$D$305,B385,Restricciones!$F$6:$F$305,"Abierta")+COUNTIFS(Restricciones!$D$6:$D$305,B385,Restricciones!$F$6:$F$305,"En gestión"),IF(C385="CWA",COUNTIFS(Restricciones!$C$6:$C$305,"CWP-"&amp;MID(B385,5,4)&amp;"-*",Restricciones!$F$6:$F$305,"Abierta")+COUNTIFS(Restricciones!$C$6:$C$305,"CWP-"&amp;MID(B385,5,4)&amp;"-*",Restricciones!$F$6:$F$305,"En gestión"),COUNTIFS(Restricciones!$C$6:$C$305,IF(C385="CWP",B385,H385),Restricciones!$F$6:$F$305,"Abierta")+COUNTIFS(Restricciones!$C$6:$C$305,IF(C385="CWP",B385,H385),Restricciones!$F$6:$F$305,"En gestión"))))</f>
        <v/>
      </c>
      <c r="S385" s="30">
        <f>IF(OR(B385="",M385=""),"",IF(O385&lt;&gt;"",MAX(0,O385-M385),IF(AND($B$3&gt;M385,K385&lt;&gt;"Cerrado"),$B$3-M385,0)))</f>
        <v/>
      </c>
      <c r="T385" s="31">
        <f>IF(B385="","",IF(K385="Cerrado",IF(S385&gt;0,"Cerrado con atraso","Cerrado"),IF(S385&gt;0,"Atrasado",IF(AND(N385="",L385&lt;&gt;"",$B$3&gt;L385),"Inicio atrasado","En plazo"))))</f>
        <v/>
      </c>
      <c r="U385" s="26" t="n"/>
    </row>
    <row r="386">
      <c r="A386" s="24" t="n"/>
      <c r="B386" s="25" t="n"/>
      <c r="C386" s="25" t="n"/>
      <c r="D386" s="25" t="n"/>
      <c r="E386" s="26" t="n"/>
      <c r="F386" s="25" t="n"/>
      <c r="G386" s="25" t="n"/>
      <c r="H386" s="25" t="n"/>
      <c r="I386" s="25" t="n"/>
      <c r="J386" s="25" t="n"/>
      <c r="K386" s="25" t="n"/>
      <c r="L386" s="27" t="n"/>
      <c r="M386" s="27" t="n"/>
      <c r="N386" s="27" t="n"/>
      <c r="O386" s="27" t="n"/>
      <c r="P386" s="28" t="n"/>
      <c r="Q386" s="29" t="n"/>
      <c r="R386" s="30">
        <f>IF(B386="","",IF(C386="IWP",COUNTIFS(Restricciones!$D$6:$D$305,B386,Restricciones!$F$6:$F$305,"Abierta")+COUNTIFS(Restricciones!$D$6:$D$305,B386,Restricciones!$F$6:$F$305,"En gestión"),IF(C386="CWA",COUNTIFS(Restricciones!$C$6:$C$305,"CWP-"&amp;MID(B386,5,4)&amp;"-*",Restricciones!$F$6:$F$305,"Abierta")+COUNTIFS(Restricciones!$C$6:$C$305,"CWP-"&amp;MID(B386,5,4)&amp;"-*",Restricciones!$F$6:$F$305,"En gestión"),COUNTIFS(Restricciones!$C$6:$C$305,IF(C386="CWP",B386,H386),Restricciones!$F$6:$F$305,"Abierta")+COUNTIFS(Restricciones!$C$6:$C$305,IF(C386="CWP",B386,H386),Restricciones!$F$6:$F$305,"En gestión"))))</f>
        <v/>
      </c>
      <c r="S386" s="30">
        <f>IF(OR(B386="",M386=""),"",IF(O386&lt;&gt;"",MAX(0,O386-M386),IF(AND($B$3&gt;M386,K386&lt;&gt;"Cerrado"),$B$3-M386,0)))</f>
        <v/>
      </c>
      <c r="T386" s="31">
        <f>IF(B386="","",IF(K386="Cerrado",IF(S386&gt;0,"Cerrado con atraso","Cerrado"),IF(S386&gt;0,"Atrasado",IF(AND(N386="",L386&lt;&gt;"",$B$3&gt;L386),"Inicio atrasado","En plazo"))))</f>
        <v/>
      </c>
      <c r="U386" s="26" t="n"/>
    </row>
    <row r="387">
      <c r="A387" s="24" t="n"/>
      <c r="B387" s="25" t="n"/>
      <c r="C387" s="25" t="n"/>
      <c r="D387" s="25" t="n"/>
      <c r="E387" s="26" t="n"/>
      <c r="F387" s="25" t="n"/>
      <c r="G387" s="25" t="n"/>
      <c r="H387" s="25" t="n"/>
      <c r="I387" s="25" t="n"/>
      <c r="J387" s="25" t="n"/>
      <c r="K387" s="25" t="n"/>
      <c r="L387" s="27" t="n"/>
      <c r="M387" s="27" t="n"/>
      <c r="N387" s="27" t="n"/>
      <c r="O387" s="27" t="n"/>
      <c r="P387" s="28" t="n"/>
      <c r="Q387" s="29" t="n"/>
      <c r="R387" s="30">
        <f>IF(B387="","",IF(C387="IWP",COUNTIFS(Restricciones!$D$6:$D$305,B387,Restricciones!$F$6:$F$305,"Abierta")+COUNTIFS(Restricciones!$D$6:$D$305,B387,Restricciones!$F$6:$F$305,"En gestión"),IF(C387="CWA",COUNTIFS(Restricciones!$C$6:$C$305,"CWP-"&amp;MID(B387,5,4)&amp;"-*",Restricciones!$F$6:$F$305,"Abierta")+COUNTIFS(Restricciones!$C$6:$C$305,"CWP-"&amp;MID(B387,5,4)&amp;"-*",Restricciones!$F$6:$F$305,"En gestión"),COUNTIFS(Restricciones!$C$6:$C$305,IF(C387="CWP",B387,H387),Restricciones!$F$6:$F$305,"Abierta")+COUNTIFS(Restricciones!$C$6:$C$305,IF(C387="CWP",B387,H387),Restricciones!$F$6:$F$305,"En gestión"))))</f>
        <v/>
      </c>
      <c r="S387" s="30">
        <f>IF(OR(B387="",M387=""),"",IF(O387&lt;&gt;"",MAX(0,O387-M387),IF(AND($B$3&gt;M387,K387&lt;&gt;"Cerrado"),$B$3-M387,0)))</f>
        <v/>
      </c>
      <c r="T387" s="31">
        <f>IF(B387="","",IF(K387="Cerrado",IF(S387&gt;0,"Cerrado con atraso","Cerrado"),IF(S387&gt;0,"Atrasado",IF(AND(N387="",L387&lt;&gt;"",$B$3&gt;L387),"Inicio atrasado","En plazo"))))</f>
        <v/>
      </c>
      <c r="U387" s="26" t="n"/>
    </row>
    <row r="388">
      <c r="A388" s="24" t="n"/>
      <c r="B388" s="25" t="n"/>
      <c r="C388" s="25" t="n"/>
      <c r="D388" s="25" t="n"/>
      <c r="E388" s="26" t="n"/>
      <c r="F388" s="25" t="n"/>
      <c r="G388" s="25" t="n"/>
      <c r="H388" s="25" t="n"/>
      <c r="I388" s="25" t="n"/>
      <c r="J388" s="25" t="n"/>
      <c r="K388" s="25" t="n"/>
      <c r="L388" s="27" t="n"/>
      <c r="M388" s="27" t="n"/>
      <c r="N388" s="27" t="n"/>
      <c r="O388" s="27" t="n"/>
      <c r="P388" s="28" t="n"/>
      <c r="Q388" s="29" t="n"/>
      <c r="R388" s="30">
        <f>IF(B388="","",IF(C388="IWP",COUNTIFS(Restricciones!$D$6:$D$305,B388,Restricciones!$F$6:$F$305,"Abierta")+COUNTIFS(Restricciones!$D$6:$D$305,B388,Restricciones!$F$6:$F$305,"En gestión"),IF(C388="CWA",COUNTIFS(Restricciones!$C$6:$C$305,"CWP-"&amp;MID(B388,5,4)&amp;"-*",Restricciones!$F$6:$F$305,"Abierta")+COUNTIFS(Restricciones!$C$6:$C$305,"CWP-"&amp;MID(B388,5,4)&amp;"-*",Restricciones!$F$6:$F$305,"En gestión"),COUNTIFS(Restricciones!$C$6:$C$305,IF(C388="CWP",B388,H388),Restricciones!$F$6:$F$305,"Abierta")+COUNTIFS(Restricciones!$C$6:$C$305,IF(C388="CWP",B388,H388),Restricciones!$F$6:$F$305,"En gestión"))))</f>
        <v/>
      </c>
      <c r="S388" s="30">
        <f>IF(OR(B388="",M388=""),"",IF(O388&lt;&gt;"",MAX(0,O388-M388),IF(AND($B$3&gt;M388,K388&lt;&gt;"Cerrado"),$B$3-M388,0)))</f>
        <v/>
      </c>
      <c r="T388" s="31">
        <f>IF(B388="","",IF(K388="Cerrado",IF(S388&gt;0,"Cerrado con atraso","Cerrado"),IF(S388&gt;0,"Atrasado",IF(AND(N388="",L388&lt;&gt;"",$B$3&gt;L388),"Inicio atrasado","En plazo"))))</f>
        <v/>
      </c>
      <c r="U388" s="26" t="n"/>
    </row>
    <row r="389">
      <c r="A389" s="24" t="n"/>
      <c r="B389" s="25" t="n"/>
      <c r="C389" s="25" t="n"/>
      <c r="D389" s="25" t="n"/>
      <c r="E389" s="26" t="n"/>
      <c r="F389" s="25" t="n"/>
      <c r="G389" s="25" t="n"/>
      <c r="H389" s="25" t="n"/>
      <c r="I389" s="25" t="n"/>
      <c r="J389" s="25" t="n"/>
      <c r="K389" s="25" t="n"/>
      <c r="L389" s="27" t="n"/>
      <c r="M389" s="27" t="n"/>
      <c r="N389" s="27" t="n"/>
      <c r="O389" s="27" t="n"/>
      <c r="P389" s="28" t="n"/>
      <c r="Q389" s="29" t="n"/>
      <c r="R389" s="30">
        <f>IF(B389="","",IF(C389="IWP",COUNTIFS(Restricciones!$D$6:$D$305,B389,Restricciones!$F$6:$F$305,"Abierta")+COUNTIFS(Restricciones!$D$6:$D$305,B389,Restricciones!$F$6:$F$305,"En gestión"),IF(C389="CWA",COUNTIFS(Restricciones!$C$6:$C$305,"CWP-"&amp;MID(B389,5,4)&amp;"-*",Restricciones!$F$6:$F$305,"Abierta")+COUNTIFS(Restricciones!$C$6:$C$305,"CWP-"&amp;MID(B389,5,4)&amp;"-*",Restricciones!$F$6:$F$305,"En gestión"),COUNTIFS(Restricciones!$C$6:$C$305,IF(C389="CWP",B389,H389),Restricciones!$F$6:$F$305,"Abierta")+COUNTIFS(Restricciones!$C$6:$C$305,IF(C389="CWP",B389,H389),Restricciones!$F$6:$F$305,"En gestión"))))</f>
        <v/>
      </c>
      <c r="S389" s="30">
        <f>IF(OR(B389="",M389=""),"",IF(O389&lt;&gt;"",MAX(0,O389-M389),IF(AND($B$3&gt;M389,K389&lt;&gt;"Cerrado"),$B$3-M389,0)))</f>
        <v/>
      </c>
      <c r="T389" s="31">
        <f>IF(B389="","",IF(K389="Cerrado",IF(S389&gt;0,"Cerrado con atraso","Cerrado"),IF(S389&gt;0,"Atrasado",IF(AND(N389="",L389&lt;&gt;"",$B$3&gt;L389),"Inicio atrasado","En plazo"))))</f>
        <v/>
      </c>
      <c r="U389" s="26" t="n"/>
    </row>
    <row r="390">
      <c r="A390" s="24" t="n"/>
      <c r="B390" s="25" t="n"/>
      <c r="C390" s="25" t="n"/>
      <c r="D390" s="25" t="n"/>
      <c r="E390" s="26" t="n"/>
      <c r="F390" s="25" t="n"/>
      <c r="G390" s="25" t="n"/>
      <c r="H390" s="25" t="n"/>
      <c r="I390" s="25" t="n"/>
      <c r="J390" s="25" t="n"/>
      <c r="K390" s="25" t="n"/>
      <c r="L390" s="27" t="n"/>
      <c r="M390" s="27" t="n"/>
      <c r="N390" s="27" t="n"/>
      <c r="O390" s="27" t="n"/>
      <c r="P390" s="28" t="n"/>
      <c r="Q390" s="29" t="n"/>
      <c r="R390" s="30">
        <f>IF(B390="","",IF(C390="IWP",COUNTIFS(Restricciones!$D$6:$D$305,B390,Restricciones!$F$6:$F$305,"Abierta")+COUNTIFS(Restricciones!$D$6:$D$305,B390,Restricciones!$F$6:$F$305,"En gestión"),IF(C390="CWA",COUNTIFS(Restricciones!$C$6:$C$305,"CWP-"&amp;MID(B390,5,4)&amp;"-*",Restricciones!$F$6:$F$305,"Abierta")+COUNTIFS(Restricciones!$C$6:$C$305,"CWP-"&amp;MID(B390,5,4)&amp;"-*",Restricciones!$F$6:$F$305,"En gestión"),COUNTIFS(Restricciones!$C$6:$C$305,IF(C390="CWP",B390,H390),Restricciones!$F$6:$F$305,"Abierta")+COUNTIFS(Restricciones!$C$6:$C$305,IF(C390="CWP",B390,H390),Restricciones!$F$6:$F$305,"En gestión"))))</f>
        <v/>
      </c>
      <c r="S390" s="30">
        <f>IF(OR(B390="",M390=""),"",IF(O390&lt;&gt;"",MAX(0,O390-M390),IF(AND($B$3&gt;M390,K390&lt;&gt;"Cerrado"),$B$3-M390,0)))</f>
        <v/>
      </c>
      <c r="T390" s="31">
        <f>IF(B390="","",IF(K390="Cerrado",IF(S390&gt;0,"Cerrado con atraso","Cerrado"),IF(S390&gt;0,"Atrasado",IF(AND(N390="",L390&lt;&gt;"",$B$3&gt;L390),"Inicio atrasado","En plazo"))))</f>
        <v/>
      </c>
      <c r="U390" s="26" t="n"/>
    </row>
    <row r="391">
      <c r="A391" s="24" t="n"/>
      <c r="B391" s="25" t="n"/>
      <c r="C391" s="25" t="n"/>
      <c r="D391" s="25" t="n"/>
      <c r="E391" s="26" t="n"/>
      <c r="F391" s="25" t="n"/>
      <c r="G391" s="25" t="n"/>
      <c r="H391" s="25" t="n"/>
      <c r="I391" s="25" t="n"/>
      <c r="J391" s="25" t="n"/>
      <c r="K391" s="25" t="n"/>
      <c r="L391" s="27" t="n"/>
      <c r="M391" s="27" t="n"/>
      <c r="N391" s="27" t="n"/>
      <c r="O391" s="27" t="n"/>
      <c r="P391" s="28" t="n"/>
      <c r="Q391" s="29" t="n"/>
      <c r="R391" s="30">
        <f>IF(B391="","",IF(C391="IWP",COUNTIFS(Restricciones!$D$6:$D$305,B391,Restricciones!$F$6:$F$305,"Abierta")+COUNTIFS(Restricciones!$D$6:$D$305,B391,Restricciones!$F$6:$F$305,"En gestión"),IF(C391="CWA",COUNTIFS(Restricciones!$C$6:$C$305,"CWP-"&amp;MID(B391,5,4)&amp;"-*",Restricciones!$F$6:$F$305,"Abierta")+COUNTIFS(Restricciones!$C$6:$C$305,"CWP-"&amp;MID(B391,5,4)&amp;"-*",Restricciones!$F$6:$F$305,"En gestión"),COUNTIFS(Restricciones!$C$6:$C$305,IF(C391="CWP",B391,H391),Restricciones!$F$6:$F$305,"Abierta")+COUNTIFS(Restricciones!$C$6:$C$305,IF(C391="CWP",B391,H391),Restricciones!$F$6:$F$305,"En gestión"))))</f>
        <v/>
      </c>
      <c r="S391" s="30">
        <f>IF(OR(B391="",M391=""),"",IF(O391&lt;&gt;"",MAX(0,O391-M391),IF(AND($B$3&gt;M391,K391&lt;&gt;"Cerrado"),$B$3-M391,0)))</f>
        <v/>
      </c>
      <c r="T391" s="31">
        <f>IF(B391="","",IF(K391="Cerrado",IF(S391&gt;0,"Cerrado con atraso","Cerrado"),IF(S391&gt;0,"Atrasado",IF(AND(N391="",L391&lt;&gt;"",$B$3&gt;L391),"Inicio atrasado","En plazo"))))</f>
        <v/>
      </c>
      <c r="U391" s="26" t="n"/>
    </row>
    <row r="392">
      <c r="A392" s="24" t="n"/>
      <c r="B392" s="25" t="n"/>
      <c r="C392" s="25" t="n"/>
      <c r="D392" s="25" t="n"/>
      <c r="E392" s="26" t="n"/>
      <c r="F392" s="25" t="n"/>
      <c r="G392" s="25" t="n"/>
      <c r="H392" s="25" t="n"/>
      <c r="I392" s="25" t="n"/>
      <c r="J392" s="25" t="n"/>
      <c r="K392" s="25" t="n"/>
      <c r="L392" s="27" t="n"/>
      <c r="M392" s="27" t="n"/>
      <c r="N392" s="27" t="n"/>
      <c r="O392" s="27" t="n"/>
      <c r="P392" s="28" t="n"/>
      <c r="Q392" s="29" t="n"/>
      <c r="R392" s="30">
        <f>IF(B392="","",IF(C392="IWP",COUNTIFS(Restricciones!$D$6:$D$305,B392,Restricciones!$F$6:$F$305,"Abierta")+COUNTIFS(Restricciones!$D$6:$D$305,B392,Restricciones!$F$6:$F$305,"En gestión"),IF(C392="CWA",COUNTIFS(Restricciones!$C$6:$C$305,"CWP-"&amp;MID(B392,5,4)&amp;"-*",Restricciones!$F$6:$F$305,"Abierta")+COUNTIFS(Restricciones!$C$6:$C$305,"CWP-"&amp;MID(B392,5,4)&amp;"-*",Restricciones!$F$6:$F$305,"En gestión"),COUNTIFS(Restricciones!$C$6:$C$305,IF(C392="CWP",B392,H392),Restricciones!$F$6:$F$305,"Abierta")+COUNTIFS(Restricciones!$C$6:$C$305,IF(C392="CWP",B392,H392),Restricciones!$F$6:$F$305,"En gestión"))))</f>
        <v/>
      </c>
      <c r="S392" s="30">
        <f>IF(OR(B392="",M392=""),"",IF(O392&lt;&gt;"",MAX(0,O392-M392),IF(AND($B$3&gt;M392,K392&lt;&gt;"Cerrado"),$B$3-M392,0)))</f>
        <v/>
      </c>
      <c r="T392" s="31">
        <f>IF(B392="","",IF(K392="Cerrado",IF(S392&gt;0,"Cerrado con atraso","Cerrado"),IF(S392&gt;0,"Atrasado",IF(AND(N392="",L392&lt;&gt;"",$B$3&gt;L392),"Inicio atrasado","En plazo"))))</f>
        <v/>
      </c>
      <c r="U392" s="26" t="n"/>
    </row>
    <row r="393">
      <c r="A393" s="24" t="n"/>
      <c r="B393" s="25" t="n"/>
      <c r="C393" s="25" t="n"/>
      <c r="D393" s="25" t="n"/>
      <c r="E393" s="26" t="n"/>
      <c r="F393" s="25" t="n"/>
      <c r="G393" s="25" t="n"/>
      <c r="H393" s="25" t="n"/>
      <c r="I393" s="25" t="n"/>
      <c r="J393" s="25" t="n"/>
      <c r="K393" s="25" t="n"/>
      <c r="L393" s="27" t="n"/>
      <c r="M393" s="27" t="n"/>
      <c r="N393" s="27" t="n"/>
      <c r="O393" s="27" t="n"/>
      <c r="P393" s="28" t="n"/>
      <c r="Q393" s="29" t="n"/>
      <c r="R393" s="30">
        <f>IF(B393="","",IF(C393="IWP",COUNTIFS(Restricciones!$D$6:$D$305,B393,Restricciones!$F$6:$F$305,"Abierta")+COUNTIFS(Restricciones!$D$6:$D$305,B393,Restricciones!$F$6:$F$305,"En gestión"),IF(C393="CWA",COUNTIFS(Restricciones!$C$6:$C$305,"CWP-"&amp;MID(B393,5,4)&amp;"-*",Restricciones!$F$6:$F$305,"Abierta")+COUNTIFS(Restricciones!$C$6:$C$305,"CWP-"&amp;MID(B393,5,4)&amp;"-*",Restricciones!$F$6:$F$305,"En gestión"),COUNTIFS(Restricciones!$C$6:$C$305,IF(C393="CWP",B393,H393),Restricciones!$F$6:$F$305,"Abierta")+COUNTIFS(Restricciones!$C$6:$C$305,IF(C393="CWP",B393,H393),Restricciones!$F$6:$F$305,"En gestión"))))</f>
        <v/>
      </c>
      <c r="S393" s="30">
        <f>IF(OR(B393="",M393=""),"",IF(O393&lt;&gt;"",MAX(0,O393-M393),IF(AND($B$3&gt;M393,K393&lt;&gt;"Cerrado"),$B$3-M393,0)))</f>
        <v/>
      </c>
      <c r="T393" s="31">
        <f>IF(B393="","",IF(K393="Cerrado",IF(S393&gt;0,"Cerrado con atraso","Cerrado"),IF(S393&gt;0,"Atrasado",IF(AND(N393="",L393&lt;&gt;"",$B$3&gt;L393),"Inicio atrasado","En plazo"))))</f>
        <v/>
      </c>
      <c r="U393" s="26" t="n"/>
    </row>
    <row r="394">
      <c r="A394" s="24" t="n"/>
      <c r="B394" s="25" t="n"/>
      <c r="C394" s="25" t="n"/>
      <c r="D394" s="25" t="n"/>
      <c r="E394" s="26" t="n"/>
      <c r="F394" s="25" t="n"/>
      <c r="G394" s="25" t="n"/>
      <c r="H394" s="25" t="n"/>
      <c r="I394" s="25" t="n"/>
      <c r="J394" s="25" t="n"/>
      <c r="K394" s="25" t="n"/>
      <c r="L394" s="27" t="n"/>
      <c r="M394" s="27" t="n"/>
      <c r="N394" s="27" t="n"/>
      <c r="O394" s="27" t="n"/>
      <c r="P394" s="28" t="n"/>
      <c r="Q394" s="29" t="n"/>
      <c r="R394" s="30">
        <f>IF(B394="","",IF(C394="IWP",COUNTIFS(Restricciones!$D$6:$D$305,B394,Restricciones!$F$6:$F$305,"Abierta")+COUNTIFS(Restricciones!$D$6:$D$305,B394,Restricciones!$F$6:$F$305,"En gestión"),IF(C394="CWA",COUNTIFS(Restricciones!$C$6:$C$305,"CWP-"&amp;MID(B394,5,4)&amp;"-*",Restricciones!$F$6:$F$305,"Abierta")+COUNTIFS(Restricciones!$C$6:$C$305,"CWP-"&amp;MID(B394,5,4)&amp;"-*",Restricciones!$F$6:$F$305,"En gestión"),COUNTIFS(Restricciones!$C$6:$C$305,IF(C394="CWP",B394,H394),Restricciones!$F$6:$F$305,"Abierta")+COUNTIFS(Restricciones!$C$6:$C$305,IF(C394="CWP",B394,H394),Restricciones!$F$6:$F$305,"En gestión"))))</f>
        <v/>
      </c>
      <c r="S394" s="30">
        <f>IF(OR(B394="",M394=""),"",IF(O394&lt;&gt;"",MAX(0,O394-M394),IF(AND($B$3&gt;M394,K394&lt;&gt;"Cerrado"),$B$3-M394,0)))</f>
        <v/>
      </c>
      <c r="T394" s="31">
        <f>IF(B394="","",IF(K394="Cerrado",IF(S394&gt;0,"Cerrado con atraso","Cerrado"),IF(S394&gt;0,"Atrasado",IF(AND(N394="",L394&lt;&gt;"",$B$3&gt;L394),"Inicio atrasado","En plazo"))))</f>
        <v/>
      </c>
      <c r="U394" s="26" t="n"/>
    </row>
    <row r="395">
      <c r="A395" s="24" t="n"/>
      <c r="B395" s="25" t="n"/>
      <c r="C395" s="25" t="n"/>
      <c r="D395" s="25" t="n"/>
      <c r="E395" s="26" t="n"/>
      <c r="F395" s="25" t="n"/>
      <c r="G395" s="25" t="n"/>
      <c r="H395" s="25" t="n"/>
      <c r="I395" s="25" t="n"/>
      <c r="J395" s="25" t="n"/>
      <c r="K395" s="25" t="n"/>
      <c r="L395" s="27" t="n"/>
      <c r="M395" s="27" t="n"/>
      <c r="N395" s="27" t="n"/>
      <c r="O395" s="27" t="n"/>
      <c r="P395" s="28" t="n"/>
      <c r="Q395" s="29" t="n"/>
      <c r="R395" s="30">
        <f>IF(B395="","",IF(C395="IWP",COUNTIFS(Restricciones!$D$6:$D$305,B395,Restricciones!$F$6:$F$305,"Abierta")+COUNTIFS(Restricciones!$D$6:$D$305,B395,Restricciones!$F$6:$F$305,"En gestión"),IF(C395="CWA",COUNTIFS(Restricciones!$C$6:$C$305,"CWP-"&amp;MID(B395,5,4)&amp;"-*",Restricciones!$F$6:$F$305,"Abierta")+COUNTIFS(Restricciones!$C$6:$C$305,"CWP-"&amp;MID(B395,5,4)&amp;"-*",Restricciones!$F$6:$F$305,"En gestión"),COUNTIFS(Restricciones!$C$6:$C$305,IF(C395="CWP",B395,H395),Restricciones!$F$6:$F$305,"Abierta")+COUNTIFS(Restricciones!$C$6:$C$305,IF(C395="CWP",B395,H395),Restricciones!$F$6:$F$305,"En gestión"))))</f>
        <v/>
      </c>
      <c r="S395" s="30">
        <f>IF(OR(B395="",M395=""),"",IF(O395&lt;&gt;"",MAX(0,O395-M395),IF(AND($B$3&gt;M395,K395&lt;&gt;"Cerrado"),$B$3-M395,0)))</f>
        <v/>
      </c>
      <c r="T395" s="31">
        <f>IF(B395="","",IF(K395="Cerrado",IF(S395&gt;0,"Cerrado con atraso","Cerrado"),IF(S395&gt;0,"Atrasado",IF(AND(N395="",L395&lt;&gt;"",$B$3&gt;L395),"Inicio atrasado","En plazo"))))</f>
        <v/>
      </c>
      <c r="U395" s="26" t="n"/>
    </row>
    <row r="396">
      <c r="A396" s="24" t="n"/>
      <c r="B396" s="25" t="n"/>
      <c r="C396" s="25" t="n"/>
      <c r="D396" s="25" t="n"/>
      <c r="E396" s="26" t="n"/>
      <c r="F396" s="25" t="n"/>
      <c r="G396" s="25" t="n"/>
      <c r="H396" s="25" t="n"/>
      <c r="I396" s="25" t="n"/>
      <c r="J396" s="25" t="n"/>
      <c r="K396" s="25" t="n"/>
      <c r="L396" s="27" t="n"/>
      <c r="M396" s="27" t="n"/>
      <c r="N396" s="27" t="n"/>
      <c r="O396" s="27" t="n"/>
      <c r="P396" s="28" t="n"/>
      <c r="Q396" s="29" t="n"/>
      <c r="R396" s="30">
        <f>IF(B396="","",IF(C396="IWP",COUNTIFS(Restricciones!$D$6:$D$305,B396,Restricciones!$F$6:$F$305,"Abierta")+COUNTIFS(Restricciones!$D$6:$D$305,B396,Restricciones!$F$6:$F$305,"En gestión"),IF(C396="CWA",COUNTIFS(Restricciones!$C$6:$C$305,"CWP-"&amp;MID(B396,5,4)&amp;"-*",Restricciones!$F$6:$F$305,"Abierta")+COUNTIFS(Restricciones!$C$6:$C$305,"CWP-"&amp;MID(B396,5,4)&amp;"-*",Restricciones!$F$6:$F$305,"En gestión"),COUNTIFS(Restricciones!$C$6:$C$305,IF(C396="CWP",B396,H396),Restricciones!$F$6:$F$305,"Abierta")+COUNTIFS(Restricciones!$C$6:$C$305,IF(C396="CWP",B396,H396),Restricciones!$F$6:$F$305,"En gestión"))))</f>
        <v/>
      </c>
      <c r="S396" s="30">
        <f>IF(OR(B396="",M396=""),"",IF(O396&lt;&gt;"",MAX(0,O396-M396),IF(AND($B$3&gt;M396,K396&lt;&gt;"Cerrado"),$B$3-M396,0)))</f>
        <v/>
      </c>
      <c r="T396" s="31">
        <f>IF(B396="","",IF(K396="Cerrado",IF(S396&gt;0,"Cerrado con atraso","Cerrado"),IF(S396&gt;0,"Atrasado",IF(AND(N396="",L396&lt;&gt;"",$B$3&gt;L396),"Inicio atrasado","En plazo"))))</f>
        <v/>
      </c>
      <c r="U396" s="26" t="n"/>
    </row>
    <row r="397">
      <c r="A397" s="24" t="n"/>
      <c r="B397" s="25" t="n"/>
      <c r="C397" s="25" t="n"/>
      <c r="D397" s="25" t="n"/>
      <c r="E397" s="26" t="n"/>
      <c r="F397" s="25" t="n"/>
      <c r="G397" s="25" t="n"/>
      <c r="H397" s="25" t="n"/>
      <c r="I397" s="25" t="n"/>
      <c r="J397" s="25" t="n"/>
      <c r="K397" s="25" t="n"/>
      <c r="L397" s="27" t="n"/>
      <c r="M397" s="27" t="n"/>
      <c r="N397" s="27" t="n"/>
      <c r="O397" s="27" t="n"/>
      <c r="P397" s="28" t="n"/>
      <c r="Q397" s="29" t="n"/>
      <c r="R397" s="30">
        <f>IF(B397="","",IF(C397="IWP",COUNTIFS(Restricciones!$D$6:$D$305,B397,Restricciones!$F$6:$F$305,"Abierta")+COUNTIFS(Restricciones!$D$6:$D$305,B397,Restricciones!$F$6:$F$305,"En gestión"),IF(C397="CWA",COUNTIFS(Restricciones!$C$6:$C$305,"CWP-"&amp;MID(B397,5,4)&amp;"-*",Restricciones!$F$6:$F$305,"Abierta")+COUNTIFS(Restricciones!$C$6:$C$305,"CWP-"&amp;MID(B397,5,4)&amp;"-*",Restricciones!$F$6:$F$305,"En gestión"),COUNTIFS(Restricciones!$C$6:$C$305,IF(C397="CWP",B397,H397),Restricciones!$F$6:$F$305,"Abierta")+COUNTIFS(Restricciones!$C$6:$C$305,IF(C397="CWP",B397,H397),Restricciones!$F$6:$F$305,"En gestión"))))</f>
        <v/>
      </c>
      <c r="S397" s="30">
        <f>IF(OR(B397="",M397=""),"",IF(O397&lt;&gt;"",MAX(0,O397-M397),IF(AND($B$3&gt;M397,K397&lt;&gt;"Cerrado"),$B$3-M397,0)))</f>
        <v/>
      </c>
      <c r="T397" s="31">
        <f>IF(B397="","",IF(K397="Cerrado",IF(S397&gt;0,"Cerrado con atraso","Cerrado"),IF(S397&gt;0,"Atrasado",IF(AND(N397="",L397&lt;&gt;"",$B$3&gt;L397),"Inicio atrasado","En plazo"))))</f>
        <v/>
      </c>
      <c r="U397" s="26" t="n"/>
    </row>
    <row r="398">
      <c r="A398" s="24" t="n"/>
      <c r="B398" s="25" t="n"/>
      <c r="C398" s="25" t="n"/>
      <c r="D398" s="25" t="n"/>
      <c r="E398" s="26" t="n"/>
      <c r="F398" s="25" t="n"/>
      <c r="G398" s="25" t="n"/>
      <c r="H398" s="25" t="n"/>
      <c r="I398" s="25" t="n"/>
      <c r="J398" s="25" t="n"/>
      <c r="K398" s="25" t="n"/>
      <c r="L398" s="27" t="n"/>
      <c r="M398" s="27" t="n"/>
      <c r="N398" s="27" t="n"/>
      <c r="O398" s="27" t="n"/>
      <c r="P398" s="28" t="n"/>
      <c r="Q398" s="29" t="n"/>
      <c r="R398" s="30">
        <f>IF(B398="","",IF(C398="IWP",COUNTIFS(Restricciones!$D$6:$D$305,B398,Restricciones!$F$6:$F$305,"Abierta")+COUNTIFS(Restricciones!$D$6:$D$305,B398,Restricciones!$F$6:$F$305,"En gestión"),IF(C398="CWA",COUNTIFS(Restricciones!$C$6:$C$305,"CWP-"&amp;MID(B398,5,4)&amp;"-*",Restricciones!$F$6:$F$305,"Abierta")+COUNTIFS(Restricciones!$C$6:$C$305,"CWP-"&amp;MID(B398,5,4)&amp;"-*",Restricciones!$F$6:$F$305,"En gestión"),COUNTIFS(Restricciones!$C$6:$C$305,IF(C398="CWP",B398,H398),Restricciones!$F$6:$F$305,"Abierta")+COUNTIFS(Restricciones!$C$6:$C$305,IF(C398="CWP",B398,H398),Restricciones!$F$6:$F$305,"En gestión"))))</f>
        <v/>
      </c>
      <c r="S398" s="30">
        <f>IF(OR(B398="",M398=""),"",IF(O398&lt;&gt;"",MAX(0,O398-M398),IF(AND($B$3&gt;M398,K398&lt;&gt;"Cerrado"),$B$3-M398,0)))</f>
        <v/>
      </c>
      <c r="T398" s="31">
        <f>IF(B398="","",IF(K398="Cerrado",IF(S398&gt;0,"Cerrado con atraso","Cerrado"),IF(S398&gt;0,"Atrasado",IF(AND(N398="",L398&lt;&gt;"",$B$3&gt;L398),"Inicio atrasado","En plazo"))))</f>
        <v/>
      </c>
      <c r="U398" s="26" t="n"/>
    </row>
    <row r="399">
      <c r="A399" s="24" t="n"/>
      <c r="B399" s="25" t="n"/>
      <c r="C399" s="25" t="n"/>
      <c r="D399" s="25" t="n"/>
      <c r="E399" s="26" t="n"/>
      <c r="F399" s="25" t="n"/>
      <c r="G399" s="25" t="n"/>
      <c r="H399" s="25" t="n"/>
      <c r="I399" s="25" t="n"/>
      <c r="J399" s="25" t="n"/>
      <c r="K399" s="25" t="n"/>
      <c r="L399" s="27" t="n"/>
      <c r="M399" s="27" t="n"/>
      <c r="N399" s="27" t="n"/>
      <c r="O399" s="27" t="n"/>
      <c r="P399" s="28" t="n"/>
      <c r="Q399" s="29" t="n"/>
      <c r="R399" s="30">
        <f>IF(B399="","",IF(C399="IWP",COUNTIFS(Restricciones!$D$6:$D$305,B399,Restricciones!$F$6:$F$305,"Abierta")+COUNTIFS(Restricciones!$D$6:$D$305,B399,Restricciones!$F$6:$F$305,"En gestión"),IF(C399="CWA",COUNTIFS(Restricciones!$C$6:$C$305,"CWP-"&amp;MID(B399,5,4)&amp;"-*",Restricciones!$F$6:$F$305,"Abierta")+COUNTIFS(Restricciones!$C$6:$C$305,"CWP-"&amp;MID(B399,5,4)&amp;"-*",Restricciones!$F$6:$F$305,"En gestión"),COUNTIFS(Restricciones!$C$6:$C$305,IF(C399="CWP",B399,H399),Restricciones!$F$6:$F$305,"Abierta")+COUNTIFS(Restricciones!$C$6:$C$305,IF(C399="CWP",B399,H399),Restricciones!$F$6:$F$305,"En gestión"))))</f>
        <v/>
      </c>
      <c r="S399" s="30">
        <f>IF(OR(B399="",M399=""),"",IF(O399&lt;&gt;"",MAX(0,O399-M399),IF(AND($B$3&gt;M399,K399&lt;&gt;"Cerrado"),$B$3-M399,0)))</f>
        <v/>
      </c>
      <c r="T399" s="31">
        <f>IF(B399="","",IF(K399="Cerrado",IF(S399&gt;0,"Cerrado con atraso","Cerrado"),IF(S399&gt;0,"Atrasado",IF(AND(N399="",L399&lt;&gt;"",$B$3&gt;L399),"Inicio atrasado","En plazo"))))</f>
        <v/>
      </c>
      <c r="U399" s="26" t="n"/>
    </row>
    <row r="400">
      <c r="A400" s="24" t="n"/>
      <c r="B400" s="25" t="n"/>
      <c r="C400" s="25" t="n"/>
      <c r="D400" s="25" t="n"/>
      <c r="E400" s="26" t="n"/>
      <c r="F400" s="25" t="n"/>
      <c r="G400" s="25" t="n"/>
      <c r="H400" s="25" t="n"/>
      <c r="I400" s="25" t="n"/>
      <c r="J400" s="25" t="n"/>
      <c r="K400" s="25" t="n"/>
      <c r="L400" s="27" t="n"/>
      <c r="M400" s="27" t="n"/>
      <c r="N400" s="27" t="n"/>
      <c r="O400" s="27" t="n"/>
      <c r="P400" s="28" t="n"/>
      <c r="Q400" s="29" t="n"/>
      <c r="R400" s="30">
        <f>IF(B400="","",IF(C400="IWP",COUNTIFS(Restricciones!$D$6:$D$305,B400,Restricciones!$F$6:$F$305,"Abierta")+COUNTIFS(Restricciones!$D$6:$D$305,B400,Restricciones!$F$6:$F$305,"En gestión"),IF(C400="CWA",COUNTIFS(Restricciones!$C$6:$C$305,"CWP-"&amp;MID(B400,5,4)&amp;"-*",Restricciones!$F$6:$F$305,"Abierta")+COUNTIFS(Restricciones!$C$6:$C$305,"CWP-"&amp;MID(B400,5,4)&amp;"-*",Restricciones!$F$6:$F$305,"En gestión"),COUNTIFS(Restricciones!$C$6:$C$305,IF(C400="CWP",B400,H400),Restricciones!$F$6:$F$305,"Abierta")+COUNTIFS(Restricciones!$C$6:$C$305,IF(C400="CWP",B400,H400),Restricciones!$F$6:$F$305,"En gestión"))))</f>
        <v/>
      </c>
      <c r="S400" s="30">
        <f>IF(OR(B400="",M400=""),"",IF(O400&lt;&gt;"",MAX(0,O400-M400),IF(AND($B$3&gt;M400,K400&lt;&gt;"Cerrado"),$B$3-M400,0)))</f>
        <v/>
      </c>
      <c r="T400" s="31">
        <f>IF(B400="","",IF(K400="Cerrado",IF(S400&gt;0,"Cerrado con atraso","Cerrado"),IF(S400&gt;0,"Atrasado",IF(AND(N400="",L400&lt;&gt;"",$B$3&gt;L400),"Inicio atrasado","En plazo"))))</f>
        <v/>
      </c>
      <c r="U400" s="26" t="n"/>
    </row>
    <row r="401">
      <c r="A401" s="24" t="n"/>
      <c r="B401" s="25" t="n"/>
      <c r="C401" s="25" t="n"/>
      <c r="D401" s="25" t="n"/>
      <c r="E401" s="26" t="n"/>
      <c r="F401" s="25" t="n"/>
      <c r="G401" s="25" t="n"/>
      <c r="H401" s="25" t="n"/>
      <c r="I401" s="25" t="n"/>
      <c r="J401" s="25" t="n"/>
      <c r="K401" s="25" t="n"/>
      <c r="L401" s="27" t="n"/>
      <c r="M401" s="27" t="n"/>
      <c r="N401" s="27" t="n"/>
      <c r="O401" s="27" t="n"/>
      <c r="P401" s="28" t="n"/>
      <c r="Q401" s="29" t="n"/>
      <c r="R401" s="30">
        <f>IF(B401="","",IF(C401="IWP",COUNTIFS(Restricciones!$D$6:$D$305,B401,Restricciones!$F$6:$F$305,"Abierta")+COUNTIFS(Restricciones!$D$6:$D$305,B401,Restricciones!$F$6:$F$305,"En gestión"),IF(C401="CWA",COUNTIFS(Restricciones!$C$6:$C$305,"CWP-"&amp;MID(B401,5,4)&amp;"-*",Restricciones!$F$6:$F$305,"Abierta")+COUNTIFS(Restricciones!$C$6:$C$305,"CWP-"&amp;MID(B401,5,4)&amp;"-*",Restricciones!$F$6:$F$305,"En gestión"),COUNTIFS(Restricciones!$C$6:$C$305,IF(C401="CWP",B401,H401),Restricciones!$F$6:$F$305,"Abierta")+COUNTIFS(Restricciones!$C$6:$C$305,IF(C401="CWP",B401,H401),Restricciones!$F$6:$F$305,"En gestión"))))</f>
        <v/>
      </c>
      <c r="S401" s="30">
        <f>IF(OR(B401="",M401=""),"",IF(O401&lt;&gt;"",MAX(0,O401-M401),IF(AND($B$3&gt;M401,K401&lt;&gt;"Cerrado"),$B$3-M401,0)))</f>
        <v/>
      </c>
      <c r="T401" s="31">
        <f>IF(B401="","",IF(K401="Cerrado",IF(S401&gt;0,"Cerrado con atraso","Cerrado"),IF(S401&gt;0,"Atrasado",IF(AND(N401="",L401&lt;&gt;"",$B$3&gt;L401),"Inicio atrasado","En plazo"))))</f>
        <v/>
      </c>
      <c r="U401" s="26" t="n"/>
    </row>
    <row r="402">
      <c r="A402" s="24" t="n"/>
      <c r="B402" s="25" t="n"/>
      <c r="C402" s="25" t="n"/>
      <c r="D402" s="25" t="n"/>
      <c r="E402" s="26" t="n"/>
      <c r="F402" s="25" t="n"/>
      <c r="G402" s="25" t="n"/>
      <c r="H402" s="25" t="n"/>
      <c r="I402" s="25" t="n"/>
      <c r="J402" s="25" t="n"/>
      <c r="K402" s="25" t="n"/>
      <c r="L402" s="27" t="n"/>
      <c r="M402" s="27" t="n"/>
      <c r="N402" s="27" t="n"/>
      <c r="O402" s="27" t="n"/>
      <c r="P402" s="28" t="n"/>
      <c r="Q402" s="29" t="n"/>
      <c r="R402" s="30">
        <f>IF(B402="","",IF(C402="IWP",COUNTIFS(Restricciones!$D$6:$D$305,B402,Restricciones!$F$6:$F$305,"Abierta")+COUNTIFS(Restricciones!$D$6:$D$305,B402,Restricciones!$F$6:$F$305,"En gestión"),IF(C402="CWA",COUNTIFS(Restricciones!$C$6:$C$305,"CWP-"&amp;MID(B402,5,4)&amp;"-*",Restricciones!$F$6:$F$305,"Abierta")+COUNTIFS(Restricciones!$C$6:$C$305,"CWP-"&amp;MID(B402,5,4)&amp;"-*",Restricciones!$F$6:$F$305,"En gestión"),COUNTIFS(Restricciones!$C$6:$C$305,IF(C402="CWP",B402,H402),Restricciones!$F$6:$F$305,"Abierta")+COUNTIFS(Restricciones!$C$6:$C$305,IF(C402="CWP",B402,H402),Restricciones!$F$6:$F$305,"En gestión"))))</f>
        <v/>
      </c>
      <c r="S402" s="30">
        <f>IF(OR(B402="",M402=""),"",IF(O402&lt;&gt;"",MAX(0,O402-M402),IF(AND($B$3&gt;M402,K402&lt;&gt;"Cerrado"),$B$3-M402,0)))</f>
        <v/>
      </c>
      <c r="T402" s="31">
        <f>IF(B402="","",IF(K402="Cerrado",IF(S402&gt;0,"Cerrado con atraso","Cerrado"),IF(S402&gt;0,"Atrasado",IF(AND(N402="",L402&lt;&gt;"",$B$3&gt;L402),"Inicio atrasado","En plazo"))))</f>
        <v/>
      </c>
      <c r="U402" s="26" t="n"/>
    </row>
    <row r="403">
      <c r="A403" s="24" t="n"/>
      <c r="B403" s="25" t="n"/>
      <c r="C403" s="25" t="n"/>
      <c r="D403" s="25" t="n"/>
      <c r="E403" s="26" t="n"/>
      <c r="F403" s="25" t="n"/>
      <c r="G403" s="25" t="n"/>
      <c r="H403" s="25" t="n"/>
      <c r="I403" s="25" t="n"/>
      <c r="J403" s="25" t="n"/>
      <c r="K403" s="25" t="n"/>
      <c r="L403" s="27" t="n"/>
      <c r="M403" s="27" t="n"/>
      <c r="N403" s="27" t="n"/>
      <c r="O403" s="27" t="n"/>
      <c r="P403" s="28" t="n"/>
      <c r="Q403" s="29" t="n"/>
      <c r="R403" s="30">
        <f>IF(B403="","",IF(C403="IWP",COUNTIFS(Restricciones!$D$6:$D$305,B403,Restricciones!$F$6:$F$305,"Abierta")+COUNTIFS(Restricciones!$D$6:$D$305,B403,Restricciones!$F$6:$F$305,"En gestión"),IF(C403="CWA",COUNTIFS(Restricciones!$C$6:$C$305,"CWP-"&amp;MID(B403,5,4)&amp;"-*",Restricciones!$F$6:$F$305,"Abierta")+COUNTIFS(Restricciones!$C$6:$C$305,"CWP-"&amp;MID(B403,5,4)&amp;"-*",Restricciones!$F$6:$F$305,"En gestión"),COUNTIFS(Restricciones!$C$6:$C$305,IF(C403="CWP",B403,H403),Restricciones!$F$6:$F$305,"Abierta")+COUNTIFS(Restricciones!$C$6:$C$305,IF(C403="CWP",B403,H403),Restricciones!$F$6:$F$305,"En gestión"))))</f>
        <v/>
      </c>
      <c r="S403" s="30">
        <f>IF(OR(B403="",M403=""),"",IF(O403&lt;&gt;"",MAX(0,O403-M403),IF(AND($B$3&gt;M403,K403&lt;&gt;"Cerrado"),$B$3-M403,0)))</f>
        <v/>
      </c>
      <c r="T403" s="31">
        <f>IF(B403="","",IF(K403="Cerrado",IF(S403&gt;0,"Cerrado con atraso","Cerrado"),IF(S403&gt;0,"Atrasado",IF(AND(N403="",L403&lt;&gt;"",$B$3&gt;L403),"Inicio atrasado","En plazo"))))</f>
        <v/>
      </c>
      <c r="U403" s="26" t="n"/>
    </row>
    <row r="404">
      <c r="A404" s="24" t="n"/>
      <c r="B404" s="25" t="n"/>
      <c r="C404" s="25" t="n"/>
      <c r="D404" s="25" t="n"/>
      <c r="E404" s="26" t="n"/>
      <c r="F404" s="25" t="n"/>
      <c r="G404" s="25" t="n"/>
      <c r="H404" s="25" t="n"/>
      <c r="I404" s="25" t="n"/>
      <c r="J404" s="25" t="n"/>
      <c r="K404" s="25" t="n"/>
      <c r="L404" s="27" t="n"/>
      <c r="M404" s="27" t="n"/>
      <c r="N404" s="27" t="n"/>
      <c r="O404" s="27" t="n"/>
      <c r="P404" s="28" t="n"/>
      <c r="Q404" s="29" t="n"/>
      <c r="R404" s="30">
        <f>IF(B404="","",IF(C404="IWP",COUNTIFS(Restricciones!$D$6:$D$305,B404,Restricciones!$F$6:$F$305,"Abierta")+COUNTIFS(Restricciones!$D$6:$D$305,B404,Restricciones!$F$6:$F$305,"En gestión"),IF(C404="CWA",COUNTIFS(Restricciones!$C$6:$C$305,"CWP-"&amp;MID(B404,5,4)&amp;"-*",Restricciones!$F$6:$F$305,"Abierta")+COUNTIFS(Restricciones!$C$6:$C$305,"CWP-"&amp;MID(B404,5,4)&amp;"-*",Restricciones!$F$6:$F$305,"En gestión"),COUNTIFS(Restricciones!$C$6:$C$305,IF(C404="CWP",B404,H404),Restricciones!$F$6:$F$305,"Abierta")+COUNTIFS(Restricciones!$C$6:$C$305,IF(C404="CWP",B404,H404),Restricciones!$F$6:$F$305,"En gestión"))))</f>
        <v/>
      </c>
      <c r="S404" s="30">
        <f>IF(OR(B404="",M404=""),"",IF(O404&lt;&gt;"",MAX(0,O404-M404),IF(AND($B$3&gt;M404,K404&lt;&gt;"Cerrado"),$B$3-M404,0)))</f>
        <v/>
      </c>
      <c r="T404" s="31">
        <f>IF(B404="","",IF(K404="Cerrado",IF(S404&gt;0,"Cerrado con atraso","Cerrado"),IF(S404&gt;0,"Atrasado",IF(AND(N404="",L404&lt;&gt;"",$B$3&gt;L404),"Inicio atrasado","En plazo"))))</f>
        <v/>
      </c>
      <c r="U404" s="26" t="n"/>
    </row>
    <row r="405">
      <c r="A405" s="24" t="n"/>
      <c r="B405" s="25" t="n"/>
      <c r="C405" s="25" t="n"/>
      <c r="D405" s="25" t="n"/>
      <c r="E405" s="26" t="n"/>
      <c r="F405" s="25" t="n"/>
      <c r="G405" s="25" t="n"/>
      <c r="H405" s="25" t="n"/>
      <c r="I405" s="25" t="n"/>
      <c r="J405" s="25" t="n"/>
      <c r="K405" s="25" t="n"/>
      <c r="L405" s="27" t="n"/>
      <c r="M405" s="27" t="n"/>
      <c r="N405" s="27" t="n"/>
      <c r="O405" s="27" t="n"/>
      <c r="P405" s="28" t="n"/>
      <c r="Q405" s="29" t="n"/>
      <c r="R405" s="30">
        <f>IF(B405="","",IF(C405="IWP",COUNTIFS(Restricciones!$D$6:$D$305,B405,Restricciones!$F$6:$F$305,"Abierta")+COUNTIFS(Restricciones!$D$6:$D$305,B405,Restricciones!$F$6:$F$305,"En gestión"),IF(C405="CWA",COUNTIFS(Restricciones!$C$6:$C$305,"CWP-"&amp;MID(B405,5,4)&amp;"-*",Restricciones!$F$6:$F$305,"Abierta")+COUNTIFS(Restricciones!$C$6:$C$305,"CWP-"&amp;MID(B405,5,4)&amp;"-*",Restricciones!$F$6:$F$305,"En gestión"),COUNTIFS(Restricciones!$C$6:$C$305,IF(C405="CWP",B405,H405),Restricciones!$F$6:$F$305,"Abierta")+COUNTIFS(Restricciones!$C$6:$C$305,IF(C405="CWP",B405,H405),Restricciones!$F$6:$F$305,"En gestión"))))</f>
        <v/>
      </c>
      <c r="S405" s="30">
        <f>IF(OR(B405="",M405=""),"",IF(O405&lt;&gt;"",MAX(0,O405-M405),IF(AND($B$3&gt;M405,K405&lt;&gt;"Cerrado"),$B$3-M405,0)))</f>
        <v/>
      </c>
      <c r="T405" s="31">
        <f>IF(B405="","",IF(K405="Cerrado",IF(S405&gt;0,"Cerrado con atraso","Cerrado"),IF(S405&gt;0,"Atrasado",IF(AND(N405="",L405&lt;&gt;"",$B$3&gt;L405),"Inicio atrasado","En plazo"))))</f>
        <v/>
      </c>
      <c r="U405" s="26" t="n"/>
    </row>
    <row r="406">
      <c r="A406" s="24" t="n"/>
      <c r="B406" s="25" t="n"/>
      <c r="C406" s="25" t="n"/>
      <c r="D406" s="25" t="n"/>
      <c r="E406" s="26" t="n"/>
      <c r="F406" s="25" t="n"/>
      <c r="G406" s="25" t="n"/>
      <c r="H406" s="25" t="n"/>
      <c r="I406" s="25" t="n"/>
      <c r="J406" s="25" t="n"/>
      <c r="K406" s="25" t="n"/>
      <c r="L406" s="27" t="n"/>
      <c r="M406" s="27" t="n"/>
      <c r="N406" s="27" t="n"/>
      <c r="O406" s="27" t="n"/>
      <c r="P406" s="28" t="n"/>
      <c r="Q406" s="29" t="n"/>
      <c r="R406" s="30">
        <f>IF(B406="","",IF(C406="IWP",COUNTIFS(Restricciones!$D$6:$D$305,B406,Restricciones!$F$6:$F$305,"Abierta")+COUNTIFS(Restricciones!$D$6:$D$305,B406,Restricciones!$F$6:$F$305,"En gestión"),IF(C406="CWA",COUNTIFS(Restricciones!$C$6:$C$305,"CWP-"&amp;MID(B406,5,4)&amp;"-*",Restricciones!$F$6:$F$305,"Abierta")+COUNTIFS(Restricciones!$C$6:$C$305,"CWP-"&amp;MID(B406,5,4)&amp;"-*",Restricciones!$F$6:$F$305,"En gestión"),COUNTIFS(Restricciones!$C$6:$C$305,IF(C406="CWP",B406,H406),Restricciones!$F$6:$F$305,"Abierta")+COUNTIFS(Restricciones!$C$6:$C$305,IF(C406="CWP",B406,H406),Restricciones!$F$6:$F$305,"En gestión"))))</f>
        <v/>
      </c>
      <c r="S406" s="30">
        <f>IF(OR(B406="",M406=""),"",IF(O406&lt;&gt;"",MAX(0,O406-M406),IF(AND($B$3&gt;M406,K406&lt;&gt;"Cerrado"),$B$3-M406,0)))</f>
        <v/>
      </c>
      <c r="T406" s="31">
        <f>IF(B406="","",IF(K406="Cerrado",IF(S406&gt;0,"Cerrado con atraso","Cerrado"),IF(S406&gt;0,"Atrasado",IF(AND(N406="",L406&lt;&gt;"",$B$3&gt;L406),"Inicio atrasado","En plazo"))))</f>
        <v/>
      </c>
      <c r="U406" s="26" t="n"/>
    </row>
    <row r="407">
      <c r="A407" s="24" t="n"/>
      <c r="B407" s="25" t="n"/>
      <c r="C407" s="25" t="n"/>
      <c r="D407" s="25" t="n"/>
      <c r="E407" s="26" t="n"/>
      <c r="F407" s="25" t="n"/>
      <c r="G407" s="25" t="n"/>
      <c r="H407" s="25" t="n"/>
      <c r="I407" s="25" t="n"/>
      <c r="J407" s="25" t="n"/>
      <c r="K407" s="25" t="n"/>
      <c r="L407" s="27" t="n"/>
      <c r="M407" s="27" t="n"/>
      <c r="N407" s="27" t="n"/>
      <c r="O407" s="27" t="n"/>
      <c r="P407" s="28" t="n"/>
      <c r="Q407" s="29" t="n"/>
      <c r="R407" s="30">
        <f>IF(B407="","",IF(C407="IWP",COUNTIFS(Restricciones!$D$6:$D$305,B407,Restricciones!$F$6:$F$305,"Abierta")+COUNTIFS(Restricciones!$D$6:$D$305,B407,Restricciones!$F$6:$F$305,"En gestión"),IF(C407="CWA",COUNTIFS(Restricciones!$C$6:$C$305,"CWP-"&amp;MID(B407,5,4)&amp;"-*",Restricciones!$F$6:$F$305,"Abierta")+COUNTIFS(Restricciones!$C$6:$C$305,"CWP-"&amp;MID(B407,5,4)&amp;"-*",Restricciones!$F$6:$F$305,"En gestión"),COUNTIFS(Restricciones!$C$6:$C$305,IF(C407="CWP",B407,H407),Restricciones!$F$6:$F$305,"Abierta")+COUNTIFS(Restricciones!$C$6:$C$305,IF(C407="CWP",B407,H407),Restricciones!$F$6:$F$305,"En gestión"))))</f>
        <v/>
      </c>
      <c r="S407" s="30">
        <f>IF(OR(B407="",M407=""),"",IF(O407&lt;&gt;"",MAX(0,O407-M407),IF(AND($B$3&gt;M407,K407&lt;&gt;"Cerrado"),$B$3-M407,0)))</f>
        <v/>
      </c>
      <c r="T407" s="31">
        <f>IF(B407="","",IF(K407="Cerrado",IF(S407&gt;0,"Cerrado con atraso","Cerrado"),IF(S407&gt;0,"Atrasado",IF(AND(N407="",L407&lt;&gt;"",$B$3&gt;L407),"Inicio atrasado","En plazo"))))</f>
        <v/>
      </c>
      <c r="U407" s="26" t="n"/>
    </row>
    <row r="408">
      <c r="A408" s="24" t="n"/>
      <c r="B408" s="25" t="n"/>
      <c r="C408" s="25" t="n"/>
      <c r="D408" s="25" t="n"/>
      <c r="E408" s="26" t="n"/>
      <c r="F408" s="25" t="n"/>
      <c r="G408" s="25" t="n"/>
      <c r="H408" s="25" t="n"/>
      <c r="I408" s="25" t="n"/>
      <c r="J408" s="25" t="n"/>
      <c r="K408" s="25" t="n"/>
      <c r="L408" s="27" t="n"/>
      <c r="M408" s="27" t="n"/>
      <c r="N408" s="27" t="n"/>
      <c r="O408" s="27" t="n"/>
      <c r="P408" s="28" t="n"/>
      <c r="Q408" s="29" t="n"/>
      <c r="R408" s="30">
        <f>IF(B408="","",IF(C408="IWP",COUNTIFS(Restricciones!$D$6:$D$305,B408,Restricciones!$F$6:$F$305,"Abierta")+COUNTIFS(Restricciones!$D$6:$D$305,B408,Restricciones!$F$6:$F$305,"En gestión"),IF(C408="CWA",COUNTIFS(Restricciones!$C$6:$C$305,"CWP-"&amp;MID(B408,5,4)&amp;"-*",Restricciones!$F$6:$F$305,"Abierta")+COUNTIFS(Restricciones!$C$6:$C$305,"CWP-"&amp;MID(B408,5,4)&amp;"-*",Restricciones!$F$6:$F$305,"En gestión"),COUNTIFS(Restricciones!$C$6:$C$305,IF(C408="CWP",B408,H408),Restricciones!$F$6:$F$305,"Abierta")+COUNTIFS(Restricciones!$C$6:$C$305,IF(C408="CWP",B408,H408),Restricciones!$F$6:$F$305,"En gestión"))))</f>
        <v/>
      </c>
      <c r="S408" s="30">
        <f>IF(OR(B408="",M408=""),"",IF(O408&lt;&gt;"",MAX(0,O408-M408),IF(AND($B$3&gt;M408,K408&lt;&gt;"Cerrado"),$B$3-M408,0)))</f>
        <v/>
      </c>
      <c r="T408" s="31">
        <f>IF(B408="","",IF(K408="Cerrado",IF(S408&gt;0,"Cerrado con atraso","Cerrado"),IF(S408&gt;0,"Atrasado",IF(AND(N408="",L408&lt;&gt;"",$B$3&gt;L408),"Inicio atrasado","En plazo"))))</f>
        <v/>
      </c>
      <c r="U408" s="26" t="n"/>
    </row>
    <row r="409">
      <c r="A409" s="24" t="n"/>
      <c r="B409" s="25" t="n"/>
      <c r="C409" s="25" t="n"/>
      <c r="D409" s="25" t="n"/>
      <c r="E409" s="26" t="n"/>
      <c r="F409" s="25" t="n"/>
      <c r="G409" s="25" t="n"/>
      <c r="H409" s="25" t="n"/>
      <c r="I409" s="25" t="n"/>
      <c r="J409" s="25" t="n"/>
      <c r="K409" s="25" t="n"/>
      <c r="L409" s="27" t="n"/>
      <c r="M409" s="27" t="n"/>
      <c r="N409" s="27" t="n"/>
      <c r="O409" s="27" t="n"/>
      <c r="P409" s="28" t="n"/>
      <c r="Q409" s="29" t="n"/>
      <c r="R409" s="30">
        <f>IF(B409="","",IF(C409="IWP",COUNTIFS(Restricciones!$D$6:$D$305,B409,Restricciones!$F$6:$F$305,"Abierta")+COUNTIFS(Restricciones!$D$6:$D$305,B409,Restricciones!$F$6:$F$305,"En gestión"),IF(C409="CWA",COUNTIFS(Restricciones!$C$6:$C$305,"CWP-"&amp;MID(B409,5,4)&amp;"-*",Restricciones!$F$6:$F$305,"Abierta")+COUNTIFS(Restricciones!$C$6:$C$305,"CWP-"&amp;MID(B409,5,4)&amp;"-*",Restricciones!$F$6:$F$305,"En gestión"),COUNTIFS(Restricciones!$C$6:$C$305,IF(C409="CWP",B409,H409),Restricciones!$F$6:$F$305,"Abierta")+COUNTIFS(Restricciones!$C$6:$C$305,IF(C409="CWP",B409,H409),Restricciones!$F$6:$F$305,"En gestión"))))</f>
        <v/>
      </c>
      <c r="S409" s="30">
        <f>IF(OR(B409="",M409=""),"",IF(O409&lt;&gt;"",MAX(0,O409-M409),IF(AND($B$3&gt;M409,K409&lt;&gt;"Cerrado"),$B$3-M409,0)))</f>
        <v/>
      </c>
      <c r="T409" s="31">
        <f>IF(B409="","",IF(K409="Cerrado",IF(S409&gt;0,"Cerrado con atraso","Cerrado"),IF(S409&gt;0,"Atrasado",IF(AND(N409="",L409&lt;&gt;"",$B$3&gt;L409),"Inicio atrasado","En plazo"))))</f>
        <v/>
      </c>
      <c r="U409" s="26" t="n"/>
    </row>
    <row r="410">
      <c r="A410" s="24" t="n"/>
      <c r="B410" s="25" t="n"/>
      <c r="C410" s="25" t="n"/>
      <c r="D410" s="25" t="n"/>
      <c r="E410" s="26" t="n"/>
      <c r="F410" s="25" t="n"/>
      <c r="G410" s="25" t="n"/>
      <c r="H410" s="25" t="n"/>
      <c r="I410" s="25" t="n"/>
      <c r="J410" s="25" t="n"/>
      <c r="K410" s="25" t="n"/>
      <c r="L410" s="27" t="n"/>
      <c r="M410" s="27" t="n"/>
      <c r="N410" s="27" t="n"/>
      <c r="O410" s="27" t="n"/>
      <c r="P410" s="28" t="n"/>
      <c r="Q410" s="29" t="n"/>
      <c r="R410" s="30">
        <f>IF(B410="","",IF(C410="IWP",COUNTIFS(Restricciones!$D$6:$D$305,B410,Restricciones!$F$6:$F$305,"Abierta")+COUNTIFS(Restricciones!$D$6:$D$305,B410,Restricciones!$F$6:$F$305,"En gestión"),IF(C410="CWA",COUNTIFS(Restricciones!$C$6:$C$305,"CWP-"&amp;MID(B410,5,4)&amp;"-*",Restricciones!$F$6:$F$305,"Abierta")+COUNTIFS(Restricciones!$C$6:$C$305,"CWP-"&amp;MID(B410,5,4)&amp;"-*",Restricciones!$F$6:$F$305,"En gestión"),COUNTIFS(Restricciones!$C$6:$C$305,IF(C410="CWP",B410,H410),Restricciones!$F$6:$F$305,"Abierta")+COUNTIFS(Restricciones!$C$6:$C$305,IF(C410="CWP",B410,H410),Restricciones!$F$6:$F$305,"En gestión"))))</f>
        <v/>
      </c>
      <c r="S410" s="30">
        <f>IF(OR(B410="",M410=""),"",IF(O410&lt;&gt;"",MAX(0,O410-M410),IF(AND($B$3&gt;M410,K410&lt;&gt;"Cerrado"),$B$3-M410,0)))</f>
        <v/>
      </c>
      <c r="T410" s="31">
        <f>IF(B410="","",IF(K410="Cerrado",IF(S410&gt;0,"Cerrado con atraso","Cerrado"),IF(S410&gt;0,"Atrasado",IF(AND(N410="",L410&lt;&gt;"",$B$3&gt;L410),"Inicio atrasado","En plazo"))))</f>
        <v/>
      </c>
      <c r="U410" s="26" t="n"/>
    </row>
    <row r="411">
      <c r="A411" s="24" t="n"/>
      <c r="B411" s="25" t="n"/>
      <c r="C411" s="25" t="n"/>
      <c r="D411" s="25" t="n"/>
      <c r="E411" s="26" t="n"/>
      <c r="F411" s="25" t="n"/>
      <c r="G411" s="25" t="n"/>
      <c r="H411" s="25" t="n"/>
      <c r="I411" s="25" t="n"/>
      <c r="J411" s="25" t="n"/>
      <c r="K411" s="25" t="n"/>
      <c r="L411" s="27" t="n"/>
      <c r="M411" s="27" t="n"/>
      <c r="N411" s="27" t="n"/>
      <c r="O411" s="27" t="n"/>
      <c r="P411" s="28" t="n"/>
      <c r="Q411" s="29" t="n"/>
      <c r="R411" s="30">
        <f>IF(B411="","",IF(C411="IWP",COUNTIFS(Restricciones!$D$6:$D$305,B411,Restricciones!$F$6:$F$305,"Abierta")+COUNTIFS(Restricciones!$D$6:$D$305,B411,Restricciones!$F$6:$F$305,"En gestión"),IF(C411="CWA",COUNTIFS(Restricciones!$C$6:$C$305,"CWP-"&amp;MID(B411,5,4)&amp;"-*",Restricciones!$F$6:$F$305,"Abierta")+COUNTIFS(Restricciones!$C$6:$C$305,"CWP-"&amp;MID(B411,5,4)&amp;"-*",Restricciones!$F$6:$F$305,"En gestión"),COUNTIFS(Restricciones!$C$6:$C$305,IF(C411="CWP",B411,H411),Restricciones!$F$6:$F$305,"Abierta")+COUNTIFS(Restricciones!$C$6:$C$305,IF(C411="CWP",B411,H411),Restricciones!$F$6:$F$305,"En gestión"))))</f>
        <v/>
      </c>
      <c r="S411" s="30">
        <f>IF(OR(B411="",M411=""),"",IF(O411&lt;&gt;"",MAX(0,O411-M411),IF(AND($B$3&gt;M411,K411&lt;&gt;"Cerrado"),$B$3-M411,0)))</f>
        <v/>
      </c>
      <c r="T411" s="31">
        <f>IF(B411="","",IF(K411="Cerrado",IF(S411&gt;0,"Cerrado con atraso","Cerrado"),IF(S411&gt;0,"Atrasado",IF(AND(N411="",L411&lt;&gt;"",$B$3&gt;L411),"Inicio atrasado","En plazo"))))</f>
        <v/>
      </c>
      <c r="U411" s="26" t="n"/>
    </row>
    <row r="412">
      <c r="A412" s="24" t="n"/>
      <c r="B412" s="25" t="n"/>
      <c r="C412" s="25" t="n"/>
      <c r="D412" s="25" t="n"/>
      <c r="E412" s="26" t="n"/>
      <c r="F412" s="25" t="n"/>
      <c r="G412" s="25" t="n"/>
      <c r="H412" s="25" t="n"/>
      <c r="I412" s="25" t="n"/>
      <c r="J412" s="25" t="n"/>
      <c r="K412" s="25" t="n"/>
      <c r="L412" s="27" t="n"/>
      <c r="M412" s="27" t="n"/>
      <c r="N412" s="27" t="n"/>
      <c r="O412" s="27" t="n"/>
      <c r="P412" s="28" t="n"/>
      <c r="Q412" s="29" t="n"/>
      <c r="R412" s="30">
        <f>IF(B412="","",IF(C412="IWP",COUNTIFS(Restricciones!$D$6:$D$305,B412,Restricciones!$F$6:$F$305,"Abierta")+COUNTIFS(Restricciones!$D$6:$D$305,B412,Restricciones!$F$6:$F$305,"En gestión"),IF(C412="CWA",COUNTIFS(Restricciones!$C$6:$C$305,"CWP-"&amp;MID(B412,5,4)&amp;"-*",Restricciones!$F$6:$F$305,"Abierta")+COUNTIFS(Restricciones!$C$6:$C$305,"CWP-"&amp;MID(B412,5,4)&amp;"-*",Restricciones!$F$6:$F$305,"En gestión"),COUNTIFS(Restricciones!$C$6:$C$305,IF(C412="CWP",B412,H412),Restricciones!$F$6:$F$305,"Abierta")+COUNTIFS(Restricciones!$C$6:$C$305,IF(C412="CWP",B412,H412),Restricciones!$F$6:$F$305,"En gestión"))))</f>
        <v/>
      </c>
      <c r="S412" s="30">
        <f>IF(OR(B412="",M412=""),"",IF(O412&lt;&gt;"",MAX(0,O412-M412),IF(AND($B$3&gt;M412,K412&lt;&gt;"Cerrado"),$B$3-M412,0)))</f>
        <v/>
      </c>
      <c r="T412" s="31">
        <f>IF(B412="","",IF(K412="Cerrado",IF(S412&gt;0,"Cerrado con atraso","Cerrado"),IF(S412&gt;0,"Atrasado",IF(AND(N412="",L412&lt;&gt;"",$B$3&gt;L412),"Inicio atrasado","En plazo"))))</f>
        <v/>
      </c>
      <c r="U412" s="26" t="n"/>
    </row>
    <row r="413">
      <c r="A413" s="24" t="n"/>
      <c r="B413" s="25" t="n"/>
      <c r="C413" s="25" t="n"/>
      <c r="D413" s="25" t="n"/>
      <c r="E413" s="26" t="n"/>
      <c r="F413" s="25" t="n"/>
      <c r="G413" s="25" t="n"/>
      <c r="H413" s="25" t="n"/>
      <c r="I413" s="25" t="n"/>
      <c r="J413" s="25" t="n"/>
      <c r="K413" s="25" t="n"/>
      <c r="L413" s="27" t="n"/>
      <c r="M413" s="27" t="n"/>
      <c r="N413" s="27" t="n"/>
      <c r="O413" s="27" t="n"/>
      <c r="P413" s="28" t="n"/>
      <c r="Q413" s="29" t="n"/>
      <c r="R413" s="30">
        <f>IF(B413="","",IF(C413="IWP",COUNTIFS(Restricciones!$D$6:$D$305,B413,Restricciones!$F$6:$F$305,"Abierta")+COUNTIFS(Restricciones!$D$6:$D$305,B413,Restricciones!$F$6:$F$305,"En gestión"),IF(C413="CWA",COUNTIFS(Restricciones!$C$6:$C$305,"CWP-"&amp;MID(B413,5,4)&amp;"-*",Restricciones!$F$6:$F$305,"Abierta")+COUNTIFS(Restricciones!$C$6:$C$305,"CWP-"&amp;MID(B413,5,4)&amp;"-*",Restricciones!$F$6:$F$305,"En gestión"),COUNTIFS(Restricciones!$C$6:$C$305,IF(C413="CWP",B413,H413),Restricciones!$F$6:$F$305,"Abierta")+COUNTIFS(Restricciones!$C$6:$C$305,IF(C413="CWP",B413,H413),Restricciones!$F$6:$F$305,"En gestión"))))</f>
        <v/>
      </c>
      <c r="S413" s="30">
        <f>IF(OR(B413="",M413=""),"",IF(O413&lt;&gt;"",MAX(0,O413-M413),IF(AND($B$3&gt;M413,K413&lt;&gt;"Cerrado"),$B$3-M413,0)))</f>
        <v/>
      </c>
      <c r="T413" s="31">
        <f>IF(B413="","",IF(K413="Cerrado",IF(S413&gt;0,"Cerrado con atraso","Cerrado"),IF(S413&gt;0,"Atrasado",IF(AND(N413="",L413&lt;&gt;"",$B$3&gt;L413),"Inicio atrasado","En plazo"))))</f>
        <v/>
      </c>
      <c r="U413" s="26" t="n"/>
    </row>
    <row r="414">
      <c r="A414" s="24" t="n"/>
      <c r="B414" s="25" t="n"/>
      <c r="C414" s="25" t="n"/>
      <c r="D414" s="25" t="n"/>
      <c r="E414" s="26" t="n"/>
      <c r="F414" s="25" t="n"/>
      <c r="G414" s="25" t="n"/>
      <c r="H414" s="25" t="n"/>
      <c r="I414" s="25" t="n"/>
      <c r="J414" s="25" t="n"/>
      <c r="K414" s="25" t="n"/>
      <c r="L414" s="27" t="n"/>
      <c r="M414" s="27" t="n"/>
      <c r="N414" s="27" t="n"/>
      <c r="O414" s="27" t="n"/>
      <c r="P414" s="28" t="n"/>
      <c r="Q414" s="29" t="n"/>
      <c r="R414" s="30">
        <f>IF(B414="","",IF(C414="IWP",COUNTIFS(Restricciones!$D$6:$D$305,B414,Restricciones!$F$6:$F$305,"Abierta")+COUNTIFS(Restricciones!$D$6:$D$305,B414,Restricciones!$F$6:$F$305,"En gestión"),IF(C414="CWA",COUNTIFS(Restricciones!$C$6:$C$305,"CWP-"&amp;MID(B414,5,4)&amp;"-*",Restricciones!$F$6:$F$305,"Abierta")+COUNTIFS(Restricciones!$C$6:$C$305,"CWP-"&amp;MID(B414,5,4)&amp;"-*",Restricciones!$F$6:$F$305,"En gestión"),COUNTIFS(Restricciones!$C$6:$C$305,IF(C414="CWP",B414,H414),Restricciones!$F$6:$F$305,"Abierta")+COUNTIFS(Restricciones!$C$6:$C$305,IF(C414="CWP",B414,H414),Restricciones!$F$6:$F$305,"En gestión"))))</f>
        <v/>
      </c>
      <c r="S414" s="30">
        <f>IF(OR(B414="",M414=""),"",IF(O414&lt;&gt;"",MAX(0,O414-M414),IF(AND($B$3&gt;M414,K414&lt;&gt;"Cerrado"),$B$3-M414,0)))</f>
        <v/>
      </c>
      <c r="T414" s="31">
        <f>IF(B414="","",IF(K414="Cerrado",IF(S414&gt;0,"Cerrado con atraso","Cerrado"),IF(S414&gt;0,"Atrasado",IF(AND(N414="",L414&lt;&gt;"",$B$3&gt;L414),"Inicio atrasado","En plazo"))))</f>
        <v/>
      </c>
      <c r="U414" s="26" t="n"/>
    </row>
    <row r="415">
      <c r="A415" s="24" t="n"/>
      <c r="B415" s="25" t="n"/>
      <c r="C415" s="25" t="n"/>
      <c r="D415" s="25" t="n"/>
      <c r="E415" s="26" t="n"/>
      <c r="F415" s="25" t="n"/>
      <c r="G415" s="25" t="n"/>
      <c r="H415" s="25" t="n"/>
      <c r="I415" s="25" t="n"/>
      <c r="J415" s="25" t="n"/>
      <c r="K415" s="25" t="n"/>
      <c r="L415" s="27" t="n"/>
      <c r="M415" s="27" t="n"/>
      <c r="N415" s="27" t="n"/>
      <c r="O415" s="27" t="n"/>
      <c r="P415" s="28" t="n"/>
      <c r="Q415" s="29" t="n"/>
      <c r="R415" s="30">
        <f>IF(B415="","",IF(C415="IWP",COUNTIFS(Restricciones!$D$6:$D$305,B415,Restricciones!$F$6:$F$305,"Abierta")+COUNTIFS(Restricciones!$D$6:$D$305,B415,Restricciones!$F$6:$F$305,"En gestión"),IF(C415="CWA",COUNTIFS(Restricciones!$C$6:$C$305,"CWP-"&amp;MID(B415,5,4)&amp;"-*",Restricciones!$F$6:$F$305,"Abierta")+COUNTIFS(Restricciones!$C$6:$C$305,"CWP-"&amp;MID(B415,5,4)&amp;"-*",Restricciones!$F$6:$F$305,"En gestión"),COUNTIFS(Restricciones!$C$6:$C$305,IF(C415="CWP",B415,H415),Restricciones!$F$6:$F$305,"Abierta")+COUNTIFS(Restricciones!$C$6:$C$305,IF(C415="CWP",B415,H415),Restricciones!$F$6:$F$305,"En gestión"))))</f>
        <v/>
      </c>
      <c r="S415" s="30">
        <f>IF(OR(B415="",M415=""),"",IF(O415&lt;&gt;"",MAX(0,O415-M415),IF(AND($B$3&gt;M415,K415&lt;&gt;"Cerrado"),$B$3-M415,0)))</f>
        <v/>
      </c>
      <c r="T415" s="31">
        <f>IF(B415="","",IF(K415="Cerrado",IF(S415&gt;0,"Cerrado con atraso","Cerrado"),IF(S415&gt;0,"Atrasado",IF(AND(N415="",L415&lt;&gt;"",$B$3&gt;L415),"Inicio atrasado","En plazo"))))</f>
        <v/>
      </c>
      <c r="U415" s="26" t="n"/>
    </row>
    <row r="416">
      <c r="A416" s="24" t="n"/>
      <c r="B416" s="25" t="n"/>
      <c r="C416" s="25" t="n"/>
      <c r="D416" s="25" t="n"/>
      <c r="E416" s="26" t="n"/>
      <c r="F416" s="25" t="n"/>
      <c r="G416" s="25" t="n"/>
      <c r="H416" s="25" t="n"/>
      <c r="I416" s="25" t="n"/>
      <c r="J416" s="25" t="n"/>
      <c r="K416" s="25" t="n"/>
      <c r="L416" s="27" t="n"/>
      <c r="M416" s="27" t="n"/>
      <c r="N416" s="27" t="n"/>
      <c r="O416" s="27" t="n"/>
      <c r="P416" s="28" t="n"/>
      <c r="Q416" s="29" t="n"/>
      <c r="R416" s="30">
        <f>IF(B416="","",IF(C416="IWP",COUNTIFS(Restricciones!$D$6:$D$305,B416,Restricciones!$F$6:$F$305,"Abierta")+COUNTIFS(Restricciones!$D$6:$D$305,B416,Restricciones!$F$6:$F$305,"En gestión"),IF(C416="CWA",COUNTIFS(Restricciones!$C$6:$C$305,"CWP-"&amp;MID(B416,5,4)&amp;"-*",Restricciones!$F$6:$F$305,"Abierta")+COUNTIFS(Restricciones!$C$6:$C$305,"CWP-"&amp;MID(B416,5,4)&amp;"-*",Restricciones!$F$6:$F$305,"En gestión"),COUNTIFS(Restricciones!$C$6:$C$305,IF(C416="CWP",B416,H416),Restricciones!$F$6:$F$305,"Abierta")+COUNTIFS(Restricciones!$C$6:$C$305,IF(C416="CWP",B416,H416),Restricciones!$F$6:$F$305,"En gestión"))))</f>
        <v/>
      </c>
      <c r="S416" s="30">
        <f>IF(OR(B416="",M416=""),"",IF(O416&lt;&gt;"",MAX(0,O416-M416),IF(AND($B$3&gt;M416,K416&lt;&gt;"Cerrado"),$B$3-M416,0)))</f>
        <v/>
      </c>
      <c r="T416" s="31">
        <f>IF(B416="","",IF(K416="Cerrado",IF(S416&gt;0,"Cerrado con atraso","Cerrado"),IF(S416&gt;0,"Atrasado",IF(AND(N416="",L416&lt;&gt;"",$B$3&gt;L416),"Inicio atrasado","En plazo"))))</f>
        <v/>
      </c>
      <c r="U416" s="26" t="n"/>
    </row>
    <row r="417">
      <c r="A417" s="24" t="n"/>
      <c r="B417" s="25" t="n"/>
      <c r="C417" s="25" t="n"/>
      <c r="D417" s="25" t="n"/>
      <c r="E417" s="26" t="n"/>
      <c r="F417" s="25" t="n"/>
      <c r="G417" s="25" t="n"/>
      <c r="H417" s="25" t="n"/>
      <c r="I417" s="25" t="n"/>
      <c r="J417" s="25" t="n"/>
      <c r="K417" s="25" t="n"/>
      <c r="L417" s="27" t="n"/>
      <c r="M417" s="27" t="n"/>
      <c r="N417" s="27" t="n"/>
      <c r="O417" s="27" t="n"/>
      <c r="P417" s="28" t="n"/>
      <c r="Q417" s="29" t="n"/>
      <c r="R417" s="30">
        <f>IF(B417="","",IF(C417="IWP",COUNTIFS(Restricciones!$D$6:$D$305,B417,Restricciones!$F$6:$F$305,"Abierta")+COUNTIFS(Restricciones!$D$6:$D$305,B417,Restricciones!$F$6:$F$305,"En gestión"),IF(C417="CWA",COUNTIFS(Restricciones!$C$6:$C$305,"CWP-"&amp;MID(B417,5,4)&amp;"-*",Restricciones!$F$6:$F$305,"Abierta")+COUNTIFS(Restricciones!$C$6:$C$305,"CWP-"&amp;MID(B417,5,4)&amp;"-*",Restricciones!$F$6:$F$305,"En gestión"),COUNTIFS(Restricciones!$C$6:$C$305,IF(C417="CWP",B417,H417),Restricciones!$F$6:$F$305,"Abierta")+COUNTIFS(Restricciones!$C$6:$C$305,IF(C417="CWP",B417,H417),Restricciones!$F$6:$F$305,"En gestión"))))</f>
        <v/>
      </c>
      <c r="S417" s="30">
        <f>IF(OR(B417="",M417=""),"",IF(O417&lt;&gt;"",MAX(0,O417-M417),IF(AND($B$3&gt;M417,K417&lt;&gt;"Cerrado"),$B$3-M417,0)))</f>
        <v/>
      </c>
      <c r="T417" s="31">
        <f>IF(B417="","",IF(K417="Cerrado",IF(S417&gt;0,"Cerrado con atraso","Cerrado"),IF(S417&gt;0,"Atrasado",IF(AND(N417="",L417&lt;&gt;"",$B$3&gt;L417),"Inicio atrasado","En plazo"))))</f>
        <v/>
      </c>
      <c r="U417" s="26" t="n"/>
    </row>
    <row r="418">
      <c r="A418" s="24" t="n"/>
      <c r="B418" s="25" t="n"/>
      <c r="C418" s="25" t="n"/>
      <c r="D418" s="25" t="n"/>
      <c r="E418" s="26" t="n"/>
      <c r="F418" s="25" t="n"/>
      <c r="G418" s="25" t="n"/>
      <c r="H418" s="25" t="n"/>
      <c r="I418" s="25" t="n"/>
      <c r="J418" s="25" t="n"/>
      <c r="K418" s="25" t="n"/>
      <c r="L418" s="27" t="n"/>
      <c r="M418" s="27" t="n"/>
      <c r="N418" s="27" t="n"/>
      <c r="O418" s="27" t="n"/>
      <c r="P418" s="28" t="n"/>
      <c r="Q418" s="29" t="n"/>
      <c r="R418" s="30">
        <f>IF(B418="","",IF(C418="IWP",COUNTIFS(Restricciones!$D$6:$D$305,B418,Restricciones!$F$6:$F$305,"Abierta")+COUNTIFS(Restricciones!$D$6:$D$305,B418,Restricciones!$F$6:$F$305,"En gestión"),IF(C418="CWA",COUNTIFS(Restricciones!$C$6:$C$305,"CWP-"&amp;MID(B418,5,4)&amp;"-*",Restricciones!$F$6:$F$305,"Abierta")+COUNTIFS(Restricciones!$C$6:$C$305,"CWP-"&amp;MID(B418,5,4)&amp;"-*",Restricciones!$F$6:$F$305,"En gestión"),COUNTIFS(Restricciones!$C$6:$C$305,IF(C418="CWP",B418,H418),Restricciones!$F$6:$F$305,"Abierta")+COUNTIFS(Restricciones!$C$6:$C$305,IF(C418="CWP",B418,H418),Restricciones!$F$6:$F$305,"En gestión"))))</f>
        <v/>
      </c>
      <c r="S418" s="30">
        <f>IF(OR(B418="",M418=""),"",IF(O418&lt;&gt;"",MAX(0,O418-M418),IF(AND($B$3&gt;M418,K418&lt;&gt;"Cerrado"),$B$3-M418,0)))</f>
        <v/>
      </c>
      <c r="T418" s="31">
        <f>IF(B418="","",IF(K418="Cerrado",IF(S418&gt;0,"Cerrado con atraso","Cerrado"),IF(S418&gt;0,"Atrasado",IF(AND(N418="",L418&lt;&gt;"",$B$3&gt;L418),"Inicio atrasado","En plazo"))))</f>
        <v/>
      </c>
      <c r="U418" s="26" t="n"/>
    </row>
    <row r="419">
      <c r="A419" s="24" t="n"/>
      <c r="B419" s="25" t="n"/>
      <c r="C419" s="25" t="n"/>
      <c r="D419" s="25" t="n"/>
      <c r="E419" s="26" t="n"/>
      <c r="F419" s="25" t="n"/>
      <c r="G419" s="25" t="n"/>
      <c r="H419" s="25" t="n"/>
      <c r="I419" s="25" t="n"/>
      <c r="J419" s="25" t="n"/>
      <c r="K419" s="25" t="n"/>
      <c r="L419" s="27" t="n"/>
      <c r="M419" s="27" t="n"/>
      <c r="N419" s="27" t="n"/>
      <c r="O419" s="27" t="n"/>
      <c r="P419" s="28" t="n"/>
      <c r="Q419" s="29" t="n"/>
      <c r="R419" s="30">
        <f>IF(B419="","",IF(C419="IWP",COUNTIFS(Restricciones!$D$6:$D$305,B419,Restricciones!$F$6:$F$305,"Abierta")+COUNTIFS(Restricciones!$D$6:$D$305,B419,Restricciones!$F$6:$F$305,"En gestión"),IF(C419="CWA",COUNTIFS(Restricciones!$C$6:$C$305,"CWP-"&amp;MID(B419,5,4)&amp;"-*",Restricciones!$F$6:$F$305,"Abierta")+COUNTIFS(Restricciones!$C$6:$C$305,"CWP-"&amp;MID(B419,5,4)&amp;"-*",Restricciones!$F$6:$F$305,"En gestión"),COUNTIFS(Restricciones!$C$6:$C$305,IF(C419="CWP",B419,H419),Restricciones!$F$6:$F$305,"Abierta")+COUNTIFS(Restricciones!$C$6:$C$305,IF(C419="CWP",B419,H419),Restricciones!$F$6:$F$305,"En gestión"))))</f>
        <v/>
      </c>
      <c r="S419" s="30">
        <f>IF(OR(B419="",M419=""),"",IF(O419&lt;&gt;"",MAX(0,O419-M419),IF(AND($B$3&gt;M419,K419&lt;&gt;"Cerrado"),$B$3-M419,0)))</f>
        <v/>
      </c>
      <c r="T419" s="31">
        <f>IF(B419="","",IF(K419="Cerrado",IF(S419&gt;0,"Cerrado con atraso","Cerrado"),IF(S419&gt;0,"Atrasado",IF(AND(N419="",L419&lt;&gt;"",$B$3&gt;L419),"Inicio atrasado","En plazo"))))</f>
        <v/>
      </c>
      <c r="U419" s="26" t="n"/>
    </row>
    <row r="420">
      <c r="A420" s="24" t="n"/>
      <c r="B420" s="25" t="n"/>
      <c r="C420" s="25" t="n"/>
      <c r="D420" s="25" t="n"/>
      <c r="E420" s="26" t="n"/>
      <c r="F420" s="25" t="n"/>
      <c r="G420" s="25" t="n"/>
      <c r="H420" s="25" t="n"/>
      <c r="I420" s="25" t="n"/>
      <c r="J420" s="25" t="n"/>
      <c r="K420" s="25" t="n"/>
      <c r="L420" s="27" t="n"/>
      <c r="M420" s="27" t="n"/>
      <c r="N420" s="27" t="n"/>
      <c r="O420" s="27" t="n"/>
      <c r="P420" s="28" t="n"/>
      <c r="Q420" s="29" t="n"/>
      <c r="R420" s="30">
        <f>IF(B420="","",IF(C420="IWP",COUNTIFS(Restricciones!$D$6:$D$305,B420,Restricciones!$F$6:$F$305,"Abierta")+COUNTIFS(Restricciones!$D$6:$D$305,B420,Restricciones!$F$6:$F$305,"En gestión"),IF(C420="CWA",COUNTIFS(Restricciones!$C$6:$C$305,"CWP-"&amp;MID(B420,5,4)&amp;"-*",Restricciones!$F$6:$F$305,"Abierta")+COUNTIFS(Restricciones!$C$6:$C$305,"CWP-"&amp;MID(B420,5,4)&amp;"-*",Restricciones!$F$6:$F$305,"En gestión"),COUNTIFS(Restricciones!$C$6:$C$305,IF(C420="CWP",B420,H420),Restricciones!$F$6:$F$305,"Abierta")+COUNTIFS(Restricciones!$C$6:$C$305,IF(C420="CWP",B420,H420),Restricciones!$F$6:$F$305,"En gestión"))))</f>
        <v/>
      </c>
      <c r="S420" s="30">
        <f>IF(OR(B420="",M420=""),"",IF(O420&lt;&gt;"",MAX(0,O420-M420),IF(AND($B$3&gt;M420,K420&lt;&gt;"Cerrado"),$B$3-M420,0)))</f>
        <v/>
      </c>
      <c r="T420" s="31">
        <f>IF(B420="","",IF(K420="Cerrado",IF(S420&gt;0,"Cerrado con atraso","Cerrado"),IF(S420&gt;0,"Atrasado",IF(AND(N420="",L420&lt;&gt;"",$B$3&gt;L420),"Inicio atrasado","En plazo"))))</f>
        <v/>
      </c>
      <c r="U420" s="26" t="n"/>
    </row>
    <row r="421">
      <c r="A421" s="24" t="n"/>
      <c r="B421" s="25" t="n"/>
      <c r="C421" s="25" t="n"/>
      <c r="D421" s="25" t="n"/>
      <c r="E421" s="26" t="n"/>
      <c r="F421" s="25" t="n"/>
      <c r="G421" s="25" t="n"/>
      <c r="H421" s="25" t="n"/>
      <c r="I421" s="25" t="n"/>
      <c r="J421" s="25" t="n"/>
      <c r="K421" s="25" t="n"/>
      <c r="L421" s="27" t="n"/>
      <c r="M421" s="27" t="n"/>
      <c r="N421" s="27" t="n"/>
      <c r="O421" s="27" t="n"/>
      <c r="P421" s="28" t="n"/>
      <c r="Q421" s="29" t="n"/>
      <c r="R421" s="30">
        <f>IF(B421="","",IF(C421="IWP",COUNTIFS(Restricciones!$D$6:$D$305,B421,Restricciones!$F$6:$F$305,"Abierta")+COUNTIFS(Restricciones!$D$6:$D$305,B421,Restricciones!$F$6:$F$305,"En gestión"),IF(C421="CWA",COUNTIFS(Restricciones!$C$6:$C$305,"CWP-"&amp;MID(B421,5,4)&amp;"-*",Restricciones!$F$6:$F$305,"Abierta")+COUNTIFS(Restricciones!$C$6:$C$305,"CWP-"&amp;MID(B421,5,4)&amp;"-*",Restricciones!$F$6:$F$305,"En gestión"),COUNTIFS(Restricciones!$C$6:$C$305,IF(C421="CWP",B421,H421),Restricciones!$F$6:$F$305,"Abierta")+COUNTIFS(Restricciones!$C$6:$C$305,IF(C421="CWP",B421,H421),Restricciones!$F$6:$F$305,"En gestión"))))</f>
        <v/>
      </c>
      <c r="S421" s="30">
        <f>IF(OR(B421="",M421=""),"",IF(O421&lt;&gt;"",MAX(0,O421-M421),IF(AND($B$3&gt;M421,K421&lt;&gt;"Cerrado"),$B$3-M421,0)))</f>
        <v/>
      </c>
      <c r="T421" s="31">
        <f>IF(B421="","",IF(K421="Cerrado",IF(S421&gt;0,"Cerrado con atraso","Cerrado"),IF(S421&gt;0,"Atrasado",IF(AND(N421="",L421&lt;&gt;"",$B$3&gt;L421),"Inicio atrasado","En plazo"))))</f>
        <v/>
      </c>
      <c r="U421" s="26" t="n"/>
    </row>
    <row r="422">
      <c r="A422" s="24" t="n"/>
      <c r="B422" s="25" t="n"/>
      <c r="C422" s="25" t="n"/>
      <c r="D422" s="25" t="n"/>
      <c r="E422" s="26" t="n"/>
      <c r="F422" s="25" t="n"/>
      <c r="G422" s="25" t="n"/>
      <c r="H422" s="25" t="n"/>
      <c r="I422" s="25" t="n"/>
      <c r="J422" s="25" t="n"/>
      <c r="K422" s="25" t="n"/>
      <c r="L422" s="27" t="n"/>
      <c r="M422" s="27" t="n"/>
      <c r="N422" s="27" t="n"/>
      <c r="O422" s="27" t="n"/>
      <c r="P422" s="28" t="n"/>
      <c r="Q422" s="29" t="n"/>
      <c r="R422" s="30">
        <f>IF(B422="","",IF(C422="IWP",COUNTIFS(Restricciones!$D$6:$D$305,B422,Restricciones!$F$6:$F$305,"Abierta")+COUNTIFS(Restricciones!$D$6:$D$305,B422,Restricciones!$F$6:$F$305,"En gestión"),IF(C422="CWA",COUNTIFS(Restricciones!$C$6:$C$305,"CWP-"&amp;MID(B422,5,4)&amp;"-*",Restricciones!$F$6:$F$305,"Abierta")+COUNTIFS(Restricciones!$C$6:$C$305,"CWP-"&amp;MID(B422,5,4)&amp;"-*",Restricciones!$F$6:$F$305,"En gestión"),COUNTIFS(Restricciones!$C$6:$C$305,IF(C422="CWP",B422,H422),Restricciones!$F$6:$F$305,"Abierta")+COUNTIFS(Restricciones!$C$6:$C$305,IF(C422="CWP",B422,H422),Restricciones!$F$6:$F$305,"En gestión"))))</f>
        <v/>
      </c>
      <c r="S422" s="30">
        <f>IF(OR(B422="",M422=""),"",IF(O422&lt;&gt;"",MAX(0,O422-M422),IF(AND($B$3&gt;M422,K422&lt;&gt;"Cerrado"),$B$3-M422,0)))</f>
        <v/>
      </c>
      <c r="T422" s="31">
        <f>IF(B422="","",IF(K422="Cerrado",IF(S422&gt;0,"Cerrado con atraso","Cerrado"),IF(S422&gt;0,"Atrasado",IF(AND(N422="",L422&lt;&gt;"",$B$3&gt;L422),"Inicio atrasado","En plazo"))))</f>
        <v/>
      </c>
      <c r="U422" s="26" t="n"/>
    </row>
    <row r="423">
      <c r="A423" s="24" t="n"/>
      <c r="B423" s="25" t="n"/>
      <c r="C423" s="25" t="n"/>
      <c r="D423" s="25" t="n"/>
      <c r="E423" s="26" t="n"/>
      <c r="F423" s="25" t="n"/>
      <c r="G423" s="25" t="n"/>
      <c r="H423" s="25" t="n"/>
      <c r="I423" s="25" t="n"/>
      <c r="J423" s="25" t="n"/>
      <c r="K423" s="25" t="n"/>
      <c r="L423" s="27" t="n"/>
      <c r="M423" s="27" t="n"/>
      <c r="N423" s="27" t="n"/>
      <c r="O423" s="27" t="n"/>
      <c r="P423" s="28" t="n"/>
      <c r="Q423" s="29" t="n"/>
      <c r="R423" s="30">
        <f>IF(B423="","",IF(C423="IWP",COUNTIFS(Restricciones!$D$6:$D$305,B423,Restricciones!$F$6:$F$305,"Abierta")+COUNTIFS(Restricciones!$D$6:$D$305,B423,Restricciones!$F$6:$F$305,"En gestión"),IF(C423="CWA",COUNTIFS(Restricciones!$C$6:$C$305,"CWP-"&amp;MID(B423,5,4)&amp;"-*",Restricciones!$F$6:$F$305,"Abierta")+COUNTIFS(Restricciones!$C$6:$C$305,"CWP-"&amp;MID(B423,5,4)&amp;"-*",Restricciones!$F$6:$F$305,"En gestión"),COUNTIFS(Restricciones!$C$6:$C$305,IF(C423="CWP",B423,H423),Restricciones!$F$6:$F$305,"Abierta")+COUNTIFS(Restricciones!$C$6:$C$305,IF(C423="CWP",B423,H423),Restricciones!$F$6:$F$305,"En gestión"))))</f>
        <v/>
      </c>
      <c r="S423" s="30">
        <f>IF(OR(B423="",M423=""),"",IF(O423&lt;&gt;"",MAX(0,O423-M423),IF(AND($B$3&gt;M423,K423&lt;&gt;"Cerrado"),$B$3-M423,0)))</f>
        <v/>
      </c>
      <c r="T423" s="31">
        <f>IF(B423="","",IF(K423="Cerrado",IF(S423&gt;0,"Cerrado con atraso","Cerrado"),IF(S423&gt;0,"Atrasado",IF(AND(N423="",L423&lt;&gt;"",$B$3&gt;L423),"Inicio atrasado","En plazo"))))</f>
        <v/>
      </c>
      <c r="U423" s="26" t="n"/>
    </row>
    <row r="424">
      <c r="A424" s="24" t="n"/>
      <c r="B424" s="25" t="n"/>
      <c r="C424" s="25" t="n"/>
      <c r="D424" s="25" t="n"/>
      <c r="E424" s="26" t="n"/>
      <c r="F424" s="25" t="n"/>
      <c r="G424" s="25" t="n"/>
      <c r="H424" s="25" t="n"/>
      <c r="I424" s="25" t="n"/>
      <c r="J424" s="25" t="n"/>
      <c r="K424" s="25" t="n"/>
      <c r="L424" s="27" t="n"/>
      <c r="M424" s="27" t="n"/>
      <c r="N424" s="27" t="n"/>
      <c r="O424" s="27" t="n"/>
      <c r="P424" s="28" t="n"/>
      <c r="Q424" s="29" t="n"/>
      <c r="R424" s="30">
        <f>IF(B424="","",IF(C424="IWP",COUNTIFS(Restricciones!$D$6:$D$305,B424,Restricciones!$F$6:$F$305,"Abierta")+COUNTIFS(Restricciones!$D$6:$D$305,B424,Restricciones!$F$6:$F$305,"En gestión"),IF(C424="CWA",COUNTIFS(Restricciones!$C$6:$C$305,"CWP-"&amp;MID(B424,5,4)&amp;"-*",Restricciones!$F$6:$F$305,"Abierta")+COUNTIFS(Restricciones!$C$6:$C$305,"CWP-"&amp;MID(B424,5,4)&amp;"-*",Restricciones!$F$6:$F$305,"En gestión"),COUNTIFS(Restricciones!$C$6:$C$305,IF(C424="CWP",B424,H424),Restricciones!$F$6:$F$305,"Abierta")+COUNTIFS(Restricciones!$C$6:$C$305,IF(C424="CWP",B424,H424),Restricciones!$F$6:$F$305,"En gestión"))))</f>
        <v/>
      </c>
      <c r="S424" s="30">
        <f>IF(OR(B424="",M424=""),"",IF(O424&lt;&gt;"",MAX(0,O424-M424),IF(AND($B$3&gt;M424,K424&lt;&gt;"Cerrado"),$B$3-M424,0)))</f>
        <v/>
      </c>
      <c r="T424" s="31">
        <f>IF(B424="","",IF(K424="Cerrado",IF(S424&gt;0,"Cerrado con atraso","Cerrado"),IF(S424&gt;0,"Atrasado",IF(AND(N424="",L424&lt;&gt;"",$B$3&gt;L424),"Inicio atrasado","En plazo"))))</f>
        <v/>
      </c>
      <c r="U424" s="26" t="n"/>
    </row>
    <row r="425">
      <c r="A425" s="24" t="n"/>
      <c r="B425" s="25" t="n"/>
      <c r="C425" s="25" t="n"/>
      <c r="D425" s="25" t="n"/>
      <c r="E425" s="26" t="n"/>
      <c r="F425" s="25" t="n"/>
      <c r="G425" s="25" t="n"/>
      <c r="H425" s="25" t="n"/>
      <c r="I425" s="25" t="n"/>
      <c r="J425" s="25" t="n"/>
      <c r="K425" s="25" t="n"/>
      <c r="L425" s="27" t="n"/>
      <c r="M425" s="27" t="n"/>
      <c r="N425" s="27" t="n"/>
      <c r="O425" s="27" t="n"/>
      <c r="P425" s="28" t="n"/>
      <c r="Q425" s="29" t="n"/>
      <c r="R425" s="30">
        <f>IF(B425="","",IF(C425="IWP",COUNTIFS(Restricciones!$D$6:$D$305,B425,Restricciones!$F$6:$F$305,"Abierta")+COUNTIFS(Restricciones!$D$6:$D$305,B425,Restricciones!$F$6:$F$305,"En gestión"),IF(C425="CWA",COUNTIFS(Restricciones!$C$6:$C$305,"CWP-"&amp;MID(B425,5,4)&amp;"-*",Restricciones!$F$6:$F$305,"Abierta")+COUNTIFS(Restricciones!$C$6:$C$305,"CWP-"&amp;MID(B425,5,4)&amp;"-*",Restricciones!$F$6:$F$305,"En gestión"),COUNTIFS(Restricciones!$C$6:$C$305,IF(C425="CWP",B425,H425),Restricciones!$F$6:$F$305,"Abierta")+COUNTIFS(Restricciones!$C$6:$C$305,IF(C425="CWP",B425,H425),Restricciones!$F$6:$F$305,"En gestión"))))</f>
        <v/>
      </c>
      <c r="S425" s="30">
        <f>IF(OR(B425="",M425=""),"",IF(O425&lt;&gt;"",MAX(0,O425-M425),IF(AND($B$3&gt;M425,K425&lt;&gt;"Cerrado"),$B$3-M425,0)))</f>
        <v/>
      </c>
      <c r="T425" s="31">
        <f>IF(B425="","",IF(K425="Cerrado",IF(S425&gt;0,"Cerrado con atraso","Cerrado"),IF(S425&gt;0,"Atrasado",IF(AND(N425="",L425&lt;&gt;"",$B$3&gt;L425),"Inicio atrasado","En plazo"))))</f>
        <v/>
      </c>
      <c r="U425" s="26" t="n"/>
    </row>
    <row r="426">
      <c r="A426" s="24" t="n"/>
      <c r="B426" s="25" t="n"/>
      <c r="C426" s="25" t="n"/>
      <c r="D426" s="25" t="n"/>
      <c r="E426" s="26" t="n"/>
      <c r="F426" s="25" t="n"/>
      <c r="G426" s="25" t="n"/>
      <c r="H426" s="25" t="n"/>
      <c r="I426" s="25" t="n"/>
      <c r="J426" s="25" t="n"/>
      <c r="K426" s="25" t="n"/>
      <c r="L426" s="27" t="n"/>
      <c r="M426" s="27" t="n"/>
      <c r="N426" s="27" t="n"/>
      <c r="O426" s="27" t="n"/>
      <c r="P426" s="28" t="n"/>
      <c r="Q426" s="29" t="n"/>
      <c r="R426" s="30">
        <f>IF(B426="","",IF(C426="IWP",COUNTIFS(Restricciones!$D$6:$D$305,B426,Restricciones!$F$6:$F$305,"Abierta")+COUNTIFS(Restricciones!$D$6:$D$305,B426,Restricciones!$F$6:$F$305,"En gestión"),IF(C426="CWA",COUNTIFS(Restricciones!$C$6:$C$305,"CWP-"&amp;MID(B426,5,4)&amp;"-*",Restricciones!$F$6:$F$305,"Abierta")+COUNTIFS(Restricciones!$C$6:$C$305,"CWP-"&amp;MID(B426,5,4)&amp;"-*",Restricciones!$F$6:$F$305,"En gestión"),COUNTIFS(Restricciones!$C$6:$C$305,IF(C426="CWP",B426,H426),Restricciones!$F$6:$F$305,"Abierta")+COUNTIFS(Restricciones!$C$6:$C$305,IF(C426="CWP",B426,H426),Restricciones!$F$6:$F$305,"En gestión"))))</f>
        <v/>
      </c>
      <c r="S426" s="30">
        <f>IF(OR(B426="",M426=""),"",IF(O426&lt;&gt;"",MAX(0,O426-M426),IF(AND($B$3&gt;M426,K426&lt;&gt;"Cerrado"),$B$3-M426,0)))</f>
        <v/>
      </c>
      <c r="T426" s="31">
        <f>IF(B426="","",IF(K426="Cerrado",IF(S426&gt;0,"Cerrado con atraso","Cerrado"),IF(S426&gt;0,"Atrasado",IF(AND(N426="",L426&lt;&gt;"",$B$3&gt;L426),"Inicio atrasado","En plazo"))))</f>
        <v/>
      </c>
      <c r="U426" s="26" t="n"/>
    </row>
    <row r="427">
      <c r="A427" s="24" t="n"/>
      <c r="B427" s="25" t="n"/>
      <c r="C427" s="25" t="n"/>
      <c r="D427" s="25" t="n"/>
      <c r="E427" s="26" t="n"/>
      <c r="F427" s="25" t="n"/>
      <c r="G427" s="25" t="n"/>
      <c r="H427" s="25" t="n"/>
      <c r="I427" s="25" t="n"/>
      <c r="J427" s="25" t="n"/>
      <c r="K427" s="25" t="n"/>
      <c r="L427" s="27" t="n"/>
      <c r="M427" s="27" t="n"/>
      <c r="N427" s="27" t="n"/>
      <c r="O427" s="27" t="n"/>
      <c r="P427" s="28" t="n"/>
      <c r="Q427" s="29" t="n"/>
      <c r="R427" s="30">
        <f>IF(B427="","",IF(C427="IWP",COUNTIFS(Restricciones!$D$6:$D$305,B427,Restricciones!$F$6:$F$305,"Abierta")+COUNTIFS(Restricciones!$D$6:$D$305,B427,Restricciones!$F$6:$F$305,"En gestión"),IF(C427="CWA",COUNTIFS(Restricciones!$C$6:$C$305,"CWP-"&amp;MID(B427,5,4)&amp;"-*",Restricciones!$F$6:$F$305,"Abierta")+COUNTIFS(Restricciones!$C$6:$C$305,"CWP-"&amp;MID(B427,5,4)&amp;"-*",Restricciones!$F$6:$F$305,"En gestión"),COUNTIFS(Restricciones!$C$6:$C$305,IF(C427="CWP",B427,H427),Restricciones!$F$6:$F$305,"Abierta")+COUNTIFS(Restricciones!$C$6:$C$305,IF(C427="CWP",B427,H427),Restricciones!$F$6:$F$305,"En gestión"))))</f>
        <v/>
      </c>
      <c r="S427" s="30">
        <f>IF(OR(B427="",M427=""),"",IF(O427&lt;&gt;"",MAX(0,O427-M427),IF(AND($B$3&gt;M427,K427&lt;&gt;"Cerrado"),$B$3-M427,0)))</f>
        <v/>
      </c>
      <c r="T427" s="31">
        <f>IF(B427="","",IF(K427="Cerrado",IF(S427&gt;0,"Cerrado con atraso","Cerrado"),IF(S427&gt;0,"Atrasado",IF(AND(N427="",L427&lt;&gt;"",$B$3&gt;L427),"Inicio atrasado","En plazo"))))</f>
        <v/>
      </c>
      <c r="U427" s="26" t="n"/>
    </row>
    <row r="428">
      <c r="A428" s="24" t="n"/>
      <c r="B428" s="25" t="n"/>
      <c r="C428" s="25" t="n"/>
      <c r="D428" s="25" t="n"/>
      <c r="E428" s="26" t="n"/>
      <c r="F428" s="25" t="n"/>
      <c r="G428" s="25" t="n"/>
      <c r="H428" s="25" t="n"/>
      <c r="I428" s="25" t="n"/>
      <c r="J428" s="25" t="n"/>
      <c r="K428" s="25" t="n"/>
      <c r="L428" s="27" t="n"/>
      <c r="M428" s="27" t="n"/>
      <c r="N428" s="27" t="n"/>
      <c r="O428" s="27" t="n"/>
      <c r="P428" s="28" t="n"/>
      <c r="Q428" s="29" t="n"/>
      <c r="R428" s="30">
        <f>IF(B428="","",IF(C428="IWP",COUNTIFS(Restricciones!$D$6:$D$305,B428,Restricciones!$F$6:$F$305,"Abierta")+COUNTIFS(Restricciones!$D$6:$D$305,B428,Restricciones!$F$6:$F$305,"En gestión"),IF(C428="CWA",COUNTIFS(Restricciones!$C$6:$C$305,"CWP-"&amp;MID(B428,5,4)&amp;"-*",Restricciones!$F$6:$F$305,"Abierta")+COUNTIFS(Restricciones!$C$6:$C$305,"CWP-"&amp;MID(B428,5,4)&amp;"-*",Restricciones!$F$6:$F$305,"En gestión"),COUNTIFS(Restricciones!$C$6:$C$305,IF(C428="CWP",B428,H428),Restricciones!$F$6:$F$305,"Abierta")+COUNTIFS(Restricciones!$C$6:$C$305,IF(C428="CWP",B428,H428),Restricciones!$F$6:$F$305,"En gestión"))))</f>
        <v/>
      </c>
      <c r="S428" s="30">
        <f>IF(OR(B428="",M428=""),"",IF(O428&lt;&gt;"",MAX(0,O428-M428),IF(AND($B$3&gt;M428,K428&lt;&gt;"Cerrado"),$B$3-M428,0)))</f>
        <v/>
      </c>
      <c r="T428" s="31">
        <f>IF(B428="","",IF(K428="Cerrado",IF(S428&gt;0,"Cerrado con atraso","Cerrado"),IF(S428&gt;0,"Atrasado",IF(AND(N428="",L428&lt;&gt;"",$B$3&gt;L428),"Inicio atrasado","En plazo"))))</f>
        <v/>
      </c>
      <c r="U428" s="26" t="n"/>
    </row>
    <row r="429">
      <c r="A429" s="24" t="n"/>
      <c r="B429" s="25" t="n"/>
      <c r="C429" s="25" t="n"/>
      <c r="D429" s="25" t="n"/>
      <c r="E429" s="26" t="n"/>
      <c r="F429" s="25" t="n"/>
      <c r="G429" s="25" t="n"/>
      <c r="H429" s="25" t="n"/>
      <c r="I429" s="25" t="n"/>
      <c r="J429" s="25" t="n"/>
      <c r="K429" s="25" t="n"/>
      <c r="L429" s="27" t="n"/>
      <c r="M429" s="27" t="n"/>
      <c r="N429" s="27" t="n"/>
      <c r="O429" s="27" t="n"/>
      <c r="P429" s="28" t="n"/>
      <c r="Q429" s="29" t="n"/>
      <c r="R429" s="30">
        <f>IF(B429="","",IF(C429="IWP",COUNTIFS(Restricciones!$D$6:$D$305,B429,Restricciones!$F$6:$F$305,"Abierta")+COUNTIFS(Restricciones!$D$6:$D$305,B429,Restricciones!$F$6:$F$305,"En gestión"),IF(C429="CWA",COUNTIFS(Restricciones!$C$6:$C$305,"CWP-"&amp;MID(B429,5,4)&amp;"-*",Restricciones!$F$6:$F$305,"Abierta")+COUNTIFS(Restricciones!$C$6:$C$305,"CWP-"&amp;MID(B429,5,4)&amp;"-*",Restricciones!$F$6:$F$305,"En gestión"),COUNTIFS(Restricciones!$C$6:$C$305,IF(C429="CWP",B429,H429),Restricciones!$F$6:$F$305,"Abierta")+COUNTIFS(Restricciones!$C$6:$C$305,IF(C429="CWP",B429,H429),Restricciones!$F$6:$F$305,"En gestión"))))</f>
        <v/>
      </c>
      <c r="S429" s="30">
        <f>IF(OR(B429="",M429=""),"",IF(O429&lt;&gt;"",MAX(0,O429-M429),IF(AND($B$3&gt;M429,K429&lt;&gt;"Cerrado"),$B$3-M429,0)))</f>
        <v/>
      </c>
      <c r="T429" s="31">
        <f>IF(B429="","",IF(K429="Cerrado",IF(S429&gt;0,"Cerrado con atraso","Cerrado"),IF(S429&gt;0,"Atrasado",IF(AND(N429="",L429&lt;&gt;"",$B$3&gt;L429),"Inicio atrasado","En plazo"))))</f>
        <v/>
      </c>
      <c r="U429" s="26" t="n"/>
    </row>
    <row r="430">
      <c r="A430" s="24" t="n"/>
      <c r="B430" s="25" t="n"/>
      <c r="C430" s="25" t="n"/>
      <c r="D430" s="25" t="n"/>
      <c r="E430" s="26" t="n"/>
      <c r="F430" s="25" t="n"/>
      <c r="G430" s="25" t="n"/>
      <c r="H430" s="25" t="n"/>
      <c r="I430" s="25" t="n"/>
      <c r="J430" s="25" t="n"/>
      <c r="K430" s="25" t="n"/>
      <c r="L430" s="27" t="n"/>
      <c r="M430" s="27" t="n"/>
      <c r="N430" s="27" t="n"/>
      <c r="O430" s="27" t="n"/>
      <c r="P430" s="28" t="n"/>
      <c r="Q430" s="29" t="n"/>
      <c r="R430" s="30">
        <f>IF(B430="","",IF(C430="IWP",COUNTIFS(Restricciones!$D$6:$D$305,B430,Restricciones!$F$6:$F$305,"Abierta")+COUNTIFS(Restricciones!$D$6:$D$305,B430,Restricciones!$F$6:$F$305,"En gestión"),IF(C430="CWA",COUNTIFS(Restricciones!$C$6:$C$305,"CWP-"&amp;MID(B430,5,4)&amp;"-*",Restricciones!$F$6:$F$305,"Abierta")+COUNTIFS(Restricciones!$C$6:$C$305,"CWP-"&amp;MID(B430,5,4)&amp;"-*",Restricciones!$F$6:$F$305,"En gestión"),COUNTIFS(Restricciones!$C$6:$C$305,IF(C430="CWP",B430,H430),Restricciones!$F$6:$F$305,"Abierta")+COUNTIFS(Restricciones!$C$6:$C$305,IF(C430="CWP",B430,H430),Restricciones!$F$6:$F$305,"En gestión"))))</f>
        <v/>
      </c>
      <c r="S430" s="30">
        <f>IF(OR(B430="",M430=""),"",IF(O430&lt;&gt;"",MAX(0,O430-M430),IF(AND($B$3&gt;M430,K430&lt;&gt;"Cerrado"),$B$3-M430,0)))</f>
        <v/>
      </c>
      <c r="T430" s="31">
        <f>IF(B430="","",IF(K430="Cerrado",IF(S430&gt;0,"Cerrado con atraso","Cerrado"),IF(S430&gt;0,"Atrasado",IF(AND(N430="",L430&lt;&gt;"",$B$3&gt;L430),"Inicio atrasado","En plazo"))))</f>
        <v/>
      </c>
      <c r="U430" s="26" t="n"/>
    </row>
    <row r="431">
      <c r="A431" s="24" t="n"/>
      <c r="B431" s="25" t="n"/>
      <c r="C431" s="25" t="n"/>
      <c r="D431" s="25" t="n"/>
      <c r="E431" s="26" t="n"/>
      <c r="F431" s="25" t="n"/>
      <c r="G431" s="25" t="n"/>
      <c r="H431" s="25" t="n"/>
      <c r="I431" s="25" t="n"/>
      <c r="J431" s="25" t="n"/>
      <c r="K431" s="25" t="n"/>
      <c r="L431" s="27" t="n"/>
      <c r="M431" s="27" t="n"/>
      <c r="N431" s="27" t="n"/>
      <c r="O431" s="27" t="n"/>
      <c r="P431" s="28" t="n"/>
      <c r="Q431" s="29" t="n"/>
      <c r="R431" s="30">
        <f>IF(B431="","",IF(C431="IWP",COUNTIFS(Restricciones!$D$6:$D$305,B431,Restricciones!$F$6:$F$305,"Abierta")+COUNTIFS(Restricciones!$D$6:$D$305,B431,Restricciones!$F$6:$F$305,"En gestión"),IF(C431="CWA",COUNTIFS(Restricciones!$C$6:$C$305,"CWP-"&amp;MID(B431,5,4)&amp;"-*",Restricciones!$F$6:$F$305,"Abierta")+COUNTIFS(Restricciones!$C$6:$C$305,"CWP-"&amp;MID(B431,5,4)&amp;"-*",Restricciones!$F$6:$F$305,"En gestión"),COUNTIFS(Restricciones!$C$6:$C$305,IF(C431="CWP",B431,H431),Restricciones!$F$6:$F$305,"Abierta")+COUNTIFS(Restricciones!$C$6:$C$305,IF(C431="CWP",B431,H431),Restricciones!$F$6:$F$305,"En gestión"))))</f>
        <v/>
      </c>
      <c r="S431" s="30">
        <f>IF(OR(B431="",M431=""),"",IF(O431&lt;&gt;"",MAX(0,O431-M431),IF(AND($B$3&gt;M431,K431&lt;&gt;"Cerrado"),$B$3-M431,0)))</f>
        <v/>
      </c>
      <c r="T431" s="31">
        <f>IF(B431="","",IF(K431="Cerrado",IF(S431&gt;0,"Cerrado con atraso","Cerrado"),IF(S431&gt;0,"Atrasado",IF(AND(N431="",L431&lt;&gt;"",$B$3&gt;L431),"Inicio atrasado","En plazo"))))</f>
        <v/>
      </c>
      <c r="U431" s="26" t="n"/>
    </row>
    <row r="432">
      <c r="A432" s="24" t="n"/>
      <c r="B432" s="25" t="n"/>
      <c r="C432" s="25" t="n"/>
      <c r="D432" s="25" t="n"/>
      <c r="E432" s="26" t="n"/>
      <c r="F432" s="25" t="n"/>
      <c r="G432" s="25" t="n"/>
      <c r="H432" s="25" t="n"/>
      <c r="I432" s="25" t="n"/>
      <c r="J432" s="25" t="n"/>
      <c r="K432" s="25" t="n"/>
      <c r="L432" s="27" t="n"/>
      <c r="M432" s="27" t="n"/>
      <c r="N432" s="27" t="n"/>
      <c r="O432" s="27" t="n"/>
      <c r="P432" s="28" t="n"/>
      <c r="Q432" s="29" t="n"/>
      <c r="R432" s="30">
        <f>IF(B432="","",IF(C432="IWP",COUNTIFS(Restricciones!$D$6:$D$305,B432,Restricciones!$F$6:$F$305,"Abierta")+COUNTIFS(Restricciones!$D$6:$D$305,B432,Restricciones!$F$6:$F$305,"En gestión"),IF(C432="CWA",COUNTIFS(Restricciones!$C$6:$C$305,"CWP-"&amp;MID(B432,5,4)&amp;"-*",Restricciones!$F$6:$F$305,"Abierta")+COUNTIFS(Restricciones!$C$6:$C$305,"CWP-"&amp;MID(B432,5,4)&amp;"-*",Restricciones!$F$6:$F$305,"En gestión"),COUNTIFS(Restricciones!$C$6:$C$305,IF(C432="CWP",B432,H432),Restricciones!$F$6:$F$305,"Abierta")+COUNTIFS(Restricciones!$C$6:$C$305,IF(C432="CWP",B432,H432),Restricciones!$F$6:$F$305,"En gestión"))))</f>
        <v/>
      </c>
      <c r="S432" s="30">
        <f>IF(OR(B432="",M432=""),"",IF(O432&lt;&gt;"",MAX(0,O432-M432),IF(AND($B$3&gt;M432,K432&lt;&gt;"Cerrado"),$B$3-M432,0)))</f>
        <v/>
      </c>
      <c r="T432" s="31">
        <f>IF(B432="","",IF(K432="Cerrado",IF(S432&gt;0,"Cerrado con atraso","Cerrado"),IF(S432&gt;0,"Atrasado",IF(AND(N432="",L432&lt;&gt;"",$B$3&gt;L432),"Inicio atrasado","En plazo"))))</f>
        <v/>
      </c>
      <c r="U432" s="26" t="n"/>
    </row>
    <row r="433">
      <c r="A433" s="24" t="n"/>
      <c r="B433" s="25" t="n"/>
      <c r="C433" s="25" t="n"/>
      <c r="D433" s="25" t="n"/>
      <c r="E433" s="26" t="n"/>
      <c r="F433" s="25" t="n"/>
      <c r="G433" s="25" t="n"/>
      <c r="H433" s="25" t="n"/>
      <c r="I433" s="25" t="n"/>
      <c r="J433" s="25" t="n"/>
      <c r="K433" s="25" t="n"/>
      <c r="L433" s="27" t="n"/>
      <c r="M433" s="27" t="n"/>
      <c r="N433" s="27" t="n"/>
      <c r="O433" s="27" t="n"/>
      <c r="P433" s="28" t="n"/>
      <c r="Q433" s="29" t="n"/>
      <c r="R433" s="30">
        <f>IF(B433="","",IF(C433="IWP",COUNTIFS(Restricciones!$D$6:$D$305,B433,Restricciones!$F$6:$F$305,"Abierta")+COUNTIFS(Restricciones!$D$6:$D$305,B433,Restricciones!$F$6:$F$305,"En gestión"),IF(C433="CWA",COUNTIFS(Restricciones!$C$6:$C$305,"CWP-"&amp;MID(B433,5,4)&amp;"-*",Restricciones!$F$6:$F$305,"Abierta")+COUNTIFS(Restricciones!$C$6:$C$305,"CWP-"&amp;MID(B433,5,4)&amp;"-*",Restricciones!$F$6:$F$305,"En gestión"),COUNTIFS(Restricciones!$C$6:$C$305,IF(C433="CWP",B433,H433),Restricciones!$F$6:$F$305,"Abierta")+COUNTIFS(Restricciones!$C$6:$C$305,IF(C433="CWP",B433,H433),Restricciones!$F$6:$F$305,"En gestión"))))</f>
        <v/>
      </c>
      <c r="S433" s="30">
        <f>IF(OR(B433="",M433=""),"",IF(O433&lt;&gt;"",MAX(0,O433-M433),IF(AND($B$3&gt;M433,K433&lt;&gt;"Cerrado"),$B$3-M433,0)))</f>
        <v/>
      </c>
      <c r="T433" s="31">
        <f>IF(B433="","",IF(K433="Cerrado",IF(S433&gt;0,"Cerrado con atraso","Cerrado"),IF(S433&gt;0,"Atrasado",IF(AND(N433="",L433&lt;&gt;"",$B$3&gt;L433),"Inicio atrasado","En plazo"))))</f>
        <v/>
      </c>
      <c r="U433" s="26" t="n"/>
    </row>
    <row r="434">
      <c r="A434" s="24" t="n"/>
      <c r="B434" s="25" t="n"/>
      <c r="C434" s="25" t="n"/>
      <c r="D434" s="25" t="n"/>
      <c r="E434" s="26" t="n"/>
      <c r="F434" s="25" t="n"/>
      <c r="G434" s="25" t="n"/>
      <c r="H434" s="25" t="n"/>
      <c r="I434" s="25" t="n"/>
      <c r="J434" s="25" t="n"/>
      <c r="K434" s="25" t="n"/>
      <c r="L434" s="27" t="n"/>
      <c r="M434" s="27" t="n"/>
      <c r="N434" s="27" t="n"/>
      <c r="O434" s="27" t="n"/>
      <c r="P434" s="28" t="n"/>
      <c r="Q434" s="29" t="n"/>
      <c r="R434" s="30">
        <f>IF(B434="","",IF(C434="IWP",COUNTIFS(Restricciones!$D$6:$D$305,B434,Restricciones!$F$6:$F$305,"Abierta")+COUNTIFS(Restricciones!$D$6:$D$305,B434,Restricciones!$F$6:$F$305,"En gestión"),IF(C434="CWA",COUNTIFS(Restricciones!$C$6:$C$305,"CWP-"&amp;MID(B434,5,4)&amp;"-*",Restricciones!$F$6:$F$305,"Abierta")+COUNTIFS(Restricciones!$C$6:$C$305,"CWP-"&amp;MID(B434,5,4)&amp;"-*",Restricciones!$F$6:$F$305,"En gestión"),COUNTIFS(Restricciones!$C$6:$C$305,IF(C434="CWP",B434,H434),Restricciones!$F$6:$F$305,"Abierta")+COUNTIFS(Restricciones!$C$6:$C$305,IF(C434="CWP",B434,H434),Restricciones!$F$6:$F$305,"En gestión"))))</f>
        <v/>
      </c>
      <c r="S434" s="30">
        <f>IF(OR(B434="",M434=""),"",IF(O434&lt;&gt;"",MAX(0,O434-M434),IF(AND($B$3&gt;M434,K434&lt;&gt;"Cerrado"),$B$3-M434,0)))</f>
        <v/>
      </c>
      <c r="T434" s="31">
        <f>IF(B434="","",IF(K434="Cerrado",IF(S434&gt;0,"Cerrado con atraso","Cerrado"),IF(S434&gt;0,"Atrasado",IF(AND(N434="",L434&lt;&gt;"",$B$3&gt;L434),"Inicio atrasado","En plazo"))))</f>
        <v/>
      </c>
      <c r="U434" s="26" t="n"/>
    </row>
    <row r="435">
      <c r="A435" s="24" t="n"/>
      <c r="B435" s="25" t="n"/>
      <c r="C435" s="25" t="n"/>
      <c r="D435" s="25" t="n"/>
      <c r="E435" s="26" t="n"/>
      <c r="F435" s="25" t="n"/>
      <c r="G435" s="25" t="n"/>
      <c r="H435" s="25" t="n"/>
      <c r="I435" s="25" t="n"/>
      <c r="J435" s="25" t="n"/>
      <c r="K435" s="25" t="n"/>
      <c r="L435" s="27" t="n"/>
      <c r="M435" s="27" t="n"/>
      <c r="N435" s="27" t="n"/>
      <c r="O435" s="27" t="n"/>
      <c r="P435" s="28" t="n"/>
      <c r="Q435" s="29" t="n"/>
      <c r="R435" s="30">
        <f>IF(B435="","",IF(C435="IWP",COUNTIFS(Restricciones!$D$6:$D$305,B435,Restricciones!$F$6:$F$305,"Abierta")+COUNTIFS(Restricciones!$D$6:$D$305,B435,Restricciones!$F$6:$F$305,"En gestión"),IF(C435="CWA",COUNTIFS(Restricciones!$C$6:$C$305,"CWP-"&amp;MID(B435,5,4)&amp;"-*",Restricciones!$F$6:$F$305,"Abierta")+COUNTIFS(Restricciones!$C$6:$C$305,"CWP-"&amp;MID(B435,5,4)&amp;"-*",Restricciones!$F$6:$F$305,"En gestión"),COUNTIFS(Restricciones!$C$6:$C$305,IF(C435="CWP",B435,H435),Restricciones!$F$6:$F$305,"Abierta")+COUNTIFS(Restricciones!$C$6:$C$305,IF(C435="CWP",B435,H435),Restricciones!$F$6:$F$305,"En gestión"))))</f>
        <v/>
      </c>
      <c r="S435" s="30">
        <f>IF(OR(B435="",M435=""),"",IF(O435&lt;&gt;"",MAX(0,O435-M435),IF(AND($B$3&gt;M435,K435&lt;&gt;"Cerrado"),$B$3-M435,0)))</f>
        <v/>
      </c>
      <c r="T435" s="31">
        <f>IF(B435="","",IF(K435="Cerrado",IF(S435&gt;0,"Cerrado con atraso","Cerrado"),IF(S435&gt;0,"Atrasado",IF(AND(N435="",L435&lt;&gt;"",$B$3&gt;L435),"Inicio atrasado","En plazo"))))</f>
        <v/>
      </c>
      <c r="U435" s="26" t="n"/>
    </row>
    <row r="436">
      <c r="A436" s="24" t="n"/>
      <c r="B436" s="25" t="n"/>
      <c r="C436" s="25" t="n"/>
      <c r="D436" s="25" t="n"/>
      <c r="E436" s="26" t="n"/>
      <c r="F436" s="25" t="n"/>
      <c r="G436" s="25" t="n"/>
      <c r="H436" s="25" t="n"/>
      <c r="I436" s="25" t="n"/>
      <c r="J436" s="25" t="n"/>
      <c r="K436" s="25" t="n"/>
      <c r="L436" s="27" t="n"/>
      <c r="M436" s="27" t="n"/>
      <c r="N436" s="27" t="n"/>
      <c r="O436" s="27" t="n"/>
      <c r="P436" s="28" t="n"/>
      <c r="Q436" s="29" t="n"/>
      <c r="R436" s="30">
        <f>IF(B436="","",IF(C436="IWP",COUNTIFS(Restricciones!$D$6:$D$305,B436,Restricciones!$F$6:$F$305,"Abierta")+COUNTIFS(Restricciones!$D$6:$D$305,B436,Restricciones!$F$6:$F$305,"En gestión"),IF(C436="CWA",COUNTIFS(Restricciones!$C$6:$C$305,"CWP-"&amp;MID(B436,5,4)&amp;"-*",Restricciones!$F$6:$F$305,"Abierta")+COUNTIFS(Restricciones!$C$6:$C$305,"CWP-"&amp;MID(B436,5,4)&amp;"-*",Restricciones!$F$6:$F$305,"En gestión"),COUNTIFS(Restricciones!$C$6:$C$305,IF(C436="CWP",B436,H436),Restricciones!$F$6:$F$305,"Abierta")+COUNTIFS(Restricciones!$C$6:$C$305,IF(C436="CWP",B436,H436),Restricciones!$F$6:$F$305,"En gestión"))))</f>
        <v/>
      </c>
      <c r="S436" s="30">
        <f>IF(OR(B436="",M436=""),"",IF(O436&lt;&gt;"",MAX(0,O436-M436),IF(AND($B$3&gt;M436,K436&lt;&gt;"Cerrado"),$B$3-M436,0)))</f>
        <v/>
      </c>
      <c r="T436" s="31">
        <f>IF(B436="","",IF(K436="Cerrado",IF(S436&gt;0,"Cerrado con atraso","Cerrado"),IF(S436&gt;0,"Atrasado",IF(AND(N436="",L436&lt;&gt;"",$B$3&gt;L436),"Inicio atrasado","En plazo"))))</f>
        <v/>
      </c>
      <c r="U436" s="26" t="n"/>
    </row>
    <row r="437">
      <c r="A437" s="24" t="n"/>
      <c r="B437" s="25" t="n"/>
      <c r="C437" s="25" t="n"/>
      <c r="D437" s="25" t="n"/>
      <c r="E437" s="26" t="n"/>
      <c r="F437" s="25" t="n"/>
      <c r="G437" s="25" t="n"/>
      <c r="H437" s="25" t="n"/>
      <c r="I437" s="25" t="n"/>
      <c r="J437" s="25" t="n"/>
      <c r="K437" s="25" t="n"/>
      <c r="L437" s="27" t="n"/>
      <c r="M437" s="27" t="n"/>
      <c r="N437" s="27" t="n"/>
      <c r="O437" s="27" t="n"/>
      <c r="P437" s="28" t="n"/>
      <c r="Q437" s="29" t="n"/>
      <c r="R437" s="30">
        <f>IF(B437="","",IF(C437="IWP",COUNTIFS(Restricciones!$D$6:$D$305,B437,Restricciones!$F$6:$F$305,"Abierta")+COUNTIFS(Restricciones!$D$6:$D$305,B437,Restricciones!$F$6:$F$305,"En gestión"),IF(C437="CWA",COUNTIFS(Restricciones!$C$6:$C$305,"CWP-"&amp;MID(B437,5,4)&amp;"-*",Restricciones!$F$6:$F$305,"Abierta")+COUNTIFS(Restricciones!$C$6:$C$305,"CWP-"&amp;MID(B437,5,4)&amp;"-*",Restricciones!$F$6:$F$305,"En gestión"),COUNTIFS(Restricciones!$C$6:$C$305,IF(C437="CWP",B437,H437),Restricciones!$F$6:$F$305,"Abierta")+COUNTIFS(Restricciones!$C$6:$C$305,IF(C437="CWP",B437,H437),Restricciones!$F$6:$F$305,"En gestión"))))</f>
        <v/>
      </c>
      <c r="S437" s="30">
        <f>IF(OR(B437="",M437=""),"",IF(O437&lt;&gt;"",MAX(0,O437-M437),IF(AND($B$3&gt;M437,K437&lt;&gt;"Cerrado"),$B$3-M437,0)))</f>
        <v/>
      </c>
      <c r="T437" s="31">
        <f>IF(B437="","",IF(K437="Cerrado",IF(S437&gt;0,"Cerrado con atraso","Cerrado"),IF(S437&gt;0,"Atrasado",IF(AND(N437="",L437&lt;&gt;"",$B$3&gt;L437),"Inicio atrasado","En plazo"))))</f>
        <v/>
      </c>
      <c r="U437" s="26" t="n"/>
    </row>
    <row r="438">
      <c r="A438" s="24" t="n"/>
      <c r="B438" s="25" t="n"/>
      <c r="C438" s="25" t="n"/>
      <c r="D438" s="25" t="n"/>
      <c r="E438" s="26" t="n"/>
      <c r="F438" s="25" t="n"/>
      <c r="G438" s="25" t="n"/>
      <c r="H438" s="25" t="n"/>
      <c r="I438" s="25" t="n"/>
      <c r="J438" s="25" t="n"/>
      <c r="K438" s="25" t="n"/>
      <c r="L438" s="27" t="n"/>
      <c r="M438" s="27" t="n"/>
      <c r="N438" s="27" t="n"/>
      <c r="O438" s="27" t="n"/>
      <c r="P438" s="28" t="n"/>
      <c r="Q438" s="29" t="n"/>
      <c r="R438" s="30">
        <f>IF(B438="","",IF(C438="IWP",COUNTIFS(Restricciones!$D$6:$D$305,B438,Restricciones!$F$6:$F$305,"Abierta")+COUNTIFS(Restricciones!$D$6:$D$305,B438,Restricciones!$F$6:$F$305,"En gestión"),IF(C438="CWA",COUNTIFS(Restricciones!$C$6:$C$305,"CWP-"&amp;MID(B438,5,4)&amp;"-*",Restricciones!$F$6:$F$305,"Abierta")+COUNTIFS(Restricciones!$C$6:$C$305,"CWP-"&amp;MID(B438,5,4)&amp;"-*",Restricciones!$F$6:$F$305,"En gestión"),COUNTIFS(Restricciones!$C$6:$C$305,IF(C438="CWP",B438,H438),Restricciones!$F$6:$F$305,"Abierta")+COUNTIFS(Restricciones!$C$6:$C$305,IF(C438="CWP",B438,H438),Restricciones!$F$6:$F$305,"En gestión"))))</f>
        <v/>
      </c>
      <c r="S438" s="30">
        <f>IF(OR(B438="",M438=""),"",IF(O438&lt;&gt;"",MAX(0,O438-M438),IF(AND($B$3&gt;M438,K438&lt;&gt;"Cerrado"),$B$3-M438,0)))</f>
        <v/>
      </c>
      <c r="T438" s="31">
        <f>IF(B438="","",IF(K438="Cerrado",IF(S438&gt;0,"Cerrado con atraso","Cerrado"),IF(S438&gt;0,"Atrasado",IF(AND(N438="",L438&lt;&gt;"",$B$3&gt;L438),"Inicio atrasado","En plazo"))))</f>
        <v/>
      </c>
      <c r="U438" s="26" t="n"/>
    </row>
    <row r="439">
      <c r="A439" s="24" t="n"/>
      <c r="B439" s="25" t="n"/>
      <c r="C439" s="25" t="n"/>
      <c r="D439" s="25" t="n"/>
      <c r="E439" s="26" t="n"/>
      <c r="F439" s="25" t="n"/>
      <c r="G439" s="25" t="n"/>
      <c r="H439" s="25" t="n"/>
      <c r="I439" s="25" t="n"/>
      <c r="J439" s="25" t="n"/>
      <c r="K439" s="25" t="n"/>
      <c r="L439" s="27" t="n"/>
      <c r="M439" s="27" t="n"/>
      <c r="N439" s="27" t="n"/>
      <c r="O439" s="27" t="n"/>
      <c r="P439" s="28" t="n"/>
      <c r="Q439" s="29" t="n"/>
      <c r="R439" s="30">
        <f>IF(B439="","",IF(C439="IWP",COUNTIFS(Restricciones!$D$6:$D$305,B439,Restricciones!$F$6:$F$305,"Abierta")+COUNTIFS(Restricciones!$D$6:$D$305,B439,Restricciones!$F$6:$F$305,"En gestión"),IF(C439="CWA",COUNTIFS(Restricciones!$C$6:$C$305,"CWP-"&amp;MID(B439,5,4)&amp;"-*",Restricciones!$F$6:$F$305,"Abierta")+COUNTIFS(Restricciones!$C$6:$C$305,"CWP-"&amp;MID(B439,5,4)&amp;"-*",Restricciones!$F$6:$F$305,"En gestión"),COUNTIFS(Restricciones!$C$6:$C$305,IF(C439="CWP",B439,H439),Restricciones!$F$6:$F$305,"Abierta")+COUNTIFS(Restricciones!$C$6:$C$305,IF(C439="CWP",B439,H439),Restricciones!$F$6:$F$305,"En gestión"))))</f>
        <v/>
      </c>
      <c r="S439" s="30">
        <f>IF(OR(B439="",M439=""),"",IF(O439&lt;&gt;"",MAX(0,O439-M439),IF(AND($B$3&gt;M439,K439&lt;&gt;"Cerrado"),$B$3-M439,0)))</f>
        <v/>
      </c>
      <c r="T439" s="31">
        <f>IF(B439="","",IF(K439="Cerrado",IF(S439&gt;0,"Cerrado con atraso","Cerrado"),IF(S439&gt;0,"Atrasado",IF(AND(N439="",L439&lt;&gt;"",$B$3&gt;L439),"Inicio atrasado","En plazo"))))</f>
        <v/>
      </c>
      <c r="U439" s="26" t="n"/>
    </row>
    <row r="440">
      <c r="A440" s="24" t="n"/>
      <c r="B440" s="25" t="n"/>
      <c r="C440" s="25" t="n"/>
      <c r="D440" s="25" t="n"/>
      <c r="E440" s="26" t="n"/>
      <c r="F440" s="25" t="n"/>
      <c r="G440" s="25" t="n"/>
      <c r="H440" s="25" t="n"/>
      <c r="I440" s="25" t="n"/>
      <c r="J440" s="25" t="n"/>
      <c r="K440" s="25" t="n"/>
      <c r="L440" s="27" t="n"/>
      <c r="M440" s="27" t="n"/>
      <c r="N440" s="27" t="n"/>
      <c r="O440" s="27" t="n"/>
      <c r="P440" s="28" t="n"/>
      <c r="Q440" s="29" t="n"/>
      <c r="R440" s="30">
        <f>IF(B440="","",IF(C440="IWP",COUNTIFS(Restricciones!$D$6:$D$305,B440,Restricciones!$F$6:$F$305,"Abierta")+COUNTIFS(Restricciones!$D$6:$D$305,B440,Restricciones!$F$6:$F$305,"En gestión"),IF(C440="CWA",COUNTIFS(Restricciones!$C$6:$C$305,"CWP-"&amp;MID(B440,5,4)&amp;"-*",Restricciones!$F$6:$F$305,"Abierta")+COUNTIFS(Restricciones!$C$6:$C$305,"CWP-"&amp;MID(B440,5,4)&amp;"-*",Restricciones!$F$6:$F$305,"En gestión"),COUNTIFS(Restricciones!$C$6:$C$305,IF(C440="CWP",B440,H440),Restricciones!$F$6:$F$305,"Abierta")+COUNTIFS(Restricciones!$C$6:$C$305,IF(C440="CWP",B440,H440),Restricciones!$F$6:$F$305,"En gestión"))))</f>
        <v/>
      </c>
      <c r="S440" s="30">
        <f>IF(OR(B440="",M440=""),"",IF(O440&lt;&gt;"",MAX(0,O440-M440),IF(AND($B$3&gt;M440,K440&lt;&gt;"Cerrado"),$B$3-M440,0)))</f>
        <v/>
      </c>
      <c r="T440" s="31">
        <f>IF(B440="","",IF(K440="Cerrado",IF(S440&gt;0,"Cerrado con atraso","Cerrado"),IF(S440&gt;0,"Atrasado",IF(AND(N440="",L440&lt;&gt;"",$B$3&gt;L440),"Inicio atrasado","En plazo"))))</f>
        <v/>
      </c>
      <c r="U440" s="26" t="n"/>
    </row>
    <row r="441">
      <c r="A441" s="24" t="n"/>
      <c r="B441" s="25" t="n"/>
      <c r="C441" s="25" t="n"/>
      <c r="D441" s="25" t="n"/>
      <c r="E441" s="26" t="n"/>
      <c r="F441" s="25" t="n"/>
      <c r="G441" s="25" t="n"/>
      <c r="H441" s="25" t="n"/>
      <c r="I441" s="25" t="n"/>
      <c r="J441" s="25" t="n"/>
      <c r="K441" s="25" t="n"/>
      <c r="L441" s="27" t="n"/>
      <c r="M441" s="27" t="n"/>
      <c r="N441" s="27" t="n"/>
      <c r="O441" s="27" t="n"/>
      <c r="P441" s="28" t="n"/>
      <c r="Q441" s="29" t="n"/>
      <c r="R441" s="30">
        <f>IF(B441="","",IF(C441="IWP",COUNTIFS(Restricciones!$D$6:$D$305,B441,Restricciones!$F$6:$F$305,"Abierta")+COUNTIFS(Restricciones!$D$6:$D$305,B441,Restricciones!$F$6:$F$305,"En gestión"),IF(C441="CWA",COUNTIFS(Restricciones!$C$6:$C$305,"CWP-"&amp;MID(B441,5,4)&amp;"-*",Restricciones!$F$6:$F$305,"Abierta")+COUNTIFS(Restricciones!$C$6:$C$305,"CWP-"&amp;MID(B441,5,4)&amp;"-*",Restricciones!$F$6:$F$305,"En gestión"),COUNTIFS(Restricciones!$C$6:$C$305,IF(C441="CWP",B441,H441),Restricciones!$F$6:$F$305,"Abierta")+COUNTIFS(Restricciones!$C$6:$C$305,IF(C441="CWP",B441,H441),Restricciones!$F$6:$F$305,"En gestión"))))</f>
        <v/>
      </c>
      <c r="S441" s="30">
        <f>IF(OR(B441="",M441=""),"",IF(O441&lt;&gt;"",MAX(0,O441-M441),IF(AND($B$3&gt;M441,K441&lt;&gt;"Cerrado"),$B$3-M441,0)))</f>
        <v/>
      </c>
      <c r="T441" s="31">
        <f>IF(B441="","",IF(K441="Cerrado",IF(S441&gt;0,"Cerrado con atraso","Cerrado"),IF(S441&gt;0,"Atrasado",IF(AND(N441="",L441&lt;&gt;"",$B$3&gt;L441),"Inicio atrasado","En plazo"))))</f>
        <v/>
      </c>
      <c r="U441" s="26" t="n"/>
    </row>
    <row r="442">
      <c r="A442" s="24" t="n"/>
      <c r="B442" s="25" t="n"/>
      <c r="C442" s="25" t="n"/>
      <c r="D442" s="25" t="n"/>
      <c r="E442" s="26" t="n"/>
      <c r="F442" s="25" t="n"/>
      <c r="G442" s="25" t="n"/>
      <c r="H442" s="25" t="n"/>
      <c r="I442" s="25" t="n"/>
      <c r="J442" s="25" t="n"/>
      <c r="K442" s="25" t="n"/>
      <c r="L442" s="27" t="n"/>
      <c r="M442" s="27" t="n"/>
      <c r="N442" s="27" t="n"/>
      <c r="O442" s="27" t="n"/>
      <c r="P442" s="28" t="n"/>
      <c r="Q442" s="29" t="n"/>
      <c r="R442" s="30">
        <f>IF(B442="","",IF(C442="IWP",COUNTIFS(Restricciones!$D$6:$D$305,B442,Restricciones!$F$6:$F$305,"Abierta")+COUNTIFS(Restricciones!$D$6:$D$305,B442,Restricciones!$F$6:$F$305,"En gestión"),IF(C442="CWA",COUNTIFS(Restricciones!$C$6:$C$305,"CWP-"&amp;MID(B442,5,4)&amp;"-*",Restricciones!$F$6:$F$305,"Abierta")+COUNTIFS(Restricciones!$C$6:$C$305,"CWP-"&amp;MID(B442,5,4)&amp;"-*",Restricciones!$F$6:$F$305,"En gestión"),COUNTIFS(Restricciones!$C$6:$C$305,IF(C442="CWP",B442,H442),Restricciones!$F$6:$F$305,"Abierta")+COUNTIFS(Restricciones!$C$6:$C$305,IF(C442="CWP",B442,H442),Restricciones!$F$6:$F$305,"En gestión"))))</f>
        <v/>
      </c>
      <c r="S442" s="30">
        <f>IF(OR(B442="",M442=""),"",IF(O442&lt;&gt;"",MAX(0,O442-M442),IF(AND($B$3&gt;M442,K442&lt;&gt;"Cerrado"),$B$3-M442,0)))</f>
        <v/>
      </c>
      <c r="T442" s="31">
        <f>IF(B442="","",IF(K442="Cerrado",IF(S442&gt;0,"Cerrado con atraso","Cerrado"),IF(S442&gt;0,"Atrasado",IF(AND(N442="",L442&lt;&gt;"",$B$3&gt;L442),"Inicio atrasado","En plazo"))))</f>
        <v/>
      </c>
      <c r="U442" s="26" t="n"/>
    </row>
    <row r="443">
      <c r="A443" s="24" t="n"/>
      <c r="B443" s="25" t="n"/>
      <c r="C443" s="25" t="n"/>
      <c r="D443" s="25" t="n"/>
      <c r="E443" s="26" t="n"/>
      <c r="F443" s="25" t="n"/>
      <c r="G443" s="25" t="n"/>
      <c r="H443" s="25" t="n"/>
      <c r="I443" s="25" t="n"/>
      <c r="J443" s="25" t="n"/>
      <c r="K443" s="25" t="n"/>
      <c r="L443" s="27" t="n"/>
      <c r="M443" s="27" t="n"/>
      <c r="N443" s="27" t="n"/>
      <c r="O443" s="27" t="n"/>
      <c r="P443" s="28" t="n"/>
      <c r="Q443" s="29" t="n"/>
      <c r="R443" s="30">
        <f>IF(B443="","",IF(C443="IWP",COUNTIFS(Restricciones!$D$6:$D$305,B443,Restricciones!$F$6:$F$305,"Abierta")+COUNTIFS(Restricciones!$D$6:$D$305,B443,Restricciones!$F$6:$F$305,"En gestión"),IF(C443="CWA",COUNTIFS(Restricciones!$C$6:$C$305,"CWP-"&amp;MID(B443,5,4)&amp;"-*",Restricciones!$F$6:$F$305,"Abierta")+COUNTIFS(Restricciones!$C$6:$C$305,"CWP-"&amp;MID(B443,5,4)&amp;"-*",Restricciones!$F$6:$F$305,"En gestión"),COUNTIFS(Restricciones!$C$6:$C$305,IF(C443="CWP",B443,H443),Restricciones!$F$6:$F$305,"Abierta")+COUNTIFS(Restricciones!$C$6:$C$305,IF(C443="CWP",B443,H443),Restricciones!$F$6:$F$305,"En gestión"))))</f>
        <v/>
      </c>
      <c r="S443" s="30">
        <f>IF(OR(B443="",M443=""),"",IF(O443&lt;&gt;"",MAX(0,O443-M443),IF(AND($B$3&gt;M443,K443&lt;&gt;"Cerrado"),$B$3-M443,0)))</f>
        <v/>
      </c>
      <c r="T443" s="31">
        <f>IF(B443="","",IF(K443="Cerrado",IF(S443&gt;0,"Cerrado con atraso","Cerrado"),IF(S443&gt;0,"Atrasado",IF(AND(N443="",L443&lt;&gt;"",$B$3&gt;L443),"Inicio atrasado","En plazo"))))</f>
        <v/>
      </c>
      <c r="U443" s="26" t="n"/>
    </row>
    <row r="444">
      <c r="A444" s="24" t="n"/>
      <c r="B444" s="25" t="n"/>
      <c r="C444" s="25" t="n"/>
      <c r="D444" s="25" t="n"/>
      <c r="E444" s="26" t="n"/>
      <c r="F444" s="25" t="n"/>
      <c r="G444" s="25" t="n"/>
      <c r="H444" s="25" t="n"/>
      <c r="I444" s="25" t="n"/>
      <c r="J444" s="25" t="n"/>
      <c r="K444" s="25" t="n"/>
      <c r="L444" s="27" t="n"/>
      <c r="M444" s="27" t="n"/>
      <c r="N444" s="27" t="n"/>
      <c r="O444" s="27" t="n"/>
      <c r="P444" s="28" t="n"/>
      <c r="Q444" s="29" t="n"/>
      <c r="R444" s="30">
        <f>IF(B444="","",IF(C444="IWP",COUNTIFS(Restricciones!$D$6:$D$305,B444,Restricciones!$F$6:$F$305,"Abierta")+COUNTIFS(Restricciones!$D$6:$D$305,B444,Restricciones!$F$6:$F$305,"En gestión"),IF(C444="CWA",COUNTIFS(Restricciones!$C$6:$C$305,"CWP-"&amp;MID(B444,5,4)&amp;"-*",Restricciones!$F$6:$F$305,"Abierta")+COUNTIFS(Restricciones!$C$6:$C$305,"CWP-"&amp;MID(B444,5,4)&amp;"-*",Restricciones!$F$6:$F$305,"En gestión"),COUNTIFS(Restricciones!$C$6:$C$305,IF(C444="CWP",B444,H444),Restricciones!$F$6:$F$305,"Abierta")+COUNTIFS(Restricciones!$C$6:$C$305,IF(C444="CWP",B444,H444),Restricciones!$F$6:$F$305,"En gestión"))))</f>
        <v/>
      </c>
      <c r="S444" s="30">
        <f>IF(OR(B444="",M444=""),"",IF(O444&lt;&gt;"",MAX(0,O444-M444),IF(AND($B$3&gt;M444,K444&lt;&gt;"Cerrado"),$B$3-M444,0)))</f>
        <v/>
      </c>
      <c r="T444" s="31">
        <f>IF(B444="","",IF(K444="Cerrado",IF(S444&gt;0,"Cerrado con atraso","Cerrado"),IF(S444&gt;0,"Atrasado",IF(AND(N444="",L444&lt;&gt;"",$B$3&gt;L444),"Inicio atrasado","En plazo"))))</f>
        <v/>
      </c>
      <c r="U444" s="26" t="n"/>
    </row>
    <row r="445">
      <c r="A445" s="24" t="n"/>
      <c r="B445" s="25" t="n"/>
      <c r="C445" s="25" t="n"/>
      <c r="D445" s="25" t="n"/>
      <c r="E445" s="26" t="n"/>
      <c r="F445" s="25" t="n"/>
      <c r="G445" s="25" t="n"/>
      <c r="H445" s="25" t="n"/>
      <c r="I445" s="25" t="n"/>
      <c r="J445" s="25" t="n"/>
      <c r="K445" s="25" t="n"/>
      <c r="L445" s="27" t="n"/>
      <c r="M445" s="27" t="n"/>
      <c r="N445" s="27" t="n"/>
      <c r="O445" s="27" t="n"/>
      <c r="P445" s="28" t="n"/>
      <c r="Q445" s="29" t="n"/>
      <c r="R445" s="30">
        <f>IF(B445="","",IF(C445="IWP",COUNTIFS(Restricciones!$D$6:$D$305,B445,Restricciones!$F$6:$F$305,"Abierta")+COUNTIFS(Restricciones!$D$6:$D$305,B445,Restricciones!$F$6:$F$305,"En gestión"),IF(C445="CWA",COUNTIFS(Restricciones!$C$6:$C$305,"CWP-"&amp;MID(B445,5,4)&amp;"-*",Restricciones!$F$6:$F$305,"Abierta")+COUNTIFS(Restricciones!$C$6:$C$305,"CWP-"&amp;MID(B445,5,4)&amp;"-*",Restricciones!$F$6:$F$305,"En gestión"),COUNTIFS(Restricciones!$C$6:$C$305,IF(C445="CWP",B445,H445),Restricciones!$F$6:$F$305,"Abierta")+COUNTIFS(Restricciones!$C$6:$C$305,IF(C445="CWP",B445,H445),Restricciones!$F$6:$F$305,"En gestión"))))</f>
        <v/>
      </c>
      <c r="S445" s="30">
        <f>IF(OR(B445="",M445=""),"",IF(O445&lt;&gt;"",MAX(0,O445-M445),IF(AND($B$3&gt;M445,K445&lt;&gt;"Cerrado"),$B$3-M445,0)))</f>
        <v/>
      </c>
      <c r="T445" s="31">
        <f>IF(B445="","",IF(K445="Cerrado",IF(S445&gt;0,"Cerrado con atraso","Cerrado"),IF(S445&gt;0,"Atrasado",IF(AND(N445="",L445&lt;&gt;"",$B$3&gt;L445),"Inicio atrasado","En plazo"))))</f>
        <v/>
      </c>
      <c r="U445" s="26" t="n"/>
    </row>
    <row r="446">
      <c r="A446" s="24" t="n"/>
      <c r="B446" s="25" t="n"/>
      <c r="C446" s="25" t="n"/>
      <c r="D446" s="25" t="n"/>
      <c r="E446" s="26" t="n"/>
      <c r="F446" s="25" t="n"/>
      <c r="G446" s="25" t="n"/>
      <c r="H446" s="25" t="n"/>
      <c r="I446" s="25" t="n"/>
      <c r="J446" s="25" t="n"/>
      <c r="K446" s="25" t="n"/>
      <c r="L446" s="27" t="n"/>
      <c r="M446" s="27" t="n"/>
      <c r="N446" s="27" t="n"/>
      <c r="O446" s="27" t="n"/>
      <c r="P446" s="28" t="n"/>
      <c r="Q446" s="29" t="n"/>
      <c r="R446" s="30">
        <f>IF(B446="","",IF(C446="IWP",COUNTIFS(Restricciones!$D$6:$D$305,B446,Restricciones!$F$6:$F$305,"Abierta")+COUNTIFS(Restricciones!$D$6:$D$305,B446,Restricciones!$F$6:$F$305,"En gestión"),IF(C446="CWA",COUNTIFS(Restricciones!$C$6:$C$305,"CWP-"&amp;MID(B446,5,4)&amp;"-*",Restricciones!$F$6:$F$305,"Abierta")+COUNTIFS(Restricciones!$C$6:$C$305,"CWP-"&amp;MID(B446,5,4)&amp;"-*",Restricciones!$F$6:$F$305,"En gestión"),COUNTIFS(Restricciones!$C$6:$C$305,IF(C446="CWP",B446,H446),Restricciones!$F$6:$F$305,"Abierta")+COUNTIFS(Restricciones!$C$6:$C$305,IF(C446="CWP",B446,H446),Restricciones!$F$6:$F$305,"En gestión"))))</f>
        <v/>
      </c>
      <c r="S446" s="30">
        <f>IF(OR(B446="",M446=""),"",IF(O446&lt;&gt;"",MAX(0,O446-M446),IF(AND($B$3&gt;M446,K446&lt;&gt;"Cerrado"),$B$3-M446,0)))</f>
        <v/>
      </c>
      <c r="T446" s="31">
        <f>IF(B446="","",IF(K446="Cerrado",IF(S446&gt;0,"Cerrado con atraso","Cerrado"),IF(S446&gt;0,"Atrasado",IF(AND(N446="",L446&lt;&gt;"",$B$3&gt;L446),"Inicio atrasado","En plazo"))))</f>
        <v/>
      </c>
      <c r="U446" s="26" t="n"/>
    </row>
    <row r="447">
      <c r="A447" s="24" t="n"/>
      <c r="B447" s="25" t="n"/>
      <c r="C447" s="25" t="n"/>
      <c r="D447" s="25" t="n"/>
      <c r="E447" s="26" t="n"/>
      <c r="F447" s="25" t="n"/>
      <c r="G447" s="25" t="n"/>
      <c r="H447" s="25" t="n"/>
      <c r="I447" s="25" t="n"/>
      <c r="J447" s="25" t="n"/>
      <c r="K447" s="25" t="n"/>
      <c r="L447" s="27" t="n"/>
      <c r="M447" s="27" t="n"/>
      <c r="N447" s="27" t="n"/>
      <c r="O447" s="27" t="n"/>
      <c r="P447" s="28" t="n"/>
      <c r="Q447" s="29" t="n"/>
      <c r="R447" s="30">
        <f>IF(B447="","",IF(C447="IWP",COUNTIFS(Restricciones!$D$6:$D$305,B447,Restricciones!$F$6:$F$305,"Abierta")+COUNTIFS(Restricciones!$D$6:$D$305,B447,Restricciones!$F$6:$F$305,"En gestión"),IF(C447="CWA",COUNTIFS(Restricciones!$C$6:$C$305,"CWP-"&amp;MID(B447,5,4)&amp;"-*",Restricciones!$F$6:$F$305,"Abierta")+COUNTIFS(Restricciones!$C$6:$C$305,"CWP-"&amp;MID(B447,5,4)&amp;"-*",Restricciones!$F$6:$F$305,"En gestión"),COUNTIFS(Restricciones!$C$6:$C$305,IF(C447="CWP",B447,H447),Restricciones!$F$6:$F$305,"Abierta")+COUNTIFS(Restricciones!$C$6:$C$305,IF(C447="CWP",B447,H447),Restricciones!$F$6:$F$305,"En gestión"))))</f>
        <v/>
      </c>
      <c r="S447" s="30">
        <f>IF(OR(B447="",M447=""),"",IF(O447&lt;&gt;"",MAX(0,O447-M447),IF(AND($B$3&gt;M447,K447&lt;&gt;"Cerrado"),$B$3-M447,0)))</f>
        <v/>
      </c>
      <c r="T447" s="31">
        <f>IF(B447="","",IF(K447="Cerrado",IF(S447&gt;0,"Cerrado con atraso","Cerrado"),IF(S447&gt;0,"Atrasado",IF(AND(N447="",L447&lt;&gt;"",$B$3&gt;L447),"Inicio atrasado","En plazo"))))</f>
        <v/>
      </c>
      <c r="U447" s="26" t="n"/>
    </row>
    <row r="448">
      <c r="A448" s="24" t="n"/>
      <c r="B448" s="25" t="n"/>
      <c r="C448" s="25" t="n"/>
      <c r="D448" s="25" t="n"/>
      <c r="E448" s="26" t="n"/>
      <c r="F448" s="25" t="n"/>
      <c r="G448" s="25" t="n"/>
      <c r="H448" s="25" t="n"/>
      <c r="I448" s="25" t="n"/>
      <c r="J448" s="25" t="n"/>
      <c r="K448" s="25" t="n"/>
      <c r="L448" s="27" t="n"/>
      <c r="M448" s="27" t="n"/>
      <c r="N448" s="27" t="n"/>
      <c r="O448" s="27" t="n"/>
      <c r="P448" s="28" t="n"/>
      <c r="Q448" s="29" t="n"/>
      <c r="R448" s="30">
        <f>IF(B448="","",IF(C448="IWP",COUNTIFS(Restricciones!$D$6:$D$305,B448,Restricciones!$F$6:$F$305,"Abierta")+COUNTIFS(Restricciones!$D$6:$D$305,B448,Restricciones!$F$6:$F$305,"En gestión"),IF(C448="CWA",COUNTIFS(Restricciones!$C$6:$C$305,"CWP-"&amp;MID(B448,5,4)&amp;"-*",Restricciones!$F$6:$F$305,"Abierta")+COUNTIFS(Restricciones!$C$6:$C$305,"CWP-"&amp;MID(B448,5,4)&amp;"-*",Restricciones!$F$6:$F$305,"En gestión"),COUNTIFS(Restricciones!$C$6:$C$305,IF(C448="CWP",B448,H448),Restricciones!$F$6:$F$305,"Abierta")+COUNTIFS(Restricciones!$C$6:$C$305,IF(C448="CWP",B448,H448),Restricciones!$F$6:$F$305,"En gestión"))))</f>
        <v/>
      </c>
      <c r="S448" s="30">
        <f>IF(OR(B448="",M448=""),"",IF(O448&lt;&gt;"",MAX(0,O448-M448),IF(AND($B$3&gt;M448,K448&lt;&gt;"Cerrado"),$B$3-M448,0)))</f>
        <v/>
      </c>
      <c r="T448" s="31">
        <f>IF(B448="","",IF(K448="Cerrado",IF(S448&gt;0,"Cerrado con atraso","Cerrado"),IF(S448&gt;0,"Atrasado",IF(AND(N448="",L448&lt;&gt;"",$B$3&gt;L448),"Inicio atrasado","En plazo"))))</f>
        <v/>
      </c>
      <c r="U448" s="26" t="n"/>
    </row>
    <row r="449">
      <c r="A449" s="24" t="n"/>
      <c r="B449" s="25" t="n"/>
      <c r="C449" s="25" t="n"/>
      <c r="D449" s="25" t="n"/>
      <c r="E449" s="26" t="n"/>
      <c r="F449" s="25" t="n"/>
      <c r="G449" s="25" t="n"/>
      <c r="H449" s="25" t="n"/>
      <c r="I449" s="25" t="n"/>
      <c r="J449" s="25" t="n"/>
      <c r="K449" s="25" t="n"/>
      <c r="L449" s="27" t="n"/>
      <c r="M449" s="27" t="n"/>
      <c r="N449" s="27" t="n"/>
      <c r="O449" s="27" t="n"/>
      <c r="P449" s="28" t="n"/>
      <c r="Q449" s="29" t="n"/>
      <c r="R449" s="30">
        <f>IF(B449="","",IF(C449="IWP",COUNTIFS(Restricciones!$D$6:$D$305,B449,Restricciones!$F$6:$F$305,"Abierta")+COUNTIFS(Restricciones!$D$6:$D$305,B449,Restricciones!$F$6:$F$305,"En gestión"),IF(C449="CWA",COUNTIFS(Restricciones!$C$6:$C$305,"CWP-"&amp;MID(B449,5,4)&amp;"-*",Restricciones!$F$6:$F$305,"Abierta")+COUNTIFS(Restricciones!$C$6:$C$305,"CWP-"&amp;MID(B449,5,4)&amp;"-*",Restricciones!$F$6:$F$305,"En gestión"),COUNTIFS(Restricciones!$C$6:$C$305,IF(C449="CWP",B449,H449),Restricciones!$F$6:$F$305,"Abierta")+COUNTIFS(Restricciones!$C$6:$C$305,IF(C449="CWP",B449,H449),Restricciones!$F$6:$F$305,"En gestión"))))</f>
        <v/>
      </c>
      <c r="S449" s="30">
        <f>IF(OR(B449="",M449=""),"",IF(O449&lt;&gt;"",MAX(0,O449-M449),IF(AND($B$3&gt;M449,K449&lt;&gt;"Cerrado"),$B$3-M449,0)))</f>
        <v/>
      </c>
      <c r="T449" s="31">
        <f>IF(B449="","",IF(K449="Cerrado",IF(S449&gt;0,"Cerrado con atraso","Cerrado"),IF(S449&gt;0,"Atrasado",IF(AND(N449="",L449&lt;&gt;"",$B$3&gt;L449),"Inicio atrasado","En plazo"))))</f>
        <v/>
      </c>
      <c r="U449" s="26" t="n"/>
    </row>
    <row r="450">
      <c r="A450" s="24" t="n"/>
      <c r="B450" s="25" t="n"/>
      <c r="C450" s="25" t="n"/>
      <c r="D450" s="25" t="n"/>
      <c r="E450" s="26" t="n"/>
      <c r="F450" s="25" t="n"/>
      <c r="G450" s="25" t="n"/>
      <c r="H450" s="25" t="n"/>
      <c r="I450" s="25" t="n"/>
      <c r="J450" s="25" t="n"/>
      <c r="K450" s="25" t="n"/>
      <c r="L450" s="27" t="n"/>
      <c r="M450" s="27" t="n"/>
      <c r="N450" s="27" t="n"/>
      <c r="O450" s="27" t="n"/>
      <c r="P450" s="28" t="n"/>
      <c r="Q450" s="29" t="n"/>
      <c r="R450" s="30">
        <f>IF(B450="","",IF(C450="IWP",COUNTIFS(Restricciones!$D$6:$D$305,B450,Restricciones!$F$6:$F$305,"Abierta")+COUNTIFS(Restricciones!$D$6:$D$305,B450,Restricciones!$F$6:$F$305,"En gestión"),IF(C450="CWA",COUNTIFS(Restricciones!$C$6:$C$305,"CWP-"&amp;MID(B450,5,4)&amp;"-*",Restricciones!$F$6:$F$305,"Abierta")+COUNTIFS(Restricciones!$C$6:$C$305,"CWP-"&amp;MID(B450,5,4)&amp;"-*",Restricciones!$F$6:$F$305,"En gestión"),COUNTIFS(Restricciones!$C$6:$C$305,IF(C450="CWP",B450,H450),Restricciones!$F$6:$F$305,"Abierta")+COUNTIFS(Restricciones!$C$6:$C$305,IF(C450="CWP",B450,H450),Restricciones!$F$6:$F$305,"En gestión"))))</f>
        <v/>
      </c>
      <c r="S450" s="30">
        <f>IF(OR(B450="",M450=""),"",IF(O450&lt;&gt;"",MAX(0,O450-M450),IF(AND($B$3&gt;M450,K450&lt;&gt;"Cerrado"),$B$3-M450,0)))</f>
        <v/>
      </c>
      <c r="T450" s="31">
        <f>IF(B450="","",IF(K450="Cerrado",IF(S450&gt;0,"Cerrado con atraso","Cerrado"),IF(S450&gt;0,"Atrasado",IF(AND(N450="",L450&lt;&gt;"",$B$3&gt;L450),"Inicio atrasado","En plazo"))))</f>
        <v/>
      </c>
      <c r="U450" s="26" t="n"/>
    </row>
    <row r="451">
      <c r="A451" s="24" t="n"/>
      <c r="B451" s="25" t="n"/>
      <c r="C451" s="25" t="n"/>
      <c r="D451" s="25" t="n"/>
      <c r="E451" s="26" t="n"/>
      <c r="F451" s="25" t="n"/>
      <c r="G451" s="25" t="n"/>
      <c r="H451" s="25" t="n"/>
      <c r="I451" s="25" t="n"/>
      <c r="J451" s="25" t="n"/>
      <c r="K451" s="25" t="n"/>
      <c r="L451" s="27" t="n"/>
      <c r="M451" s="27" t="n"/>
      <c r="N451" s="27" t="n"/>
      <c r="O451" s="27" t="n"/>
      <c r="P451" s="28" t="n"/>
      <c r="Q451" s="29" t="n"/>
      <c r="R451" s="30">
        <f>IF(B451="","",IF(C451="IWP",COUNTIFS(Restricciones!$D$6:$D$305,B451,Restricciones!$F$6:$F$305,"Abierta")+COUNTIFS(Restricciones!$D$6:$D$305,B451,Restricciones!$F$6:$F$305,"En gestión"),IF(C451="CWA",COUNTIFS(Restricciones!$C$6:$C$305,"CWP-"&amp;MID(B451,5,4)&amp;"-*",Restricciones!$F$6:$F$305,"Abierta")+COUNTIFS(Restricciones!$C$6:$C$305,"CWP-"&amp;MID(B451,5,4)&amp;"-*",Restricciones!$F$6:$F$305,"En gestión"),COUNTIFS(Restricciones!$C$6:$C$305,IF(C451="CWP",B451,H451),Restricciones!$F$6:$F$305,"Abierta")+COUNTIFS(Restricciones!$C$6:$C$305,IF(C451="CWP",B451,H451),Restricciones!$F$6:$F$305,"En gestión"))))</f>
        <v/>
      </c>
      <c r="S451" s="30">
        <f>IF(OR(B451="",M451=""),"",IF(O451&lt;&gt;"",MAX(0,O451-M451),IF(AND($B$3&gt;M451,K451&lt;&gt;"Cerrado"),$B$3-M451,0)))</f>
        <v/>
      </c>
      <c r="T451" s="31">
        <f>IF(B451="","",IF(K451="Cerrado",IF(S451&gt;0,"Cerrado con atraso","Cerrado"),IF(S451&gt;0,"Atrasado",IF(AND(N451="",L451&lt;&gt;"",$B$3&gt;L451),"Inicio atrasado","En plazo"))))</f>
        <v/>
      </c>
      <c r="U451" s="26" t="n"/>
    </row>
    <row r="452">
      <c r="A452" s="24" t="n"/>
      <c r="B452" s="25" t="n"/>
      <c r="C452" s="25" t="n"/>
      <c r="D452" s="25" t="n"/>
      <c r="E452" s="26" t="n"/>
      <c r="F452" s="25" t="n"/>
      <c r="G452" s="25" t="n"/>
      <c r="H452" s="25" t="n"/>
      <c r="I452" s="25" t="n"/>
      <c r="J452" s="25" t="n"/>
      <c r="K452" s="25" t="n"/>
      <c r="L452" s="27" t="n"/>
      <c r="M452" s="27" t="n"/>
      <c r="N452" s="27" t="n"/>
      <c r="O452" s="27" t="n"/>
      <c r="P452" s="28" t="n"/>
      <c r="Q452" s="29" t="n"/>
      <c r="R452" s="30">
        <f>IF(B452="","",IF(C452="IWP",COUNTIFS(Restricciones!$D$6:$D$305,B452,Restricciones!$F$6:$F$305,"Abierta")+COUNTIFS(Restricciones!$D$6:$D$305,B452,Restricciones!$F$6:$F$305,"En gestión"),IF(C452="CWA",COUNTIFS(Restricciones!$C$6:$C$305,"CWP-"&amp;MID(B452,5,4)&amp;"-*",Restricciones!$F$6:$F$305,"Abierta")+COUNTIFS(Restricciones!$C$6:$C$305,"CWP-"&amp;MID(B452,5,4)&amp;"-*",Restricciones!$F$6:$F$305,"En gestión"),COUNTIFS(Restricciones!$C$6:$C$305,IF(C452="CWP",B452,H452),Restricciones!$F$6:$F$305,"Abierta")+COUNTIFS(Restricciones!$C$6:$C$305,IF(C452="CWP",B452,H452),Restricciones!$F$6:$F$305,"En gestión"))))</f>
        <v/>
      </c>
      <c r="S452" s="30">
        <f>IF(OR(B452="",M452=""),"",IF(O452&lt;&gt;"",MAX(0,O452-M452),IF(AND($B$3&gt;M452,K452&lt;&gt;"Cerrado"),$B$3-M452,0)))</f>
        <v/>
      </c>
      <c r="T452" s="31">
        <f>IF(B452="","",IF(K452="Cerrado",IF(S452&gt;0,"Cerrado con atraso","Cerrado"),IF(S452&gt;0,"Atrasado",IF(AND(N452="",L452&lt;&gt;"",$B$3&gt;L452),"Inicio atrasado","En plazo"))))</f>
        <v/>
      </c>
      <c r="U452" s="26" t="n"/>
    </row>
    <row r="453">
      <c r="A453" s="24" t="n"/>
      <c r="B453" s="25" t="n"/>
      <c r="C453" s="25" t="n"/>
      <c r="D453" s="25" t="n"/>
      <c r="E453" s="26" t="n"/>
      <c r="F453" s="25" t="n"/>
      <c r="G453" s="25" t="n"/>
      <c r="H453" s="25" t="n"/>
      <c r="I453" s="25" t="n"/>
      <c r="J453" s="25" t="n"/>
      <c r="K453" s="25" t="n"/>
      <c r="L453" s="27" t="n"/>
      <c r="M453" s="27" t="n"/>
      <c r="N453" s="27" t="n"/>
      <c r="O453" s="27" t="n"/>
      <c r="P453" s="28" t="n"/>
      <c r="Q453" s="29" t="n"/>
      <c r="R453" s="30">
        <f>IF(B453="","",IF(C453="IWP",COUNTIFS(Restricciones!$D$6:$D$305,B453,Restricciones!$F$6:$F$305,"Abierta")+COUNTIFS(Restricciones!$D$6:$D$305,B453,Restricciones!$F$6:$F$305,"En gestión"),IF(C453="CWA",COUNTIFS(Restricciones!$C$6:$C$305,"CWP-"&amp;MID(B453,5,4)&amp;"-*",Restricciones!$F$6:$F$305,"Abierta")+COUNTIFS(Restricciones!$C$6:$C$305,"CWP-"&amp;MID(B453,5,4)&amp;"-*",Restricciones!$F$6:$F$305,"En gestión"),COUNTIFS(Restricciones!$C$6:$C$305,IF(C453="CWP",B453,H453),Restricciones!$F$6:$F$305,"Abierta")+COUNTIFS(Restricciones!$C$6:$C$305,IF(C453="CWP",B453,H453),Restricciones!$F$6:$F$305,"En gestión"))))</f>
        <v/>
      </c>
      <c r="S453" s="30">
        <f>IF(OR(B453="",M453=""),"",IF(O453&lt;&gt;"",MAX(0,O453-M453),IF(AND($B$3&gt;M453,K453&lt;&gt;"Cerrado"),$B$3-M453,0)))</f>
        <v/>
      </c>
      <c r="T453" s="31">
        <f>IF(B453="","",IF(K453="Cerrado",IF(S453&gt;0,"Cerrado con atraso","Cerrado"),IF(S453&gt;0,"Atrasado",IF(AND(N453="",L453&lt;&gt;"",$B$3&gt;L453),"Inicio atrasado","En plazo"))))</f>
        <v/>
      </c>
      <c r="U453" s="26" t="n"/>
    </row>
    <row r="454">
      <c r="A454" s="24" t="n"/>
      <c r="B454" s="25" t="n"/>
      <c r="C454" s="25" t="n"/>
      <c r="D454" s="25" t="n"/>
      <c r="E454" s="26" t="n"/>
      <c r="F454" s="25" t="n"/>
      <c r="G454" s="25" t="n"/>
      <c r="H454" s="25" t="n"/>
      <c r="I454" s="25" t="n"/>
      <c r="J454" s="25" t="n"/>
      <c r="K454" s="25" t="n"/>
      <c r="L454" s="27" t="n"/>
      <c r="M454" s="27" t="n"/>
      <c r="N454" s="27" t="n"/>
      <c r="O454" s="27" t="n"/>
      <c r="P454" s="28" t="n"/>
      <c r="Q454" s="29" t="n"/>
      <c r="R454" s="30">
        <f>IF(B454="","",IF(C454="IWP",COUNTIFS(Restricciones!$D$6:$D$305,B454,Restricciones!$F$6:$F$305,"Abierta")+COUNTIFS(Restricciones!$D$6:$D$305,B454,Restricciones!$F$6:$F$305,"En gestión"),IF(C454="CWA",COUNTIFS(Restricciones!$C$6:$C$305,"CWP-"&amp;MID(B454,5,4)&amp;"-*",Restricciones!$F$6:$F$305,"Abierta")+COUNTIFS(Restricciones!$C$6:$C$305,"CWP-"&amp;MID(B454,5,4)&amp;"-*",Restricciones!$F$6:$F$305,"En gestión"),COUNTIFS(Restricciones!$C$6:$C$305,IF(C454="CWP",B454,H454),Restricciones!$F$6:$F$305,"Abierta")+COUNTIFS(Restricciones!$C$6:$C$305,IF(C454="CWP",B454,H454),Restricciones!$F$6:$F$305,"En gestión"))))</f>
        <v/>
      </c>
      <c r="S454" s="30">
        <f>IF(OR(B454="",M454=""),"",IF(O454&lt;&gt;"",MAX(0,O454-M454),IF(AND($B$3&gt;M454,K454&lt;&gt;"Cerrado"),$B$3-M454,0)))</f>
        <v/>
      </c>
      <c r="T454" s="31">
        <f>IF(B454="","",IF(K454="Cerrado",IF(S454&gt;0,"Cerrado con atraso","Cerrado"),IF(S454&gt;0,"Atrasado",IF(AND(N454="",L454&lt;&gt;"",$B$3&gt;L454),"Inicio atrasado","En plazo"))))</f>
        <v/>
      </c>
      <c r="U454" s="26" t="n"/>
    </row>
    <row r="455">
      <c r="A455" s="24" t="n"/>
      <c r="B455" s="25" t="n"/>
      <c r="C455" s="25" t="n"/>
      <c r="D455" s="25" t="n"/>
      <c r="E455" s="26" t="n"/>
      <c r="F455" s="25" t="n"/>
      <c r="G455" s="25" t="n"/>
      <c r="H455" s="25" t="n"/>
      <c r="I455" s="25" t="n"/>
      <c r="J455" s="25" t="n"/>
      <c r="K455" s="25" t="n"/>
      <c r="L455" s="27" t="n"/>
      <c r="M455" s="27" t="n"/>
      <c r="N455" s="27" t="n"/>
      <c r="O455" s="27" t="n"/>
      <c r="P455" s="28" t="n"/>
      <c r="Q455" s="29" t="n"/>
      <c r="R455" s="30">
        <f>IF(B455="","",IF(C455="IWP",COUNTIFS(Restricciones!$D$6:$D$305,B455,Restricciones!$F$6:$F$305,"Abierta")+COUNTIFS(Restricciones!$D$6:$D$305,B455,Restricciones!$F$6:$F$305,"En gestión"),IF(C455="CWA",COUNTIFS(Restricciones!$C$6:$C$305,"CWP-"&amp;MID(B455,5,4)&amp;"-*",Restricciones!$F$6:$F$305,"Abierta")+COUNTIFS(Restricciones!$C$6:$C$305,"CWP-"&amp;MID(B455,5,4)&amp;"-*",Restricciones!$F$6:$F$305,"En gestión"),COUNTIFS(Restricciones!$C$6:$C$305,IF(C455="CWP",B455,H455),Restricciones!$F$6:$F$305,"Abierta")+COUNTIFS(Restricciones!$C$6:$C$305,IF(C455="CWP",B455,H455),Restricciones!$F$6:$F$305,"En gestión"))))</f>
        <v/>
      </c>
      <c r="S455" s="30">
        <f>IF(OR(B455="",M455=""),"",IF(O455&lt;&gt;"",MAX(0,O455-M455),IF(AND($B$3&gt;M455,K455&lt;&gt;"Cerrado"),$B$3-M455,0)))</f>
        <v/>
      </c>
      <c r="T455" s="31">
        <f>IF(B455="","",IF(K455="Cerrado",IF(S455&gt;0,"Cerrado con atraso","Cerrado"),IF(S455&gt;0,"Atrasado",IF(AND(N455="",L455&lt;&gt;"",$B$3&gt;L455),"Inicio atrasado","En plazo"))))</f>
        <v/>
      </c>
      <c r="U455" s="26" t="n"/>
    </row>
    <row r="456">
      <c r="A456" s="24" t="n"/>
      <c r="B456" s="25" t="n"/>
      <c r="C456" s="25" t="n"/>
      <c r="D456" s="25" t="n"/>
      <c r="E456" s="26" t="n"/>
      <c r="F456" s="25" t="n"/>
      <c r="G456" s="25" t="n"/>
      <c r="H456" s="25" t="n"/>
      <c r="I456" s="25" t="n"/>
      <c r="J456" s="25" t="n"/>
      <c r="K456" s="25" t="n"/>
      <c r="L456" s="27" t="n"/>
      <c r="M456" s="27" t="n"/>
      <c r="N456" s="27" t="n"/>
      <c r="O456" s="27" t="n"/>
      <c r="P456" s="28" t="n"/>
      <c r="Q456" s="29" t="n"/>
      <c r="R456" s="30">
        <f>IF(B456="","",IF(C456="IWP",COUNTIFS(Restricciones!$D$6:$D$305,B456,Restricciones!$F$6:$F$305,"Abierta")+COUNTIFS(Restricciones!$D$6:$D$305,B456,Restricciones!$F$6:$F$305,"En gestión"),IF(C456="CWA",COUNTIFS(Restricciones!$C$6:$C$305,"CWP-"&amp;MID(B456,5,4)&amp;"-*",Restricciones!$F$6:$F$305,"Abierta")+COUNTIFS(Restricciones!$C$6:$C$305,"CWP-"&amp;MID(B456,5,4)&amp;"-*",Restricciones!$F$6:$F$305,"En gestión"),COUNTIFS(Restricciones!$C$6:$C$305,IF(C456="CWP",B456,H456),Restricciones!$F$6:$F$305,"Abierta")+COUNTIFS(Restricciones!$C$6:$C$305,IF(C456="CWP",B456,H456),Restricciones!$F$6:$F$305,"En gestión"))))</f>
        <v/>
      </c>
      <c r="S456" s="30">
        <f>IF(OR(B456="",M456=""),"",IF(O456&lt;&gt;"",MAX(0,O456-M456),IF(AND($B$3&gt;M456,K456&lt;&gt;"Cerrado"),$B$3-M456,0)))</f>
        <v/>
      </c>
      <c r="T456" s="31">
        <f>IF(B456="","",IF(K456="Cerrado",IF(S456&gt;0,"Cerrado con atraso","Cerrado"),IF(S456&gt;0,"Atrasado",IF(AND(N456="",L456&lt;&gt;"",$B$3&gt;L456),"Inicio atrasado","En plazo"))))</f>
        <v/>
      </c>
      <c r="U456" s="26" t="n"/>
    </row>
    <row r="457">
      <c r="A457" s="24" t="n"/>
      <c r="B457" s="25" t="n"/>
      <c r="C457" s="25" t="n"/>
      <c r="D457" s="25" t="n"/>
      <c r="E457" s="26" t="n"/>
      <c r="F457" s="25" t="n"/>
      <c r="G457" s="25" t="n"/>
      <c r="H457" s="25" t="n"/>
      <c r="I457" s="25" t="n"/>
      <c r="J457" s="25" t="n"/>
      <c r="K457" s="25" t="n"/>
      <c r="L457" s="27" t="n"/>
      <c r="M457" s="27" t="n"/>
      <c r="N457" s="27" t="n"/>
      <c r="O457" s="27" t="n"/>
      <c r="P457" s="28" t="n"/>
      <c r="Q457" s="29" t="n"/>
      <c r="R457" s="30">
        <f>IF(B457="","",IF(C457="IWP",COUNTIFS(Restricciones!$D$6:$D$305,B457,Restricciones!$F$6:$F$305,"Abierta")+COUNTIFS(Restricciones!$D$6:$D$305,B457,Restricciones!$F$6:$F$305,"En gestión"),IF(C457="CWA",COUNTIFS(Restricciones!$C$6:$C$305,"CWP-"&amp;MID(B457,5,4)&amp;"-*",Restricciones!$F$6:$F$305,"Abierta")+COUNTIFS(Restricciones!$C$6:$C$305,"CWP-"&amp;MID(B457,5,4)&amp;"-*",Restricciones!$F$6:$F$305,"En gestión"),COUNTIFS(Restricciones!$C$6:$C$305,IF(C457="CWP",B457,H457),Restricciones!$F$6:$F$305,"Abierta")+COUNTIFS(Restricciones!$C$6:$C$305,IF(C457="CWP",B457,H457),Restricciones!$F$6:$F$305,"En gestión"))))</f>
        <v/>
      </c>
      <c r="S457" s="30">
        <f>IF(OR(B457="",M457=""),"",IF(O457&lt;&gt;"",MAX(0,O457-M457),IF(AND($B$3&gt;M457,K457&lt;&gt;"Cerrado"),$B$3-M457,0)))</f>
        <v/>
      </c>
      <c r="T457" s="31">
        <f>IF(B457="","",IF(K457="Cerrado",IF(S457&gt;0,"Cerrado con atraso","Cerrado"),IF(S457&gt;0,"Atrasado",IF(AND(N457="",L457&lt;&gt;"",$B$3&gt;L457),"Inicio atrasado","En plazo"))))</f>
        <v/>
      </c>
      <c r="U457" s="26" t="n"/>
    </row>
    <row r="458">
      <c r="A458" s="24" t="n"/>
      <c r="B458" s="25" t="n"/>
      <c r="C458" s="25" t="n"/>
      <c r="D458" s="25" t="n"/>
      <c r="E458" s="26" t="n"/>
      <c r="F458" s="25" t="n"/>
      <c r="G458" s="25" t="n"/>
      <c r="H458" s="25" t="n"/>
      <c r="I458" s="25" t="n"/>
      <c r="J458" s="25" t="n"/>
      <c r="K458" s="25" t="n"/>
      <c r="L458" s="27" t="n"/>
      <c r="M458" s="27" t="n"/>
      <c r="N458" s="27" t="n"/>
      <c r="O458" s="27" t="n"/>
      <c r="P458" s="28" t="n"/>
      <c r="Q458" s="29" t="n"/>
      <c r="R458" s="30">
        <f>IF(B458="","",IF(C458="IWP",COUNTIFS(Restricciones!$D$6:$D$305,B458,Restricciones!$F$6:$F$305,"Abierta")+COUNTIFS(Restricciones!$D$6:$D$305,B458,Restricciones!$F$6:$F$305,"En gestión"),IF(C458="CWA",COUNTIFS(Restricciones!$C$6:$C$305,"CWP-"&amp;MID(B458,5,4)&amp;"-*",Restricciones!$F$6:$F$305,"Abierta")+COUNTIFS(Restricciones!$C$6:$C$305,"CWP-"&amp;MID(B458,5,4)&amp;"-*",Restricciones!$F$6:$F$305,"En gestión"),COUNTIFS(Restricciones!$C$6:$C$305,IF(C458="CWP",B458,H458),Restricciones!$F$6:$F$305,"Abierta")+COUNTIFS(Restricciones!$C$6:$C$305,IF(C458="CWP",B458,H458),Restricciones!$F$6:$F$305,"En gestión"))))</f>
        <v/>
      </c>
      <c r="S458" s="30">
        <f>IF(OR(B458="",M458=""),"",IF(O458&lt;&gt;"",MAX(0,O458-M458),IF(AND($B$3&gt;M458,K458&lt;&gt;"Cerrado"),$B$3-M458,0)))</f>
        <v/>
      </c>
      <c r="T458" s="31">
        <f>IF(B458="","",IF(K458="Cerrado",IF(S458&gt;0,"Cerrado con atraso","Cerrado"),IF(S458&gt;0,"Atrasado",IF(AND(N458="",L458&lt;&gt;"",$B$3&gt;L458),"Inicio atrasado","En plazo"))))</f>
        <v/>
      </c>
      <c r="U458" s="26" t="n"/>
    </row>
    <row r="459">
      <c r="A459" s="24" t="n"/>
      <c r="B459" s="25" t="n"/>
      <c r="C459" s="25" t="n"/>
      <c r="D459" s="25" t="n"/>
      <c r="E459" s="26" t="n"/>
      <c r="F459" s="25" t="n"/>
      <c r="G459" s="25" t="n"/>
      <c r="H459" s="25" t="n"/>
      <c r="I459" s="25" t="n"/>
      <c r="J459" s="25" t="n"/>
      <c r="K459" s="25" t="n"/>
      <c r="L459" s="27" t="n"/>
      <c r="M459" s="27" t="n"/>
      <c r="N459" s="27" t="n"/>
      <c r="O459" s="27" t="n"/>
      <c r="P459" s="28" t="n"/>
      <c r="Q459" s="29" t="n"/>
      <c r="R459" s="30">
        <f>IF(B459="","",IF(C459="IWP",COUNTIFS(Restricciones!$D$6:$D$305,B459,Restricciones!$F$6:$F$305,"Abierta")+COUNTIFS(Restricciones!$D$6:$D$305,B459,Restricciones!$F$6:$F$305,"En gestión"),IF(C459="CWA",COUNTIFS(Restricciones!$C$6:$C$305,"CWP-"&amp;MID(B459,5,4)&amp;"-*",Restricciones!$F$6:$F$305,"Abierta")+COUNTIFS(Restricciones!$C$6:$C$305,"CWP-"&amp;MID(B459,5,4)&amp;"-*",Restricciones!$F$6:$F$305,"En gestión"),COUNTIFS(Restricciones!$C$6:$C$305,IF(C459="CWP",B459,H459),Restricciones!$F$6:$F$305,"Abierta")+COUNTIFS(Restricciones!$C$6:$C$305,IF(C459="CWP",B459,H459),Restricciones!$F$6:$F$305,"En gestión"))))</f>
        <v/>
      </c>
      <c r="S459" s="30">
        <f>IF(OR(B459="",M459=""),"",IF(O459&lt;&gt;"",MAX(0,O459-M459),IF(AND($B$3&gt;M459,K459&lt;&gt;"Cerrado"),$B$3-M459,0)))</f>
        <v/>
      </c>
      <c r="T459" s="31">
        <f>IF(B459="","",IF(K459="Cerrado",IF(S459&gt;0,"Cerrado con atraso","Cerrado"),IF(S459&gt;0,"Atrasado",IF(AND(N459="",L459&lt;&gt;"",$B$3&gt;L459),"Inicio atrasado","En plazo"))))</f>
        <v/>
      </c>
      <c r="U459" s="26" t="n"/>
    </row>
    <row r="460">
      <c r="A460" s="24" t="n"/>
      <c r="B460" s="25" t="n"/>
      <c r="C460" s="25" t="n"/>
      <c r="D460" s="25" t="n"/>
      <c r="E460" s="26" t="n"/>
      <c r="F460" s="25" t="n"/>
      <c r="G460" s="25" t="n"/>
      <c r="H460" s="25" t="n"/>
      <c r="I460" s="25" t="n"/>
      <c r="J460" s="25" t="n"/>
      <c r="K460" s="25" t="n"/>
      <c r="L460" s="27" t="n"/>
      <c r="M460" s="27" t="n"/>
      <c r="N460" s="27" t="n"/>
      <c r="O460" s="27" t="n"/>
      <c r="P460" s="28" t="n"/>
      <c r="Q460" s="29" t="n"/>
      <c r="R460" s="30">
        <f>IF(B460="","",IF(C460="IWP",COUNTIFS(Restricciones!$D$6:$D$305,B460,Restricciones!$F$6:$F$305,"Abierta")+COUNTIFS(Restricciones!$D$6:$D$305,B460,Restricciones!$F$6:$F$305,"En gestión"),IF(C460="CWA",COUNTIFS(Restricciones!$C$6:$C$305,"CWP-"&amp;MID(B460,5,4)&amp;"-*",Restricciones!$F$6:$F$305,"Abierta")+COUNTIFS(Restricciones!$C$6:$C$305,"CWP-"&amp;MID(B460,5,4)&amp;"-*",Restricciones!$F$6:$F$305,"En gestión"),COUNTIFS(Restricciones!$C$6:$C$305,IF(C460="CWP",B460,H460),Restricciones!$F$6:$F$305,"Abierta")+COUNTIFS(Restricciones!$C$6:$C$305,IF(C460="CWP",B460,H460),Restricciones!$F$6:$F$305,"En gestión"))))</f>
        <v/>
      </c>
      <c r="S460" s="30">
        <f>IF(OR(B460="",M460=""),"",IF(O460&lt;&gt;"",MAX(0,O460-M460),IF(AND($B$3&gt;M460,K460&lt;&gt;"Cerrado"),$B$3-M460,0)))</f>
        <v/>
      </c>
      <c r="T460" s="31">
        <f>IF(B460="","",IF(K460="Cerrado",IF(S460&gt;0,"Cerrado con atraso","Cerrado"),IF(S460&gt;0,"Atrasado",IF(AND(N460="",L460&lt;&gt;"",$B$3&gt;L460),"Inicio atrasado","En plazo"))))</f>
        <v/>
      </c>
      <c r="U460" s="26" t="n"/>
    </row>
    <row r="461">
      <c r="A461" s="24" t="n"/>
      <c r="B461" s="25" t="n"/>
      <c r="C461" s="25" t="n"/>
      <c r="D461" s="25" t="n"/>
      <c r="E461" s="26" t="n"/>
      <c r="F461" s="25" t="n"/>
      <c r="G461" s="25" t="n"/>
      <c r="H461" s="25" t="n"/>
      <c r="I461" s="25" t="n"/>
      <c r="J461" s="25" t="n"/>
      <c r="K461" s="25" t="n"/>
      <c r="L461" s="27" t="n"/>
      <c r="M461" s="27" t="n"/>
      <c r="N461" s="27" t="n"/>
      <c r="O461" s="27" t="n"/>
      <c r="P461" s="28" t="n"/>
      <c r="Q461" s="29" t="n"/>
      <c r="R461" s="30">
        <f>IF(B461="","",IF(C461="IWP",COUNTIFS(Restricciones!$D$6:$D$305,B461,Restricciones!$F$6:$F$305,"Abierta")+COUNTIFS(Restricciones!$D$6:$D$305,B461,Restricciones!$F$6:$F$305,"En gestión"),IF(C461="CWA",COUNTIFS(Restricciones!$C$6:$C$305,"CWP-"&amp;MID(B461,5,4)&amp;"-*",Restricciones!$F$6:$F$305,"Abierta")+COUNTIFS(Restricciones!$C$6:$C$305,"CWP-"&amp;MID(B461,5,4)&amp;"-*",Restricciones!$F$6:$F$305,"En gestión"),COUNTIFS(Restricciones!$C$6:$C$305,IF(C461="CWP",B461,H461),Restricciones!$F$6:$F$305,"Abierta")+COUNTIFS(Restricciones!$C$6:$C$305,IF(C461="CWP",B461,H461),Restricciones!$F$6:$F$305,"En gestión"))))</f>
        <v/>
      </c>
      <c r="S461" s="30">
        <f>IF(OR(B461="",M461=""),"",IF(O461&lt;&gt;"",MAX(0,O461-M461),IF(AND($B$3&gt;M461,K461&lt;&gt;"Cerrado"),$B$3-M461,0)))</f>
        <v/>
      </c>
      <c r="T461" s="31">
        <f>IF(B461="","",IF(K461="Cerrado",IF(S461&gt;0,"Cerrado con atraso","Cerrado"),IF(S461&gt;0,"Atrasado",IF(AND(N461="",L461&lt;&gt;"",$B$3&gt;L461),"Inicio atrasado","En plazo"))))</f>
        <v/>
      </c>
      <c r="U461" s="26" t="n"/>
    </row>
    <row r="462">
      <c r="A462" s="24" t="n"/>
      <c r="B462" s="25" t="n"/>
      <c r="C462" s="25" t="n"/>
      <c r="D462" s="25" t="n"/>
      <c r="E462" s="26" t="n"/>
      <c r="F462" s="25" t="n"/>
      <c r="G462" s="25" t="n"/>
      <c r="H462" s="25" t="n"/>
      <c r="I462" s="25" t="n"/>
      <c r="J462" s="25" t="n"/>
      <c r="K462" s="25" t="n"/>
      <c r="L462" s="27" t="n"/>
      <c r="M462" s="27" t="n"/>
      <c r="N462" s="27" t="n"/>
      <c r="O462" s="27" t="n"/>
      <c r="P462" s="28" t="n"/>
      <c r="Q462" s="29" t="n"/>
      <c r="R462" s="30">
        <f>IF(B462="","",IF(C462="IWP",COUNTIFS(Restricciones!$D$6:$D$305,B462,Restricciones!$F$6:$F$305,"Abierta")+COUNTIFS(Restricciones!$D$6:$D$305,B462,Restricciones!$F$6:$F$305,"En gestión"),IF(C462="CWA",COUNTIFS(Restricciones!$C$6:$C$305,"CWP-"&amp;MID(B462,5,4)&amp;"-*",Restricciones!$F$6:$F$305,"Abierta")+COUNTIFS(Restricciones!$C$6:$C$305,"CWP-"&amp;MID(B462,5,4)&amp;"-*",Restricciones!$F$6:$F$305,"En gestión"),COUNTIFS(Restricciones!$C$6:$C$305,IF(C462="CWP",B462,H462),Restricciones!$F$6:$F$305,"Abierta")+COUNTIFS(Restricciones!$C$6:$C$305,IF(C462="CWP",B462,H462),Restricciones!$F$6:$F$305,"En gestión"))))</f>
        <v/>
      </c>
      <c r="S462" s="30">
        <f>IF(OR(B462="",M462=""),"",IF(O462&lt;&gt;"",MAX(0,O462-M462),IF(AND($B$3&gt;M462,K462&lt;&gt;"Cerrado"),$B$3-M462,0)))</f>
        <v/>
      </c>
      <c r="T462" s="31">
        <f>IF(B462="","",IF(K462="Cerrado",IF(S462&gt;0,"Cerrado con atraso","Cerrado"),IF(S462&gt;0,"Atrasado",IF(AND(N462="",L462&lt;&gt;"",$B$3&gt;L462),"Inicio atrasado","En plazo"))))</f>
        <v/>
      </c>
      <c r="U462" s="26" t="n"/>
    </row>
    <row r="463">
      <c r="A463" s="24" t="n"/>
      <c r="B463" s="25" t="n"/>
      <c r="C463" s="25" t="n"/>
      <c r="D463" s="25" t="n"/>
      <c r="E463" s="26" t="n"/>
      <c r="F463" s="25" t="n"/>
      <c r="G463" s="25" t="n"/>
      <c r="H463" s="25" t="n"/>
      <c r="I463" s="25" t="n"/>
      <c r="J463" s="25" t="n"/>
      <c r="K463" s="25" t="n"/>
      <c r="L463" s="27" t="n"/>
      <c r="M463" s="27" t="n"/>
      <c r="N463" s="27" t="n"/>
      <c r="O463" s="27" t="n"/>
      <c r="P463" s="28" t="n"/>
      <c r="Q463" s="29" t="n"/>
      <c r="R463" s="30">
        <f>IF(B463="","",IF(C463="IWP",COUNTIFS(Restricciones!$D$6:$D$305,B463,Restricciones!$F$6:$F$305,"Abierta")+COUNTIFS(Restricciones!$D$6:$D$305,B463,Restricciones!$F$6:$F$305,"En gestión"),IF(C463="CWA",COUNTIFS(Restricciones!$C$6:$C$305,"CWP-"&amp;MID(B463,5,4)&amp;"-*",Restricciones!$F$6:$F$305,"Abierta")+COUNTIFS(Restricciones!$C$6:$C$305,"CWP-"&amp;MID(B463,5,4)&amp;"-*",Restricciones!$F$6:$F$305,"En gestión"),COUNTIFS(Restricciones!$C$6:$C$305,IF(C463="CWP",B463,H463),Restricciones!$F$6:$F$305,"Abierta")+COUNTIFS(Restricciones!$C$6:$C$305,IF(C463="CWP",B463,H463),Restricciones!$F$6:$F$305,"En gestión"))))</f>
        <v/>
      </c>
      <c r="S463" s="30">
        <f>IF(OR(B463="",M463=""),"",IF(O463&lt;&gt;"",MAX(0,O463-M463),IF(AND($B$3&gt;M463,K463&lt;&gt;"Cerrado"),$B$3-M463,0)))</f>
        <v/>
      </c>
      <c r="T463" s="31">
        <f>IF(B463="","",IF(K463="Cerrado",IF(S463&gt;0,"Cerrado con atraso","Cerrado"),IF(S463&gt;0,"Atrasado",IF(AND(N463="",L463&lt;&gt;"",$B$3&gt;L463),"Inicio atrasado","En plazo"))))</f>
        <v/>
      </c>
      <c r="U463" s="26" t="n"/>
    </row>
    <row r="464">
      <c r="A464" s="24" t="n"/>
      <c r="B464" s="25" t="n"/>
      <c r="C464" s="25" t="n"/>
      <c r="D464" s="25" t="n"/>
      <c r="E464" s="26" t="n"/>
      <c r="F464" s="25" t="n"/>
      <c r="G464" s="25" t="n"/>
      <c r="H464" s="25" t="n"/>
      <c r="I464" s="25" t="n"/>
      <c r="J464" s="25" t="n"/>
      <c r="K464" s="25" t="n"/>
      <c r="L464" s="27" t="n"/>
      <c r="M464" s="27" t="n"/>
      <c r="N464" s="27" t="n"/>
      <c r="O464" s="27" t="n"/>
      <c r="P464" s="28" t="n"/>
      <c r="Q464" s="29" t="n"/>
      <c r="R464" s="30">
        <f>IF(B464="","",IF(C464="IWP",COUNTIFS(Restricciones!$D$6:$D$305,B464,Restricciones!$F$6:$F$305,"Abierta")+COUNTIFS(Restricciones!$D$6:$D$305,B464,Restricciones!$F$6:$F$305,"En gestión"),IF(C464="CWA",COUNTIFS(Restricciones!$C$6:$C$305,"CWP-"&amp;MID(B464,5,4)&amp;"-*",Restricciones!$F$6:$F$305,"Abierta")+COUNTIFS(Restricciones!$C$6:$C$305,"CWP-"&amp;MID(B464,5,4)&amp;"-*",Restricciones!$F$6:$F$305,"En gestión"),COUNTIFS(Restricciones!$C$6:$C$305,IF(C464="CWP",B464,H464),Restricciones!$F$6:$F$305,"Abierta")+COUNTIFS(Restricciones!$C$6:$C$305,IF(C464="CWP",B464,H464),Restricciones!$F$6:$F$305,"En gestión"))))</f>
        <v/>
      </c>
      <c r="S464" s="30">
        <f>IF(OR(B464="",M464=""),"",IF(O464&lt;&gt;"",MAX(0,O464-M464),IF(AND($B$3&gt;M464,K464&lt;&gt;"Cerrado"),$B$3-M464,0)))</f>
        <v/>
      </c>
      <c r="T464" s="31">
        <f>IF(B464="","",IF(K464="Cerrado",IF(S464&gt;0,"Cerrado con atraso","Cerrado"),IF(S464&gt;0,"Atrasado",IF(AND(N464="",L464&lt;&gt;"",$B$3&gt;L464),"Inicio atrasado","En plazo"))))</f>
        <v/>
      </c>
      <c r="U464" s="26" t="n"/>
    </row>
    <row r="465">
      <c r="A465" s="24" t="n"/>
      <c r="B465" s="25" t="n"/>
      <c r="C465" s="25" t="n"/>
      <c r="D465" s="25" t="n"/>
      <c r="E465" s="26" t="n"/>
      <c r="F465" s="25" t="n"/>
      <c r="G465" s="25" t="n"/>
      <c r="H465" s="25" t="n"/>
      <c r="I465" s="25" t="n"/>
      <c r="J465" s="25" t="n"/>
      <c r="K465" s="25" t="n"/>
      <c r="L465" s="27" t="n"/>
      <c r="M465" s="27" t="n"/>
      <c r="N465" s="27" t="n"/>
      <c r="O465" s="27" t="n"/>
      <c r="P465" s="28" t="n"/>
      <c r="Q465" s="29" t="n"/>
      <c r="R465" s="30">
        <f>IF(B465="","",IF(C465="IWP",COUNTIFS(Restricciones!$D$6:$D$305,B465,Restricciones!$F$6:$F$305,"Abierta")+COUNTIFS(Restricciones!$D$6:$D$305,B465,Restricciones!$F$6:$F$305,"En gestión"),IF(C465="CWA",COUNTIFS(Restricciones!$C$6:$C$305,"CWP-"&amp;MID(B465,5,4)&amp;"-*",Restricciones!$F$6:$F$305,"Abierta")+COUNTIFS(Restricciones!$C$6:$C$305,"CWP-"&amp;MID(B465,5,4)&amp;"-*",Restricciones!$F$6:$F$305,"En gestión"),COUNTIFS(Restricciones!$C$6:$C$305,IF(C465="CWP",B465,H465),Restricciones!$F$6:$F$305,"Abierta")+COUNTIFS(Restricciones!$C$6:$C$305,IF(C465="CWP",B465,H465),Restricciones!$F$6:$F$305,"En gestión"))))</f>
        <v/>
      </c>
      <c r="S465" s="30">
        <f>IF(OR(B465="",M465=""),"",IF(O465&lt;&gt;"",MAX(0,O465-M465),IF(AND($B$3&gt;M465,K465&lt;&gt;"Cerrado"),$B$3-M465,0)))</f>
        <v/>
      </c>
      <c r="T465" s="31">
        <f>IF(B465="","",IF(K465="Cerrado",IF(S465&gt;0,"Cerrado con atraso","Cerrado"),IF(S465&gt;0,"Atrasado",IF(AND(N465="",L465&lt;&gt;"",$B$3&gt;L465),"Inicio atrasado","En plazo"))))</f>
        <v/>
      </c>
      <c r="U465" s="26" t="n"/>
    </row>
    <row r="466">
      <c r="A466" s="24" t="n"/>
      <c r="B466" s="25" t="n"/>
      <c r="C466" s="25" t="n"/>
      <c r="D466" s="25" t="n"/>
      <c r="E466" s="26" t="n"/>
      <c r="F466" s="25" t="n"/>
      <c r="G466" s="25" t="n"/>
      <c r="H466" s="25" t="n"/>
      <c r="I466" s="25" t="n"/>
      <c r="J466" s="25" t="n"/>
      <c r="K466" s="25" t="n"/>
      <c r="L466" s="27" t="n"/>
      <c r="M466" s="27" t="n"/>
      <c r="N466" s="27" t="n"/>
      <c r="O466" s="27" t="n"/>
      <c r="P466" s="28" t="n"/>
      <c r="Q466" s="29" t="n"/>
      <c r="R466" s="30">
        <f>IF(B466="","",IF(C466="IWP",COUNTIFS(Restricciones!$D$6:$D$305,B466,Restricciones!$F$6:$F$305,"Abierta")+COUNTIFS(Restricciones!$D$6:$D$305,B466,Restricciones!$F$6:$F$305,"En gestión"),IF(C466="CWA",COUNTIFS(Restricciones!$C$6:$C$305,"CWP-"&amp;MID(B466,5,4)&amp;"-*",Restricciones!$F$6:$F$305,"Abierta")+COUNTIFS(Restricciones!$C$6:$C$305,"CWP-"&amp;MID(B466,5,4)&amp;"-*",Restricciones!$F$6:$F$305,"En gestión"),COUNTIFS(Restricciones!$C$6:$C$305,IF(C466="CWP",B466,H466),Restricciones!$F$6:$F$305,"Abierta")+COUNTIFS(Restricciones!$C$6:$C$305,IF(C466="CWP",B466,H466),Restricciones!$F$6:$F$305,"En gestión"))))</f>
        <v/>
      </c>
      <c r="S466" s="30">
        <f>IF(OR(B466="",M466=""),"",IF(O466&lt;&gt;"",MAX(0,O466-M466),IF(AND($B$3&gt;M466,K466&lt;&gt;"Cerrado"),$B$3-M466,0)))</f>
        <v/>
      </c>
      <c r="T466" s="31">
        <f>IF(B466="","",IF(K466="Cerrado",IF(S466&gt;0,"Cerrado con atraso","Cerrado"),IF(S466&gt;0,"Atrasado",IF(AND(N466="",L466&lt;&gt;"",$B$3&gt;L466),"Inicio atrasado","En plazo"))))</f>
        <v/>
      </c>
      <c r="U466" s="26" t="n"/>
    </row>
    <row r="467">
      <c r="A467" s="24" t="n"/>
      <c r="B467" s="25" t="n"/>
      <c r="C467" s="25" t="n"/>
      <c r="D467" s="25" t="n"/>
      <c r="E467" s="26" t="n"/>
      <c r="F467" s="25" t="n"/>
      <c r="G467" s="25" t="n"/>
      <c r="H467" s="25" t="n"/>
      <c r="I467" s="25" t="n"/>
      <c r="J467" s="25" t="n"/>
      <c r="K467" s="25" t="n"/>
      <c r="L467" s="27" t="n"/>
      <c r="M467" s="27" t="n"/>
      <c r="N467" s="27" t="n"/>
      <c r="O467" s="27" t="n"/>
      <c r="P467" s="28" t="n"/>
      <c r="Q467" s="29" t="n"/>
      <c r="R467" s="30">
        <f>IF(B467="","",IF(C467="IWP",COUNTIFS(Restricciones!$D$6:$D$305,B467,Restricciones!$F$6:$F$305,"Abierta")+COUNTIFS(Restricciones!$D$6:$D$305,B467,Restricciones!$F$6:$F$305,"En gestión"),IF(C467="CWA",COUNTIFS(Restricciones!$C$6:$C$305,"CWP-"&amp;MID(B467,5,4)&amp;"-*",Restricciones!$F$6:$F$305,"Abierta")+COUNTIFS(Restricciones!$C$6:$C$305,"CWP-"&amp;MID(B467,5,4)&amp;"-*",Restricciones!$F$6:$F$305,"En gestión"),COUNTIFS(Restricciones!$C$6:$C$305,IF(C467="CWP",B467,H467),Restricciones!$F$6:$F$305,"Abierta")+COUNTIFS(Restricciones!$C$6:$C$305,IF(C467="CWP",B467,H467),Restricciones!$F$6:$F$305,"En gestión"))))</f>
        <v/>
      </c>
      <c r="S467" s="30">
        <f>IF(OR(B467="",M467=""),"",IF(O467&lt;&gt;"",MAX(0,O467-M467),IF(AND($B$3&gt;M467,K467&lt;&gt;"Cerrado"),$B$3-M467,0)))</f>
        <v/>
      </c>
      <c r="T467" s="31">
        <f>IF(B467="","",IF(K467="Cerrado",IF(S467&gt;0,"Cerrado con atraso","Cerrado"),IF(S467&gt;0,"Atrasado",IF(AND(N467="",L467&lt;&gt;"",$B$3&gt;L467),"Inicio atrasado","En plazo"))))</f>
        <v/>
      </c>
      <c r="U467" s="26" t="n"/>
    </row>
    <row r="468">
      <c r="A468" s="24" t="n"/>
      <c r="B468" s="25" t="n"/>
      <c r="C468" s="25" t="n"/>
      <c r="D468" s="25" t="n"/>
      <c r="E468" s="26" t="n"/>
      <c r="F468" s="25" t="n"/>
      <c r="G468" s="25" t="n"/>
      <c r="H468" s="25" t="n"/>
      <c r="I468" s="25" t="n"/>
      <c r="J468" s="25" t="n"/>
      <c r="K468" s="25" t="n"/>
      <c r="L468" s="27" t="n"/>
      <c r="M468" s="27" t="n"/>
      <c r="N468" s="27" t="n"/>
      <c r="O468" s="27" t="n"/>
      <c r="P468" s="28" t="n"/>
      <c r="Q468" s="29" t="n"/>
      <c r="R468" s="30">
        <f>IF(B468="","",IF(C468="IWP",COUNTIFS(Restricciones!$D$6:$D$305,B468,Restricciones!$F$6:$F$305,"Abierta")+COUNTIFS(Restricciones!$D$6:$D$305,B468,Restricciones!$F$6:$F$305,"En gestión"),IF(C468="CWA",COUNTIFS(Restricciones!$C$6:$C$305,"CWP-"&amp;MID(B468,5,4)&amp;"-*",Restricciones!$F$6:$F$305,"Abierta")+COUNTIFS(Restricciones!$C$6:$C$305,"CWP-"&amp;MID(B468,5,4)&amp;"-*",Restricciones!$F$6:$F$305,"En gestión"),COUNTIFS(Restricciones!$C$6:$C$305,IF(C468="CWP",B468,H468),Restricciones!$F$6:$F$305,"Abierta")+COUNTIFS(Restricciones!$C$6:$C$305,IF(C468="CWP",B468,H468),Restricciones!$F$6:$F$305,"En gestión"))))</f>
        <v/>
      </c>
      <c r="S468" s="30">
        <f>IF(OR(B468="",M468=""),"",IF(O468&lt;&gt;"",MAX(0,O468-M468),IF(AND($B$3&gt;M468,K468&lt;&gt;"Cerrado"),$B$3-M468,0)))</f>
        <v/>
      </c>
      <c r="T468" s="31">
        <f>IF(B468="","",IF(K468="Cerrado",IF(S468&gt;0,"Cerrado con atraso","Cerrado"),IF(S468&gt;0,"Atrasado",IF(AND(N468="",L468&lt;&gt;"",$B$3&gt;L468),"Inicio atrasado","En plazo"))))</f>
        <v/>
      </c>
      <c r="U468" s="26" t="n"/>
    </row>
    <row r="469">
      <c r="A469" s="24" t="n"/>
      <c r="B469" s="25" t="n"/>
      <c r="C469" s="25" t="n"/>
      <c r="D469" s="25" t="n"/>
      <c r="E469" s="26" t="n"/>
      <c r="F469" s="25" t="n"/>
      <c r="G469" s="25" t="n"/>
      <c r="H469" s="25" t="n"/>
      <c r="I469" s="25" t="n"/>
      <c r="J469" s="25" t="n"/>
      <c r="K469" s="25" t="n"/>
      <c r="L469" s="27" t="n"/>
      <c r="M469" s="27" t="n"/>
      <c r="N469" s="27" t="n"/>
      <c r="O469" s="27" t="n"/>
      <c r="P469" s="28" t="n"/>
      <c r="Q469" s="29" t="n"/>
      <c r="R469" s="30">
        <f>IF(B469="","",IF(C469="IWP",COUNTIFS(Restricciones!$D$6:$D$305,B469,Restricciones!$F$6:$F$305,"Abierta")+COUNTIFS(Restricciones!$D$6:$D$305,B469,Restricciones!$F$6:$F$305,"En gestión"),IF(C469="CWA",COUNTIFS(Restricciones!$C$6:$C$305,"CWP-"&amp;MID(B469,5,4)&amp;"-*",Restricciones!$F$6:$F$305,"Abierta")+COUNTIFS(Restricciones!$C$6:$C$305,"CWP-"&amp;MID(B469,5,4)&amp;"-*",Restricciones!$F$6:$F$305,"En gestión"),COUNTIFS(Restricciones!$C$6:$C$305,IF(C469="CWP",B469,H469),Restricciones!$F$6:$F$305,"Abierta")+COUNTIFS(Restricciones!$C$6:$C$305,IF(C469="CWP",B469,H469),Restricciones!$F$6:$F$305,"En gestión"))))</f>
        <v/>
      </c>
      <c r="S469" s="30">
        <f>IF(OR(B469="",M469=""),"",IF(O469&lt;&gt;"",MAX(0,O469-M469),IF(AND($B$3&gt;M469,K469&lt;&gt;"Cerrado"),$B$3-M469,0)))</f>
        <v/>
      </c>
      <c r="T469" s="31">
        <f>IF(B469="","",IF(K469="Cerrado",IF(S469&gt;0,"Cerrado con atraso","Cerrado"),IF(S469&gt;0,"Atrasado",IF(AND(N469="",L469&lt;&gt;"",$B$3&gt;L469),"Inicio atrasado","En plazo"))))</f>
        <v/>
      </c>
      <c r="U469" s="26" t="n"/>
    </row>
    <row r="470">
      <c r="A470" s="24" t="n"/>
      <c r="B470" s="25" t="n"/>
      <c r="C470" s="25" t="n"/>
      <c r="D470" s="25" t="n"/>
      <c r="E470" s="26" t="n"/>
      <c r="F470" s="25" t="n"/>
      <c r="G470" s="25" t="n"/>
      <c r="H470" s="25" t="n"/>
      <c r="I470" s="25" t="n"/>
      <c r="J470" s="25" t="n"/>
      <c r="K470" s="25" t="n"/>
      <c r="L470" s="27" t="n"/>
      <c r="M470" s="27" t="n"/>
      <c r="N470" s="27" t="n"/>
      <c r="O470" s="27" t="n"/>
      <c r="P470" s="28" t="n"/>
      <c r="Q470" s="29" t="n"/>
      <c r="R470" s="30">
        <f>IF(B470="","",IF(C470="IWP",COUNTIFS(Restricciones!$D$6:$D$305,B470,Restricciones!$F$6:$F$305,"Abierta")+COUNTIFS(Restricciones!$D$6:$D$305,B470,Restricciones!$F$6:$F$305,"En gestión"),IF(C470="CWA",COUNTIFS(Restricciones!$C$6:$C$305,"CWP-"&amp;MID(B470,5,4)&amp;"-*",Restricciones!$F$6:$F$305,"Abierta")+COUNTIFS(Restricciones!$C$6:$C$305,"CWP-"&amp;MID(B470,5,4)&amp;"-*",Restricciones!$F$6:$F$305,"En gestión"),COUNTIFS(Restricciones!$C$6:$C$305,IF(C470="CWP",B470,H470),Restricciones!$F$6:$F$305,"Abierta")+COUNTIFS(Restricciones!$C$6:$C$305,IF(C470="CWP",B470,H470),Restricciones!$F$6:$F$305,"En gestión"))))</f>
        <v/>
      </c>
      <c r="S470" s="30">
        <f>IF(OR(B470="",M470=""),"",IF(O470&lt;&gt;"",MAX(0,O470-M470),IF(AND($B$3&gt;M470,K470&lt;&gt;"Cerrado"),$B$3-M470,0)))</f>
        <v/>
      </c>
      <c r="T470" s="31">
        <f>IF(B470="","",IF(K470="Cerrado",IF(S470&gt;0,"Cerrado con atraso","Cerrado"),IF(S470&gt;0,"Atrasado",IF(AND(N470="",L470&lt;&gt;"",$B$3&gt;L470),"Inicio atrasado","En plazo"))))</f>
        <v/>
      </c>
      <c r="U470" s="26" t="n"/>
    </row>
    <row r="471">
      <c r="A471" s="24" t="n"/>
      <c r="B471" s="25" t="n"/>
      <c r="C471" s="25" t="n"/>
      <c r="D471" s="25" t="n"/>
      <c r="E471" s="26" t="n"/>
      <c r="F471" s="25" t="n"/>
      <c r="G471" s="25" t="n"/>
      <c r="H471" s="25" t="n"/>
      <c r="I471" s="25" t="n"/>
      <c r="J471" s="25" t="n"/>
      <c r="K471" s="25" t="n"/>
      <c r="L471" s="27" t="n"/>
      <c r="M471" s="27" t="n"/>
      <c r="N471" s="27" t="n"/>
      <c r="O471" s="27" t="n"/>
      <c r="P471" s="28" t="n"/>
      <c r="Q471" s="29" t="n"/>
      <c r="R471" s="30">
        <f>IF(B471="","",IF(C471="IWP",COUNTIFS(Restricciones!$D$6:$D$305,B471,Restricciones!$F$6:$F$305,"Abierta")+COUNTIFS(Restricciones!$D$6:$D$305,B471,Restricciones!$F$6:$F$305,"En gestión"),IF(C471="CWA",COUNTIFS(Restricciones!$C$6:$C$305,"CWP-"&amp;MID(B471,5,4)&amp;"-*",Restricciones!$F$6:$F$305,"Abierta")+COUNTIFS(Restricciones!$C$6:$C$305,"CWP-"&amp;MID(B471,5,4)&amp;"-*",Restricciones!$F$6:$F$305,"En gestión"),COUNTIFS(Restricciones!$C$6:$C$305,IF(C471="CWP",B471,H471),Restricciones!$F$6:$F$305,"Abierta")+COUNTIFS(Restricciones!$C$6:$C$305,IF(C471="CWP",B471,H471),Restricciones!$F$6:$F$305,"En gestión"))))</f>
        <v/>
      </c>
      <c r="S471" s="30">
        <f>IF(OR(B471="",M471=""),"",IF(O471&lt;&gt;"",MAX(0,O471-M471),IF(AND($B$3&gt;M471,K471&lt;&gt;"Cerrado"),$B$3-M471,0)))</f>
        <v/>
      </c>
      <c r="T471" s="31">
        <f>IF(B471="","",IF(K471="Cerrado",IF(S471&gt;0,"Cerrado con atraso","Cerrado"),IF(S471&gt;0,"Atrasado",IF(AND(N471="",L471&lt;&gt;"",$B$3&gt;L471),"Inicio atrasado","En plazo"))))</f>
        <v/>
      </c>
      <c r="U471" s="26" t="n"/>
    </row>
    <row r="472">
      <c r="A472" s="24" t="n"/>
      <c r="B472" s="25" t="n"/>
      <c r="C472" s="25" t="n"/>
      <c r="D472" s="25" t="n"/>
      <c r="E472" s="26" t="n"/>
      <c r="F472" s="25" t="n"/>
      <c r="G472" s="25" t="n"/>
      <c r="H472" s="25" t="n"/>
      <c r="I472" s="25" t="n"/>
      <c r="J472" s="25" t="n"/>
      <c r="K472" s="25" t="n"/>
      <c r="L472" s="27" t="n"/>
      <c r="M472" s="27" t="n"/>
      <c r="N472" s="27" t="n"/>
      <c r="O472" s="27" t="n"/>
      <c r="P472" s="28" t="n"/>
      <c r="Q472" s="29" t="n"/>
      <c r="R472" s="30">
        <f>IF(B472="","",IF(C472="IWP",COUNTIFS(Restricciones!$D$6:$D$305,B472,Restricciones!$F$6:$F$305,"Abierta")+COUNTIFS(Restricciones!$D$6:$D$305,B472,Restricciones!$F$6:$F$305,"En gestión"),IF(C472="CWA",COUNTIFS(Restricciones!$C$6:$C$305,"CWP-"&amp;MID(B472,5,4)&amp;"-*",Restricciones!$F$6:$F$305,"Abierta")+COUNTIFS(Restricciones!$C$6:$C$305,"CWP-"&amp;MID(B472,5,4)&amp;"-*",Restricciones!$F$6:$F$305,"En gestión"),COUNTIFS(Restricciones!$C$6:$C$305,IF(C472="CWP",B472,H472),Restricciones!$F$6:$F$305,"Abierta")+COUNTIFS(Restricciones!$C$6:$C$305,IF(C472="CWP",B472,H472),Restricciones!$F$6:$F$305,"En gestión"))))</f>
        <v/>
      </c>
      <c r="S472" s="30">
        <f>IF(OR(B472="",M472=""),"",IF(O472&lt;&gt;"",MAX(0,O472-M472),IF(AND($B$3&gt;M472,K472&lt;&gt;"Cerrado"),$B$3-M472,0)))</f>
        <v/>
      </c>
      <c r="T472" s="31">
        <f>IF(B472="","",IF(K472="Cerrado",IF(S472&gt;0,"Cerrado con atraso","Cerrado"),IF(S472&gt;0,"Atrasado",IF(AND(N472="",L472&lt;&gt;"",$B$3&gt;L472),"Inicio atrasado","En plazo"))))</f>
        <v/>
      </c>
      <c r="U472" s="26" t="n"/>
    </row>
    <row r="473">
      <c r="A473" s="24" t="n"/>
      <c r="B473" s="25" t="n"/>
      <c r="C473" s="25" t="n"/>
      <c r="D473" s="25" t="n"/>
      <c r="E473" s="26" t="n"/>
      <c r="F473" s="25" t="n"/>
      <c r="G473" s="25" t="n"/>
      <c r="H473" s="25" t="n"/>
      <c r="I473" s="25" t="n"/>
      <c r="J473" s="25" t="n"/>
      <c r="K473" s="25" t="n"/>
      <c r="L473" s="27" t="n"/>
      <c r="M473" s="27" t="n"/>
      <c r="N473" s="27" t="n"/>
      <c r="O473" s="27" t="n"/>
      <c r="P473" s="28" t="n"/>
      <c r="Q473" s="29" t="n"/>
      <c r="R473" s="30">
        <f>IF(B473="","",IF(C473="IWP",COUNTIFS(Restricciones!$D$6:$D$305,B473,Restricciones!$F$6:$F$305,"Abierta")+COUNTIFS(Restricciones!$D$6:$D$305,B473,Restricciones!$F$6:$F$305,"En gestión"),IF(C473="CWA",COUNTIFS(Restricciones!$C$6:$C$305,"CWP-"&amp;MID(B473,5,4)&amp;"-*",Restricciones!$F$6:$F$305,"Abierta")+COUNTIFS(Restricciones!$C$6:$C$305,"CWP-"&amp;MID(B473,5,4)&amp;"-*",Restricciones!$F$6:$F$305,"En gestión"),COUNTIFS(Restricciones!$C$6:$C$305,IF(C473="CWP",B473,H473),Restricciones!$F$6:$F$305,"Abierta")+COUNTIFS(Restricciones!$C$6:$C$305,IF(C473="CWP",B473,H473),Restricciones!$F$6:$F$305,"En gestión"))))</f>
        <v/>
      </c>
      <c r="S473" s="30">
        <f>IF(OR(B473="",M473=""),"",IF(O473&lt;&gt;"",MAX(0,O473-M473),IF(AND($B$3&gt;M473,K473&lt;&gt;"Cerrado"),$B$3-M473,0)))</f>
        <v/>
      </c>
      <c r="T473" s="31">
        <f>IF(B473="","",IF(K473="Cerrado",IF(S473&gt;0,"Cerrado con atraso","Cerrado"),IF(S473&gt;0,"Atrasado",IF(AND(N473="",L473&lt;&gt;"",$B$3&gt;L473),"Inicio atrasado","En plazo"))))</f>
        <v/>
      </c>
      <c r="U473" s="26" t="n"/>
    </row>
    <row r="474">
      <c r="A474" s="24" t="n"/>
      <c r="B474" s="25" t="n"/>
      <c r="C474" s="25" t="n"/>
      <c r="D474" s="25" t="n"/>
      <c r="E474" s="26" t="n"/>
      <c r="F474" s="25" t="n"/>
      <c r="G474" s="25" t="n"/>
      <c r="H474" s="25" t="n"/>
      <c r="I474" s="25" t="n"/>
      <c r="J474" s="25" t="n"/>
      <c r="K474" s="25" t="n"/>
      <c r="L474" s="27" t="n"/>
      <c r="M474" s="27" t="n"/>
      <c r="N474" s="27" t="n"/>
      <c r="O474" s="27" t="n"/>
      <c r="P474" s="28" t="n"/>
      <c r="Q474" s="29" t="n"/>
      <c r="R474" s="30">
        <f>IF(B474="","",IF(C474="IWP",COUNTIFS(Restricciones!$D$6:$D$305,B474,Restricciones!$F$6:$F$305,"Abierta")+COUNTIFS(Restricciones!$D$6:$D$305,B474,Restricciones!$F$6:$F$305,"En gestión"),IF(C474="CWA",COUNTIFS(Restricciones!$C$6:$C$305,"CWP-"&amp;MID(B474,5,4)&amp;"-*",Restricciones!$F$6:$F$305,"Abierta")+COUNTIFS(Restricciones!$C$6:$C$305,"CWP-"&amp;MID(B474,5,4)&amp;"-*",Restricciones!$F$6:$F$305,"En gestión"),COUNTIFS(Restricciones!$C$6:$C$305,IF(C474="CWP",B474,H474),Restricciones!$F$6:$F$305,"Abierta")+COUNTIFS(Restricciones!$C$6:$C$305,IF(C474="CWP",B474,H474),Restricciones!$F$6:$F$305,"En gestión"))))</f>
        <v/>
      </c>
      <c r="S474" s="30">
        <f>IF(OR(B474="",M474=""),"",IF(O474&lt;&gt;"",MAX(0,O474-M474),IF(AND($B$3&gt;M474,K474&lt;&gt;"Cerrado"),$B$3-M474,0)))</f>
        <v/>
      </c>
      <c r="T474" s="31">
        <f>IF(B474="","",IF(K474="Cerrado",IF(S474&gt;0,"Cerrado con atraso","Cerrado"),IF(S474&gt;0,"Atrasado",IF(AND(N474="",L474&lt;&gt;"",$B$3&gt;L474),"Inicio atrasado","En plazo"))))</f>
        <v/>
      </c>
      <c r="U474" s="26" t="n"/>
    </row>
    <row r="475">
      <c r="A475" s="24" t="n"/>
      <c r="B475" s="25" t="n"/>
      <c r="C475" s="25" t="n"/>
      <c r="D475" s="25" t="n"/>
      <c r="E475" s="26" t="n"/>
      <c r="F475" s="25" t="n"/>
      <c r="G475" s="25" t="n"/>
      <c r="H475" s="25" t="n"/>
      <c r="I475" s="25" t="n"/>
      <c r="J475" s="25" t="n"/>
      <c r="K475" s="25" t="n"/>
      <c r="L475" s="27" t="n"/>
      <c r="M475" s="27" t="n"/>
      <c r="N475" s="27" t="n"/>
      <c r="O475" s="27" t="n"/>
      <c r="P475" s="28" t="n"/>
      <c r="Q475" s="29" t="n"/>
      <c r="R475" s="30">
        <f>IF(B475="","",IF(C475="IWP",COUNTIFS(Restricciones!$D$6:$D$305,B475,Restricciones!$F$6:$F$305,"Abierta")+COUNTIFS(Restricciones!$D$6:$D$305,B475,Restricciones!$F$6:$F$305,"En gestión"),IF(C475="CWA",COUNTIFS(Restricciones!$C$6:$C$305,"CWP-"&amp;MID(B475,5,4)&amp;"-*",Restricciones!$F$6:$F$305,"Abierta")+COUNTIFS(Restricciones!$C$6:$C$305,"CWP-"&amp;MID(B475,5,4)&amp;"-*",Restricciones!$F$6:$F$305,"En gestión"),COUNTIFS(Restricciones!$C$6:$C$305,IF(C475="CWP",B475,H475),Restricciones!$F$6:$F$305,"Abierta")+COUNTIFS(Restricciones!$C$6:$C$305,IF(C475="CWP",B475,H475),Restricciones!$F$6:$F$305,"En gestión"))))</f>
        <v/>
      </c>
      <c r="S475" s="30">
        <f>IF(OR(B475="",M475=""),"",IF(O475&lt;&gt;"",MAX(0,O475-M475),IF(AND($B$3&gt;M475,K475&lt;&gt;"Cerrado"),$B$3-M475,0)))</f>
        <v/>
      </c>
      <c r="T475" s="31">
        <f>IF(B475="","",IF(K475="Cerrado",IF(S475&gt;0,"Cerrado con atraso","Cerrado"),IF(S475&gt;0,"Atrasado",IF(AND(N475="",L475&lt;&gt;"",$B$3&gt;L475),"Inicio atrasado","En plazo"))))</f>
        <v/>
      </c>
      <c r="U475" s="26" t="n"/>
    </row>
    <row r="476">
      <c r="A476" s="24" t="n"/>
      <c r="B476" s="25" t="n"/>
      <c r="C476" s="25" t="n"/>
      <c r="D476" s="25" t="n"/>
      <c r="E476" s="26" t="n"/>
      <c r="F476" s="25" t="n"/>
      <c r="G476" s="25" t="n"/>
      <c r="H476" s="25" t="n"/>
      <c r="I476" s="25" t="n"/>
      <c r="J476" s="25" t="n"/>
      <c r="K476" s="25" t="n"/>
      <c r="L476" s="27" t="n"/>
      <c r="M476" s="27" t="n"/>
      <c r="N476" s="27" t="n"/>
      <c r="O476" s="27" t="n"/>
      <c r="P476" s="28" t="n"/>
      <c r="Q476" s="29" t="n"/>
      <c r="R476" s="30">
        <f>IF(B476="","",IF(C476="IWP",COUNTIFS(Restricciones!$D$6:$D$305,B476,Restricciones!$F$6:$F$305,"Abierta")+COUNTIFS(Restricciones!$D$6:$D$305,B476,Restricciones!$F$6:$F$305,"En gestión"),IF(C476="CWA",COUNTIFS(Restricciones!$C$6:$C$305,"CWP-"&amp;MID(B476,5,4)&amp;"-*",Restricciones!$F$6:$F$305,"Abierta")+COUNTIFS(Restricciones!$C$6:$C$305,"CWP-"&amp;MID(B476,5,4)&amp;"-*",Restricciones!$F$6:$F$305,"En gestión"),COUNTIFS(Restricciones!$C$6:$C$305,IF(C476="CWP",B476,H476),Restricciones!$F$6:$F$305,"Abierta")+COUNTIFS(Restricciones!$C$6:$C$305,IF(C476="CWP",B476,H476),Restricciones!$F$6:$F$305,"En gestión"))))</f>
        <v/>
      </c>
      <c r="S476" s="30">
        <f>IF(OR(B476="",M476=""),"",IF(O476&lt;&gt;"",MAX(0,O476-M476),IF(AND($B$3&gt;M476,K476&lt;&gt;"Cerrado"),$B$3-M476,0)))</f>
        <v/>
      </c>
      <c r="T476" s="31">
        <f>IF(B476="","",IF(K476="Cerrado",IF(S476&gt;0,"Cerrado con atraso","Cerrado"),IF(S476&gt;0,"Atrasado",IF(AND(N476="",L476&lt;&gt;"",$B$3&gt;L476),"Inicio atrasado","En plazo"))))</f>
        <v/>
      </c>
      <c r="U476" s="26" t="n"/>
    </row>
    <row r="477">
      <c r="A477" s="24" t="n"/>
      <c r="B477" s="25" t="n"/>
      <c r="C477" s="25" t="n"/>
      <c r="D477" s="25" t="n"/>
      <c r="E477" s="26" t="n"/>
      <c r="F477" s="25" t="n"/>
      <c r="G477" s="25" t="n"/>
      <c r="H477" s="25" t="n"/>
      <c r="I477" s="25" t="n"/>
      <c r="J477" s="25" t="n"/>
      <c r="K477" s="25" t="n"/>
      <c r="L477" s="27" t="n"/>
      <c r="M477" s="27" t="n"/>
      <c r="N477" s="27" t="n"/>
      <c r="O477" s="27" t="n"/>
      <c r="P477" s="28" t="n"/>
      <c r="Q477" s="29" t="n"/>
      <c r="R477" s="30">
        <f>IF(B477="","",IF(C477="IWP",COUNTIFS(Restricciones!$D$6:$D$305,B477,Restricciones!$F$6:$F$305,"Abierta")+COUNTIFS(Restricciones!$D$6:$D$305,B477,Restricciones!$F$6:$F$305,"En gestión"),IF(C477="CWA",COUNTIFS(Restricciones!$C$6:$C$305,"CWP-"&amp;MID(B477,5,4)&amp;"-*",Restricciones!$F$6:$F$305,"Abierta")+COUNTIFS(Restricciones!$C$6:$C$305,"CWP-"&amp;MID(B477,5,4)&amp;"-*",Restricciones!$F$6:$F$305,"En gestión"),COUNTIFS(Restricciones!$C$6:$C$305,IF(C477="CWP",B477,H477),Restricciones!$F$6:$F$305,"Abierta")+COUNTIFS(Restricciones!$C$6:$C$305,IF(C477="CWP",B477,H477),Restricciones!$F$6:$F$305,"En gestión"))))</f>
        <v/>
      </c>
      <c r="S477" s="30">
        <f>IF(OR(B477="",M477=""),"",IF(O477&lt;&gt;"",MAX(0,O477-M477),IF(AND($B$3&gt;M477,K477&lt;&gt;"Cerrado"),$B$3-M477,0)))</f>
        <v/>
      </c>
      <c r="T477" s="31">
        <f>IF(B477="","",IF(K477="Cerrado",IF(S477&gt;0,"Cerrado con atraso","Cerrado"),IF(S477&gt;0,"Atrasado",IF(AND(N477="",L477&lt;&gt;"",$B$3&gt;L477),"Inicio atrasado","En plazo"))))</f>
        <v/>
      </c>
      <c r="U477" s="26" t="n"/>
    </row>
    <row r="478">
      <c r="A478" s="24" t="n"/>
      <c r="B478" s="25" t="n"/>
      <c r="C478" s="25" t="n"/>
      <c r="D478" s="25" t="n"/>
      <c r="E478" s="26" t="n"/>
      <c r="F478" s="25" t="n"/>
      <c r="G478" s="25" t="n"/>
      <c r="H478" s="25" t="n"/>
      <c r="I478" s="25" t="n"/>
      <c r="J478" s="25" t="n"/>
      <c r="K478" s="25" t="n"/>
      <c r="L478" s="27" t="n"/>
      <c r="M478" s="27" t="n"/>
      <c r="N478" s="27" t="n"/>
      <c r="O478" s="27" t="n"/>
      <c r="P478" s="28" t="n"/>
      <c r="Q478" s="29" t="n"/>
      <c r="R478" s="30">
        <f>IF(B478="","",IF(C478="IWP",COUNTIFS(Restricciones!$D$6:$D$305,B478,Restricciones!$F$6:$F$305,"Abierta")+COUNTIFS(Restricciones!$D$6:$D$305,B478,Restricciones!$F$6:$F$305,"En gestión"),IF(C478="CWA",COUNTIFS(Restricciones!$C$6:$C$305,"CWP-"&amp;MID(B478,5,4)&amp;"-*",Restricciones!$F$6:$F$305,"Abierta")+COUNTIFS(Restricciones!$C$6:$C$305,"CWP-"&amp;MID(B478,5,4)&amp;"-*",Restricciones!$F$6:$F$305,"En gestión"),COUNTIFS(Restricciones!$C$6:$C$305,IF(C478="CWP",B478,H478),Restricciones!$F$6:$F$305,"Abierta")+COUNTIFS(Restricciones!$C$6:$C$305,IF(C478="CWP",B478,H478),Restricciones!$F$6:$F$305,"En gestión"))))</f>
        <v/>
      </c>
      <c r="S478" s="30">
        <f>IF(OR(B478="",M478=""),"",IF(O478&lt;&gt;"",MAX(0,O478-M478),IF(AND($B$3&gt;M478,K478&lt;&gt;"Cerrado"),$B$3-M478,0)))</f>
        <v/>
      </c>
      <c r="T478" s="31">
        <f>IF(B478="","",IF(K478="Cerrado",IF(S478&gt;0,"Cerrado con atraso","Cerrado"),IF(S478&gt;0,"Atrasado",IF(AND(N478="",L478&lt;&gt;"",$B$3&gt;L478),"Inicio atrasado","En plazo"))))</f>
        <v/>
      </c>
      <c r="U478" s="26" t="n"/>
    </row>
    <row r="479">
      <c r="A479" s="24" t="n"/>
      <c r="B479" s="25" t="n"/>
      <c r="C479" s="25" t="n"/>
      <c r="D479" s="25" t="n"/>
      <c r="E479" s="26" t="n"/>
      <c r="F479" s="25" t="n"/>
      <c r="G479" s="25" t="n"/>
      <c r="H479" s="25" t="n"/>
      <c r="I479" s="25" t="n"/>
      <c r="J479" s="25" t="n"/>
      <c r="K479" s="25" t="n"/>
      <c r="L479" s="27" t="n"/>
      <c r="M479" s="27" t="n"/>
      <c r="N479" s="27" t="n"/>
      <c r="O479" s="27" t="n"/>
      <c r="P479" s="28" t="n"/>
      <c r="Q479" s="29" t="n"/>
      <c r="R479" s="30">
        <f>IF(B479="","",IF(C479="IWP",COUNTIFS(Restricciones!$D$6:$D$305,B479,Restricciones!$F$6:$F$305,"Abierta")+COUNTIFS(Restricciones!$D$6:$D$305,B479,Restricciones!$F$6:$F$305,"En gestión"),IF(C479="CWA",COUNTIFS(Restricciones!$C$6:$C$305,"CWP-"&amp;MID(B479,5,4)&amp;"-*",Restricciones!$F$6:$F$305,"Abierta")+COUNTIFS(Restricciones!$C$6:$C$305,"CWP-"&amp;MID(B479,5,4)&amp;"-*",Restricciones!$F$6:$F$305,"En gestión"),COUNTIFS(Restricciones!$C$6:$C$305,IF(C479="CWP",B479,H479),Restricciones!$F$6:$F$305,"Abierta")+COUNTIFS(Restricciones!$C$6:$C$305,IF(C479="CWP",B479,H479),Restricciones!$F$6:$F$305,"En gestión"))))</f>
        <v/>
      </c>
      <c r="S479" s="30">
        <f>IF(OR(B479="",M479=""),"",IF(O479&lt;&gt;"",MAX(0,O479-M479),IF(AND($B$3&gt;M479,K479&lt;&gt;"Cerrado"),$B$3-M479,0)))</f>
        <v/>
      </c>
      <c r="T479" s="31">
        <f>IF(B479="","",IF(K479="Cerrado",IF(S479&gt;0,"Cerrado con atraso","Cerrado"),IF(S479&gt;0,"Atrasado",IF(AND(N479="",L479&lt;&gt;"",$B$3&gt;L479),"Inicio atrasado","En plazo"))))</f>
        <v/>
      </c>
      <c r="U479" s="26" t="n"/>
    </row>
    <row r="480">
      <c r="A480" s="24" t="n"/>
      <c r="B480" s="25" t="n"/>
      <c r="C480" s="25" t="n"/>
      <c r="D480" s="25" t="n"/>
      <c r="E480" s="26" t="n"/>
      <c r="F480" s="25" t="n"/>
      <c r="G480" s="25" t="n"/>
      <c r="H480" s="25" t="n"/>
      <c r="I480" s="25" t="n"/>
      <c r="J480" s="25" t="n"/>
      <c r="K480" s="25" t="n"/>
      <c r="L480" s="27" t="n"/>
      <c r="M480" s="27" t="n"/>
      <c r="N480" s="27" t="n"/>
      <c r="O480" s="27" t="n"/>
      <c r="P480" s="28" t="n"/>
      <c r="Q480" s="29" t="n"/>
      <c r="R480" s="30">
        <f>IF(B480="","",IF(C480="IWP",COUNTIFS(Restricciones!$D$6:$D$305,B480,Restricciones!$F$6:$F$305,"Abierta")+COUNTIFS(Restricciones!$D$6:$D$305,B480,Restricciones!$F$6:$F$305,"En gestión"),IF(C480="CWA",COUNTIFS(Restricciones!$C$6:$C$305,"CWP-"&amp;MID(B480,5,4)&amp;"-*",Restricciones!$F$6:$F$305,"Abierta")+COUNTIFS(Restricciones!$C$6:$C$305,"CWP-"&amp;MID(B480,5,4)&amp;"-*",Restricciones!$F$6:$F$305,"En gestión"),COUNTIFS(Restricciones!$C$6:$C$305,IF(C480="CWP",B480,H480),Restricciones!$F$6:$F$305,"Abierta")+COUNTIFS(Restricciones!$C$6:$C$305,IF(C480="CWP",B480,H480),Restricciones!$F$6:$F$305,"En gestión"))))</f>
        <v/>
      </c>
      <c r="S480" s="30">
        <f>IF(OR(B480="",M480=""),"",IF(O480&lt;&gt;"",MAX(0,O480-M480),IF(AND($B$3&gt;M480,K480&lt;&gt;"Cerrado"),$B$3-M480,0)))</f>
        <v/>
      </c>
      <c r="T480" s="31">
        <f>IF(B480="","",IF(K480="Cerrado",IF(S480&gt;0,"Cerrado con atraso","Cerrado"),IF(S480&gt;0,"Atrasado",IF(AND(N480="",L480&lt;&gt;"",$B$3&gt;L480),"Inicio atrasado","En plazo"))))</f>
        <v/>
      </c>
      <c r="U480" s="26" t="n"/>
    </row>
    <row r="481">
      <c r="A481" s="24" t="n"/>
      <c r="B481" s="25" t="n"/>
      <c r="C481" s="25" t="n"/>
      <c r="D481" s="25" t="n"/>
      <c r="E481" s="26" t="n"/>
      <c r="F481" s="25" t="n"/>
      <c r="G481" s="25" t="n"/>
      <c r="H481" s="25" t="n"/>
      <c r="I481" s="25" t="n"/>
      <c r="J481" s="25" t="n"/>
      <c r="K481" s="25" t="n"/>
      <c r="L481" s="27" t="n"/>
      <c r="M481" s="27" t="n"/>
      <c r="N481" s="27" t="n"/>
      <c r="O481" s="27" t="n"/>
      <c r="P481" s="28" t="n"/>
      <c r="Q481" s="29" t="n"/>
      <c r="R481" s="30">
        <f>IF(B481="","",IF(C481="IWP",COUNTIFS(Restricciones!$D$6:$D$305,B481,Restricciones!$F$6:$F$305,"Abierta")+COUNTIFS(Restricciones!$D$6:$D$305,B481,Restricciones!$F$6:$F$305,"En gestión"),IF(C481="CWA",COUNTIFS(Restricciones!$C$6:$C$305,"CWP-"&amp;MID(B481,5,4)&amp;"-*",Restricciones!$F$6:$F$305,"Abierta")+COUNTIFS(Restricciones!$C$6:$C$305,"CWP-"&amp;MID(B481,5,4)&amp;"-*",Restricciones!$F$6:$F$305,"En gestión"),COUNTIFS(Restricciones!$C$6:$C$305,IF(C481="CWP",B481,H481),Restricciones!$F$6:$F$305,"Abierta")+COUNTIFS(Restricciones!$C$6:$C$305,IF(C481="CWP",B481,H481),Restricciones!$F$6:$F$305,"En gestión"))))</f>
        <v/>
      </c>
      <c r="S481" s="30">
        <f>IF(OR(B481="",M481=""),"",IF(O481&lt;&gt;"",MAX(0,O481-M481),IF(AND($B$3&gt;M481,K481&lt;&gt;"Cerrado"),$B$3-M481,0)))</f>
        <v/>
      </c>
      <c r="T481" s="31">
        <f>IF(B481="","",IF(K481="Cerrado",IF(S481&gt;0,"Cerrado con atraso","Cerrado"),IF(S481&gt;0,"Atrasado",IF(AND(N481="",L481&lt;&gt;"",$B$3&gt;L481),"Inicio atrasado","En plazo"))))</f>
        <v/>
      </c>
      <c r="U481" s="26" t="n"/>
    </row>
    <row r="482">
      <c r="A482" s="24" t="n"/>
      <c r="B482" s="25" t="n"/>
      <c r="C482" s="25" t="n"/>
      <c r="D482" s="25" t="n"/>
      <c r="E482" s="26" t="n"/>
      <c r="F482" s="25" t="n"/>
      <c r="G482" s="25" t="n"/>
      <c r="H482" s="25" t="n"/>
      <c r="I482" s="25" t="n"/>
      <c r="J482" s="25" t="n"/>
      <c r="K482" s="25" t="n"/>
      <c r="L482" s="27" t="n"/>
      <c r="M482" s="27" t="n"/>
      <c r="N482" s="27" t="n"/>
      <c r="O482" s="27" t="n"/>
      <c r="P482" s="28" t="n"/>
      <c r="Q482" s="29" t="n"/>
      <c r="R482" s="30">
        <f>IF(B482="","",IF(C482="IWP",COUNTIFS(Restricciones!$D$6:$D$305,B482,Restricciones!$F$6:$F$305,"Abierta")+COUNTIFS(Restricciones!$D$6:$D$305,B482,Restricciones!$F$6:$F$305,"En gestión"),IF(C482="CWA",COUNTIFS(Restricciones!$C$6:$C$305,"CWP-"&amp;MID(B482,5,4)&amp;"-*",Restricciones!$F$6:$F$305,"Abierta")+COUNTIFS(Restricciones!$C$6:$C$305,"CWP-"&amp;MID(B482,5,4)&amp;"-*",Restricciones!$F$6:$F$305,"En gestión"),COUNTIFS(Restricciones!$C$6:$C$305,IF(C482="CWP",B482,H482),Restricciones!$F$6:$F$305,"Abierta")+COUNTIFS(Restricciones!$C$6:$C$305,IF(C482="CWP",B482,H482),Restricciones!$F$6:$F$305,"En gestión"))))</f>
        <v/>
      </c>
      <c r="S482" s="30">
        <f>IF(OR(B482="",M482=""),"",IF(O482&lt;&gt;"",MAX(0,O482-M482),IF(AND($B$3&gt;M482,K482&lt;&gt;"Cerrado"),$B$3-M482,0)))</f>
        <v/>
      </c>
      <c r="T482" s="31">
        <f>IF(B482="","",IF(K482="Cerrado",IF(S482&gt;0,"Cerrado con atraso","Cerrado"),IF(S482&gt;0,"Atrasado",IF(AND(N482="",L482&lt;&gt;"",$B$3&gt;L482),"Inicio atrasado","En plazo"))))</f>
        <v/>
      </c>
      <c r="U482" s="26" t="n"/>
    </row>
    <row r="483">
      <c r="A483" s="24" t="n"/>
      <c r="B483" s="25" t="n"/>
      <c r="C483" s="25" t="n"/>
      <c r="D483" s="25" t="n"/>
      <c r="E483" s="26" t="n"/>
      <c r="F483" s="25" t="n"/>
      <c r="G483" s="25" t="n"/>
      <c r="H483" s="25" t="n"/>
      <c r="I483" s="25" t="n"/>
      <c r="J483" s="25" t="n"/>
      <c r="K483" s="25" t="n"/>
      <c r="L483" s="27" t="n"/>
      <c r="M483" s="27" t="n"/>
      <c r="N483" s="27" t="n"/>
      <c r="O483" s="27" t="n"/>
      <c r="P483" s="28" t="n"/>
      <c r="Q483" s="29" t="n"/>
      <c r="R483" s="30">
        <f>IF(B483="","",IF(C483="IWP",COUNTIFS(Restricciones!$D$6:$D$305,B483,Restricciones!$F$6:$F$305,"Abierta")+COUNTIFS(Restricciones!$D$6:$D$305,B483,Restricciones!$F$6:$F$305,"En gestión"),IF(C483="CWA",COUNTIFS(Restricciones!$C$6:$C$305,"CWP-"&amp;MID(B483,5,4)&amp;"-*",Restricciones!$F$6:$F$305,"Abierta")+COUNTIFS(Restricciones!$C$6:$C$305,"CWP-"&amp;MID(B483,5,4)&amp;"-*",Restricciones!$F$6:$F$305,"En gestión"),COUNTIFS(Restricciones!$C$6:$C$305,IF(C483="CWP",B483,H483),Restricciones!$F$6:$F$305,"Abierta")+COUNTIFS(Restricciones!$C$6:$C$305,IF(C483="CWP",B483,H483),Restricciones!$F$6:$F$305,"En gestión"))))</f>
        <v/>
      </c>
      <c r="S483" s="30">
        <f>IF(OR(B483="",M483=""),"",IF(O483&lt;&gt;"",MAX(0,O483-M483),IF(AND($B$3&gt;M483,K483&lt;&gt;"Cerrado"),$B$3-M483,0)))</f>
        <v/>
      </c>
      <c r="T483" s="31">
        <f>IF(B483="","",IF(K483="Cerrado",IF(S483&gt;0,"Cerrado con atraso","Cerrado"),IF(S483&gt;0,"Atrasado",IF(AND(N483="",L483&lt;&gt;"",$B$3&gt;L483),"Inicio atrasado","En plazo"))))</f>
        <v/>
      </c>
      <c r="U483" s="26" t="n"/>
    </row>
    <row r="484">
      <c r="A484" s="24" t="n"/>
      <c r="B484" s="25" t="n"/>
      <c r="C484" s="25" t="n"/>
      <c r="D484" s="25" t="n"/>
      <c r="E484" s="26" t="n"/>
      <c r="F484" s="25" t="n"/>
      <c r="G484" s="25" t="n"/>
      <c r="H484" s="25" t="n"/>
      <c r="I484" s="25" t="n"/>
      <c r="J484" s="25" t="n"/>
      <c r="K484" s="25" t="n"/>
      <c r="L484" s="27" t="n"/>
      <c r="M484" s="27" t="n"/>
      <c r="N484" s="27" t="n"/>
      <c r="O484" s="27" t="n"/>
      <c r="P484" s="28" t="n"/>
      <c r="Q484" s="29" t="n"/>
      <c r="R484" s="30">
        <f>IF(B484="","",IF(C484="IWP",COUNTIFS(Restricciones!$D$6:$D$305,B484,Restricciones!$F$6:$F$305,"Abierta")+COUNTIFS(Restricciones!$D$6:$D$305,B484,Restricciones!$F$6:$F$305,"En gestión"),IF(C484="CWA",COUNTIFS(Restricciones!$C$6:$C$305,"CWP-"&amp;MID(B484,5,4)&amp;"-*",Restricciones!$F$6:$F$305,"Abierta")+COUNTIFS(Restricciones!$C$6:$C$305,"CWP-"&amp;MID(B484,5,4)&amp;"-*",Restricciones!$F$6:$F$305,"En gestión"),COUNTIFS(Restricciones!$C$6:$C$305,IF(C484="CWP",B484,H484),Restricciones!$F$6:$F$305,"Abierta")+COUNTIFS(Restricciones!$C$6:$C$305,IF(C484="CWP",B484,H484),Restricciones!$F$6:$F$305,"En gestión"))))</f>
        <v/>
      </c>
      <c r="S484" s="30">
        <f>IF(OR(B484="",M484=""),"",IF(O484&lt;&gt;"",MAX(0,O484-M484),IF(AND($B$3&gt;M484,K484&lt;&gt;"Cerrado"),$B$3-M484,0)))</f>
        <v/>
      </c>
      <c r="T484" s="31">
        <f>IF(B484="","",IF(K484="Cerrado",IF(S484&gt;0,"Cerrado con atraso","Cerrado"),IF(S484&gt;0,"Atrasado",IF(AND(N484="",L484&lt;&gt;"",$B$3&gt;L484),"Inicio atrasado","En plazo"))))</f>
        <v/>
      </c>
      <c r="U484" s="26" t="n"/>
    </row>
    <row r="485">
      <c r="A485" s="24" t="n"/>
      <c r="B485" s="25" t="n"/>
      <c r="C485" s="25" t="n"/>
      <c r="D485" s="25" t="n"/>
      <c r="E485" s="26" t="n"/>
      <c r="F485" s="25" t="n"/>
      <c r="G485" s="25" t="n"/>
      <c r="H485" s="25" t="n"/>
      <c r="I485" s="25" t="n"/>
      <c r="J485" s="25" t="n"/>
      <c r="K485" s="25" t="n"/>
      <c r="L485" s="27" t="n"/>
      <c r="M485" s="27" t="n"/>
      <c r="N485" s="27" t="n"/>
      <c r="O485" s="27" t="n"/>
      <c r="P485" s="28" t="n"/>
      <c r="Q485" s="29" t="n"/>
      <c r="R485" s="30">
        <f>IF(B485="","",IF(C485="IWP",COUNTIFS(Restricciones!$D$6:$D$305,B485,Restricciones!$F$6:$F$305,"Abierta")+COUNTIFS(Restricciones!$D$6:$D$305,B485,Restricciones!$F$6:$F$305,"En gestión"),IF(C485="CWA",COUNTIFS(Restricciones!$C$6:$C$305,"CWP-"&amp;MID(B485,5,4)&amp;"-*",Restricciones!$F$6:$F$305,"Abierta")+COUNTIFS(Restricciones!$C$6:$C$305,"CWP-"&amp;MID(B485,5,4)&amp;"-*",Restricciones!$F$6:$F$305,"En gestión"),COUNTIFS(Restricciones!$C$6:$C$305,IF(C485="CWP",B485,H485),Restricciones!$F$6:$F$305,"Abierta")+COUNTIFS(Restricciones!$C$6:$C$305,IF(C485="CWP",B485,H485),Restricciones!$F$6:$F$305,"En gestión"))))</f>
        <v/>
      </c>
      <c r="S485" s="30">
        <f>IF(OR(B485="",M485=""),"",IF(O485&lt;&gt;"",MAX(0,O485-M485),IF(AND($B$3&gt;M485,K485&lt;&gt;"Cerrado"),$B$3-M485,0)))</f>
        <v/>
      </c>
      <c r="T485" s="31">
        <f>IF(B485="","",IF(K485="Cerrado",IF(S485&gt;0,"Cerrado con atraso","Cerrado"),IF(S485&gt;0,"Atrasado",IF(AND(N485="",L485&lt;&gt;"",$B$3&gt;L485),"Inicio atrasado","En plazo"))))</f>
        <v/>
      </c>
      <c r="U485" s="26" t="n"/>
    </row>
    <row r="486">
      <c r="A486" s="24" t="n"/>
      <c r="B486" s="25" t="n"/>
      <c r="C486" s="25" t="n"/>
      <c r="D486" s="25" t="n"/>
      <c r="E486" s="26" t="n"/>
      <c r="F486" s="25" t="n"/>
      <c r="G486" s="25" t="n"/>
      <c r="H486" s="25" t="n"/>
      <c r="I486" s="25" t="n"/>
      <c r="J486" s="25" t="n"/>
      <c r="K486" s="25" t="n"/>
      <c r="L486" s="27" t="n"/>
      <c r="M486" s="27" t="n"/>
      <c r="N486" s="27" t="n"/>
      <c r="O486" s="27" t="n"/>
      <c r="P486" s="28" t="n"/>
      <c r="Q486" s="29" t="n"/>
      <c r="R486" s="30">
        <f>IF(B486="","",IF(C486="IWP",COUNTIFS(Restricciones!$D$6:$D$305,B486,Restricciones!$F$6:$F$305,"Abierta")+COUNTIFS(Restricciones!$D$6:$D$305,B486,Restricciones!$F$6:$F$305,"En gestión"),IF(C486="CWA",COUNTIFS(Restricciones!$C$6:$C$305,"CWP-"&amp;MID(B486,5,4)&amp;"-*",Restricciones!$F$6:$F$305,"Abierta")+COUNTIFS(Restricciones!$C$6:$C$305,"CWP-"&amp;MID(B486,5,4)&amp;"-*",Restricciones!$F$6:$F$305,"En gestión"),COUNTIFS(Restricciones!$C$6:$C$305,IF(C486="CWP",B486,H486),Restricciones!$F$6:$F$305,"Abierta")+COUNTIFS(Restricciones!$C$6:$C$305,IF(C486="CWP",B486,H486),Restricciones!$F$6:$F$305,"En gestión"))))</f>
        <v/>
      </c>
      <c r="S486" s="30">
        <f>IF(OR(B486="",M486=""),"",IF(O486&lt;&gt;"",MAX(0,O486-M486),IF(AND($B$3&gt;M486,K486&lt;&gt;"Cerrado"),$B$3-M486,0)))</f>
        <v/>
      </c>
      <c r="T486" s="31">
        <f>IF(B486="","",IF(K486="Cerrado",IF(S486&gt;0,"Cerrado con atraso","Cerrado"),IF(S486&gt;0,"Atrasado",IF(AND(N486="",L486&lt;&gt;"",$B$3&gt;L486),"Inicio atrasado","En plazo"))))</f>
        <v/>
      </c>
      <c r="U486" s="26" t="n"/>
    </row>
    <row r="487">
      <c r="A487" s="24" t="n"/>
      <c r="B487" s="25" t="n"/>
      <c r="C487" s="25" t="n"/>
      <c r="D487" s="25" t="n"/>
      <c r="E487" s="26" t="n"/>
      <c r="F487" s="25" t="n"/>
      <c r="G487" s="25" t="n"/>
      <c r="H487" s="25" t="n"/>
      <c r="I487" s="25" t="n"/>
      <c r="J487" s="25" t="n"/>
      <c r="K487" s="25" t="n"/>
      <c r="L487" s="27" t="n"/>
      <c r="M487" s="27" t="n"/>
      <c r="N487" s="27" t="n"/>
      <c r="O487" s="27" t="n"/>
      <c r="P487" s="28" t="n"/>
      <c r="Q487" s="29" t="n"/>
      <c r="R487" s="30">
        <f>IF(B487="","",IF(C487="IWP",COUNTIFS(Restricciones!$D$6:$D$305,B487,Restricciones!$F$6:$F$305,"Abierta")+COUNTIFS(Restricciones!$D$6:$D$305,B487,Restricciones!$F$6:$F$305,"En gestión"),IF(C487="CWA",COUNTIFS(Restricciones!$C$6:$C$305,"CWP-"&amp;MID(B487,5,4)&amp;"-*",Restricciones!$F$6:$F$305,"Abierta")+COUNTIFS(Restricciones!$C$6:$C$305,"CWP-"&amp;MID(B487,5,4)&amp;"-*",Restricciones!$F$6:$F$305,"En gestión"),COUNTIFS(Restricciones!$C$6:$C$305,IF(C487="CWP",B487,H487),Restricciones!$F$6:$F$305,"Abierta")+COUNTIFS(Restricciones!$C$6:$C$305,IF(C487="CWP",B487,H487),Restricciones!$F$6:$F$305,"En gestión"))))</f>
        <v/>
      </c>
      <c r="S487" s="30">
        <f>IF(OR(B487="",M487=""),"",IF(O487&lt;&gt;"",MAX(0,O487-M487),IF(AND($B$3&gt;M487,K487&lt;&gt;"Cerrado"),$B$3-M487,0)))</f>
        <v/>
      </c>
      <c r="T487" s="31">
        <f>IF(B487="","",IF(K487="Cerrado",IF(S487&gt;0,"Cerrado con atraso","Cerrado"),IF(S487&gt;0,"Atrasado",IF(AND(N487="",L487&lt;&gt;"",$B$3&gt;L487),"Inicio atrasado","En plazo"))))</f>
        <v/>
      </c>
      <c r="U487" s="26" t="n"/>
    </row>
    <row r="488">
      <c r="A488" s="24" t="n"/>
      <c r="B488" s="25" t="n"/>
      <c r="C488" s="25" t="n"/>
      <c r="D488" s="25" t="n"/>
      <c r="E488" s="26" t="n"/>
      <c r="F488" s="25" t="n"/>
      <c r="G488" s="25" t="n"/>
      <c r="H488" s="25" t="n"/>
      <c r="I488" s="25" t="n"/>
      <c r="J488" s="25" t="n"/>
      <c r="K488" s="25" t="n"/>
      <c r="L488" s="27" t="n"/>
      <c r="M488" s="27" t="n"/>
      <c r="N488" s="27" t="n"/>
      <c r="O488" s="27" t="n"/>
      <c r="P488" s="28" t="n"/>
      <c r="Q488" s="29" t="n"/>
      <c r="R488" s="30">
        <f>IF(B488="","",IF(C488="IWP",COUNTIFS(Restricciones!$D$6:$D$305,B488,Restricciones!$F$6:$F$305,"Abierta")+COUNTIFS(Restricciones!$D$6:$D$305,B488,Restricciones!$F$6:$F$305,"En gestión"),IF(C488="CWA",COUNTIFS(Restricciones!$C$6:$C$305,"CWP-"&amp;MID(B488,5,4)&amp;"-*",Restricciones!$F$6:$F$305,"Abierta")+COUNTIFS(Restricciones!$C$6:$C$305,"CWP-"&amp;MID(B488,5,4)&amp;"-*",Restricciones!$F$6:$F$305,"En gestión"),COUNTIFS(Restricciones!$C$6:$C$305,IF(C488="CWP",B488,H488),Restricciones!$F$6:$F$305,"Abierta")+COUNTIFS(Restricciones!$C$6:$C$305,IF(C488="CWP",B488,H488),Restricciones!$F$6:$F$305,"En gestión"))))</f>
        <v/>
      </c>
      <c r="S488" s="30">
        <f>IF(OR(B488="",M488=""),"",IF(O488&lt;&gt;"",MAX(0,O488-M488),IF(AND($B$3&gt;M488,K488&lt;&gt;"Cerrado"),$B$3-M488,0)))</f>
        <v/>
      </c>
      <c r="T488" s="31">
        <f>IF(B488="","",IF(K488="Cerrado",IF(S488&gt;0,"Cerrado con atraso","Cerrado"),IF(S488&gt;0,"Atrasado",IF(AND(N488="",L488&lt;&gt;"",$B$3&gt;L488),"Inicio atrasado","En plazo"))))</f>
        <v/>
      </c>
      <c r="U488" s="26" t="n"/>
    </row>
    <row r="489">
      <c r="A489" s="24" t="n"/>
      <c r="B489" s="25" t="n"/>
      <c r="C489" s="25" t="n"/>
      <c r="D489" s="25" t="n"/>
      <c r="E489" s="26" t="n"/>
      <c r="F489" s="25" t="n"/>
      <c r="G489" s="25" t="n"/>
      <c r="H489" s="25" t="n"/>
      <c r="I489" s="25" t="n"/>
      <c r="J489" s="25" t="n"/>
      <c r="K489" s="25" t="n"/>
      <c r="L489" s="27" t="n"/>
      <c r="M489" s="27" t="n"/>
      <c r="N489" s="27" t="n"/>
      <c r="O489" s="27" t="n"/>
      <c r="P489" s="28" t="n"/>
      <c r="Q489" s="29" t="n"/>
      <c r="R489" s="30">
        <f>IF(B489="","",IF(C489="IWP",COUNTIFS(Restricciones!$D$6:$D$305,B489,Restricciones!$F$6:$F$305,"Abierta")+COUNTIFS(Restricciones!$D$6:$D$305,B489,Restricciones!$F$6:$F$305,"En gestión"),IF(C489="CWA",COUNTIFS(Restricciones!$C$6:$C$305,"CWP-"&amp;MID(B489,5,4)&amp;"-*",Restricciones!$F$6:$F$305,"Abierta")+COUNTIFS(Restricciones!$C$6:$C$305,"CWP-"&amp;MID(B489,5,4)&amp;"-*",Restricciones!$F$6:$F$305,"En gestión"),COUNTIFS(Restricciones!$C$6:$C$305,IF(C489="CWP",B489,H489),Restricciones!$F$6:$F$305,"Abierta")+COUNTIFS(Restricciones!$C$6:$C$305,IF(C489="CWP",B489,H489),Restricciones!$F$6:$F$305,"En gestión"))))</f>
        <v/>
      </c>
      <c r="S489" s="30">
        <f>IF(OR(B489="",M489=""),"",IF(O489&lt;&gt;"",MAX(0,O489-M489),IF(AND($B$3&gt;M489,K489&lt;&gt;"Cerrado"),$B$3-M489,0)))</f>
        <v/>
      </c>
      <c r="T489" s="31">
        <f>IF(B489="","",IF(K489="Cerrado",IF(S489&gt;0,"Cerrado con atraso","Cerrado"),IF(S489&gt;0,"Atrasado",IF(AND(N489="",L489&lt;&gt;"",$B$3&gt;L489),"Inicio atrasado","En plazo"))))</f>
        <v/>
      </c>
      <c r="U489" s="26" t="n"/>
    </row>
    <row r="490">
      <c r="A490" s="24" t="n"/>
      <c r="B490" s="25" t="n"/>
      <c r="C490" s="25" t="n"/>
      <c r="D490" s="25" t="n"/>
      <c r="E490" s="26" t="n"/>
      <c r="F490" s="25" t="n"/>
      <c r="G490" s="25" t="n"/>
      <c r="H490" s="25" t="n"/>
      <c r="I490" s="25" t="n"/>
      <c r="J490" s="25" t="n"/>
      <c r="K490" s="25" t="n"/>
      <c r="L490" s="27" t="n"/>
      <c r="M490" s="27" t="n"/>
      <c r="N490" s="27" t="n"/>
      <c r="O490" s="27" t="n"/>
      <c r="P490" s="28" t="n"/>
      <c r="Q490" s="29" t="n"/>
      <c r="R490" s="30">
        <f>IF(B490="","",IF(C490="IWP",COUNTIFS(Restricciones!$D$6:$D$305,B490,Restricciones!$F$6:$F$305,"Abierta")+COUNTIFS(Restricciones!$D$6:$D$305,B490,Restricciones!$F$6:$F$305,"En gestión"),IF(C490="CWA",COUNTIFS(Restricciones!$C$6:$C$305,"CWP-"&amp;MID(B490,5,4)&amp;"-*",Restricciones!$F$6:$F$305,"Abierta")+COUNTIFS(Restricciones!$C$6:$C$305,"CWP-"&amp;MID(B490,5,4)&amp;"-*",Restricciones!$F$6:$F$305,"En gestión"),COUNTIFS(Restricciones!$C$6:$C$305,IF(C490="CWP",B490,H490),Restricciones!$F$6:$F$305,"Abierta")+COUNTIFS(Restricciones!$C$6:$C$305,IF(C490="CWP",B490,H490),Restricciones!$F$6:$F$305,"En gestión"))))</f>
        <v/>
      </c>
      <c r="S490" s="30">
        <f>IF(OR(B490="",M490=""),"",IF(O490&lt;&gt;"",MAX(0,O490-M490),IF(AND($B$3&gt;M490,K490&lt;&gt;"Cerrado"),$B$3-M490,0)))</f>
        <v/>
      </c>
      <c r="T490" s="31">
        <f>IF(B490="","",IF(K490="Cerrado",IF(S490&gt;0,"Cerrado con atraso","Cerrado"),IF(S490&gt;0,"Atrasado",IF(AND(N490="",L490&lt;&gt;"",$B$3&gt;L490),"Inicio atrasado","En plazo"))))</f>
        <v/>
      </c>
      <c r="U490" s="26" t="n"/>
    </row>
    <row r="491">
      <c r="A491" s="24" t="n"/>
      <c r="B491" s="25" t="n"/>
      <c r="C491" s="25" t="n"/>
      <c r="D491" s="25" t="n"/>
      <c r="E491" s="26" t="n"/>
      <c r="F491" s="25" t="n"/>
      <c r="G491" s="25" t="n"/>
      <c r="H491" s="25" t="n"/>
      <c r="I491" s="25" t="n"/>
      <c r="J491" s="25" t="n"/>
      <c r="K491" s="25" t="n"/>
      <c r="L491" s="27" t="n"/>
      <c r="M491" s="27" t="n"/>
      <c r="N491" s="27" t="n"/>
      <c r="O491" s="27" t="n"/>
      <c r="P491" s="28" t="n"/>
      <c r="Q491" s="29" t="n"/>
      <c r="R491" s="30">
        <f>IF(B491="","",IF(C491="IWP",COUNTIFS(Restricciones!$D$6:$D$305,B491,Restricciones!$F$6:$F$305,"Abierta")+COUNTIFS(Restricciones!$D$6:$D$305,B491,Restricciones!$F$6:$F$305,"En gestión"),IF(C491="CWA",COUNTIFS(Restricciones!$C$6:$C$305,"CWP-"&amp;MID(B491,5,4)&amp;"-*",Restricciones!$F$6:$F$305,"Abierta")+COUNTIFS(Restricciones!$C$6:$C$305,"CWP-"&amp;MID(B491,5,4)&amp;"-*",Restricciones!$F$6:$F$305,"En gestión"),COUNTIFS(Restricciones!$C$6:$C$305,IF(C491="CWP",B491,H491),Restricciones!$F$6:$F$305,"Abierta")+COUNTIFS(Restricciones!$C$6:$C$305,IF(C491="CWP",B491,H491),Restricciones!$F$6:$F$305,"En gestión"))))</f>
        <v/>
      </c>
      <c r="S491" s="30">
        <f>IF(OR(B491="",M491=""),"",IF(O491&lt;&gt;"",MAX(0,O491-M491),IF(AND($B$3&gt;M491,K491&lt;&gt;"Cerrado"),$B$3-M491,0)))</f>
        <v/>
      </c>
      <c r="T491" s="31">
        <f>IF(B491="","",IF(K491="Cerrado",IF(S491&gt;0,"Cerrado con atraso","Cerrado"),IF(S491&gt;0,"Atrasado",IF(AND(N491="",L491&lt;&gt;"",$B$3&gt;L491),"Inicio atrasado","En plazo"))))</f>
        <v/>
      </c>
      <c r="U491" s="26" t="n"/>
    </row>
    <row r="492">
      <c r="A492" s="24" t="n"/>
      <c r="B492" s="25" t="n"/>
      <c r="C492" s="25" t="n"/>
      <c r="D492" s="25" t="n"/>
      <c r="E492" s="26" t="n"/>
      <c r="F492" s="25" t="n"/>
      <c r="G492" s="25" t="n"/>
      <c r="H492" s="25" t="n"/>
      <c r="I492" s="25" t="n"/>
      <c r="J492" s="25" t="n"/>
      <c r="K492" s="25" t="n"/>
      <c r="L492" s="27" t="n"/>
      <c r="M492" s="27" t="n"/>
      <c r="N492" s="27" t="n"/>
      <c r="O492" s="27" t="n"/>
      <c r="P492" s="28" t="n"/>
      <c r="Q492" s="29" t="n"/>
      <c r="R492" s="30">
        <f>IF(B492="","",IF(C492="IWP",COUNTIFS(Restricciones!$D$6:$D$305,B492,Restricciones!$F$6:$F$305,"Abierta")+COUNTIFS(Restricciones!$D$6:$D$305,B492,Restricciones!$F$6:$F$305,"En gestión"),IF(C492="CWA",COUNTIFS(Restricciones!$C$6:$C$305,"CWP-"&amp;MID(B492,5,4)&amp;"-*",Restricciones!$F$6:$F$305,"Abierta")+COUNTIFS(Restricciones!$C$6:$C$305,"CWP-"&amp;MID(B492,5,4)&amp;"-*",Restricciones!$F$6:$F$305,"En gestión"),COUNTIFS(Restricciones!$C$6:$C$305,IF(C492="CWP",B492,H492),Restricciones!$F$6:$F$305,"Abierta")+COUNTIFS(Restricciones!$C$6:$C$305,IF(C492="CWP",B492,H492),Restricciones!$F$6:$F$305,"En gestión"))))</f>
        <v/>
      </c>
      <c r="S492" s="30">
        <f>IF(OR(B492="",M492=""),"",IF(O492&lt;&gt;"",MAX(0,O492-M492),IF(AND($B$3&gt;M492,K492&lt;&gt;"Cerrado"),$B$3-M492,0)))</f>
        <v/>
      </c>
      <c r="T492" s="31">
        <f>IF(B492="","",IF(K492="Cerrado",IF(S492&gt;0,"Cerrado con atraso","Cerrado"),IF(S492&gt;0,"Atrasado",IF(AND(N492="",L492&lt;&gt;"",$B$3&gt;L492),"Inicio atrasado","En plazo"))))</f>
        <v/>
      </c>
      <c r="U492" s="26" t="n"/>
    </row>
    <row r="493">
      <c r="A493" s="24" t="n"/>
      <c r="B493" s="25" t="n"/>
      <c r="C493" s="25" t="n"/>
      <c r="D493" s="25" t="n"/>
      <c r="E493" s="26" t="n"/>
      <c r="F493" s="25" t="n"/>
      <c r="G493" s="25" t="n"/>
      <c r="H493" s="25" t="n"/>
      <c r="I493" s="25" t="n"/>
      <c r="J493" s="25" t="n"/>
      <c r="K493" s="25" t="n"/>
      <c r="L493" s="27" t="n"/>
      <c r="M493" s="27" t="n"/>
      <c r="N493" s="27" t="n"/>
      <c r="O493" s="27" t="n"/>
      <c r="P493" s="28" t="n"/>
      <c r="Q493" s="29" t="n"/>
      <c r="R493" s="30">
        <f>IF(B493="","",IF(C493="IWP",COUNTIFS(Restricciones!$D$6:$D$305,B493,Restricciones!$F$6:$F$305,"Abierta")+COUNTIFS(Restricciones!$D$6:$D$305,B493,Restricciones!$F$6:$F$305,"En gestión"),IF(C493="CWA",COUNTIFS(Restricciones!$C$6:$C$305,"CWP-"&amp;MID(B493,5,4)&amp;"-*",Restricciones!$F$6:$F$305,"Abierta")+COUNTIFS(Restricciones!$C$6:$C$305,"CWP-"&amp;MID(B493,5,4)&amp;"-*",Restricciones!$F$6:$F$305,"En gestión"),COUNTIFS(Restricciones!$C$6:$C$305,IF(C493="CWP",B493,H493),Restricciones!$F$6:$F$305,"Abierta")+COUNTIFS(Restricciones!$C$6:$C$305,IF(C493="CWP",B493,H493),Restricciones!$F$6:$F$305,"En gestión"))))</f>
        <v/>
      </c>
      <c r="S493" s="30">
        <f>IF(OR(B493="",M493=""),"",IF(O493&lt;&gt;"",MAX(0,O493-M493),IF(AND($B$3&gt;M493,K493&lt;&gt;"Cerrado"),$B$3-M493,0)))</f>
        <v/>
      </c>
      <c r="T493" s="31">
        <f>IF(B493="","",IF(K493="Cerrado",IF(S493&gt;0,"Cerrado con atraso","Cerrado"),IF(S493&gt;0,"Atrasado",IF(AND(N493="",L493&lt;&gt;"",$B$3&gt;L493),"Inicio atrasado","En plazo"))))</f>
        <v/>
      </c>
      <c r="U493" s="26" t="n"/>
    </row>
    <row r="494">
      <c r="A494" s="24" t="n"/>
      <c r="B494" s="25" t="n"/>
      <c r="C494" s="25" t="n"/>
      <c r="D494" s="25" t="n"/>
      <c r="E494" s="26" t="n"/>
      <c r="F494" s="25" t="n"/>
      <c r="G494" s="25" t="n"/>
      <c r="H494" s="25" t="n"/>
      <c r="I494" s="25" t="n"/>
      <c r="J494" s="25" t="n"/>
      <c r="K494" s="25" t="n"/>
      <c r="L494" s="27" t="n"/>
      <c r="M494" s="27" t="n"/>
      <c r="N494" s="27" t="n"/>
      <c r="O494" s="27" t="n"/>
      <c r="P494" s="28" t="n"/>
      <c r="Q494" s="29" t="n"/>
      <c r="R494" s="30">
        <f>IF(B494="","",IF(C494="IWP",COUNTIFS(Restricciones!$D$6:$D$305,B494,Restricciones!$F$6:$F$305,"Abierta")+COUNTIFS(Restricciones!$D$6:$D$305,B494,Restricciones!$F$6:$F$305,"En gestión"),IF(C494="CWA",COUNTIFS(Restricciones!$C$6:$C$305,"CWP-"&amp;MID(B494,5,4)&amp;"-*",Restricciones!$F$6:$F$305,"Abierta")+COUNTIFS(Restricciones!$C$6:$C$305,"CWP-"&amp;MID(B494,5,4)&amp;"-*",Restricciones!$F$6:$F$305,"En gestión"),COUNTIFS(Restricciones!$C$6:$C$305,IF(C494="CWP",B494,H494),Restricciones!$F$6:$F$305,"Abierta")+COUNTIFS(Restricciones!$C$6:$C$305,IF(C494="CWP",B494,H494),Restricciones!$F$6:$F$305,"En gestión"))))</f>
        <v/>
      </c>
      <c r="S494" s="30">
        <f>IF(OR(B494="",M494=""),"",IF(O494&lt;&gt;"",MAX(0,O494-M494),IF(AND($B$3&gt;M494,K494&lt;&gt;"Cerrado"),$B$3-M494,0)))</f>
        <v/>
      </c>
      <c r="T494" s="31">
        <f>IF(B494="","",IF(K494="Cerrado",IF(S494&gt;0,"Cerrado con atraso","Cerrado"),IF(S494&gt;0,"Atrasado",IF(AND(N494="",L494&lt;&gt;"",$B$3&gt;L494),"Inicio atrasado","En plazo"))))</f>
        <v/>
      </c>
      <c r="U494" s="26" t="n"/>
    </row>
    <row r="495">
      <c r="A495" s="24" t="n"/>
      <c r="B495" s="25" t="n"/>
      <c r="C495" s="25" t="n"/>
      <c r="D495" s="25" t="n"/>
      <c r="E495" s="26" t="n"/>
      <c r="F495" s="25" t="n"/>
      <c r="G495" s="25" t="n"/>
      <c r="H495" s="25" t="n"/>
      <c r="I495" s="25" t="n"/>
      <c r="J495" s="25" t="n"/>
      <c r="K495" s="25" t="n"/>
      <c r="L495" s="27" t="n"/>
      <c r="M495" s="27" t="n"/>
      <c r="N495" s="27" t="n"/>
      <c r="O495" s="27" t="n"/>
      <c r="P495" s="28" t="n"/>
      <c r="Q495" s="29" t="n"/>
      <c r="R495" s="30">
        <f>IF(B495="","",IF(C495="IWP",COUNTIFS(Restricciones!$D$6:$D$305,B495,Restricciones!$F$6:$F$305,"Abierta")+COUNTIFS(Restricciones!$D$6:$D$305,B495,Restricciones!$F$6:$F$305,"En gestión"),IF(C495="CWA",COUNTIFS(Restricciones!$C$6:$C$305,"CWP-"&amp;MID(B495,5,4)&amp;"-*",Restricciones!$F$6:$F$305,"Abierta")+COUNTIFS(Restricciones!$C$6:$C$305,"CWP-"&amp;MID(B495,5,4)&amp;"-*",Restricciones!$F$6:$F$305,"En gestión"),COUNTIFS(Restricciones!$C$6:$C$305,IF(C495="CWP",B495,H495),Restricciones!$F$6:$F$305,"Abierta")+COUNTIFS(Restricciones!$C$6:$C$305,IF(C495="CWP",B495,H495),Restricciones!$F$6:$F$305,"En gestión"))))</f>
        <v/>
      </c>
      <c r="S495" s="30">
        <f>IF(OR(B495="",M495=""),"",IF(O495&lt;&gt;"",MAX(0,O495-M495),IF(AND($B$3&gt;M495,K495&lt;&gt;"Cerrado"),$B$3-M495,0)))</f>
        <v/>
      </c>
      <c r="T495" s="31">
        <f>IF(B495="","",IF(K495="Cerrado",IF(S495&gt;0,"Cerrado con atraso","Cerrado"),IF(S495&gt;0,"Atrasado",IF(AND(N495="",L495&lt;&gt;"",$B$3&gt;L495),"Inicio atrasado","En plazo"))))</f>
        <v/>
      </c>
      <c r="U495" s="26" t="n"/>
    </row>
    <row r="496">
      <c r="A496" s="24" t="n"/>
      <c r="B496" s="25" t="n"/>
      <c r="C496" s="25" t="n"/>
      <c r="D496" s="25" t="n"/>
      <c r="E496" s="26" t="n"/>
      <c r="F496" s="25" t="n"/>
      <c r="G496" s="25" t="n"/>
      <c r="H496" s="25" t="n"/>
      <c r="I496" s="25" t="n"/>
      <c r="J496" s="25" t="n"/>
      <c r="K496" s="25" t="n"/>
      <c r="L496" s="27" t="n"/>
      <c r="M496" s="27" t="n"/>
      <c r="N496" s="27" t="n"/>
      <c r="O496" s="27" t="n"/>
      <c r="P496" s="28" t="n"/>
      <c r="Q496" s="29" t="n"/>
      <c r="R496" s="30">
        <f>IF(B496="","",IF(C496="IWP",COUNTIFS(Restricciones!$D$6:$D$305,B496,Restricciones!$F$6:$F$305,"Abierta")+COUNTIFS(Restricciones!$D$6:$D$305,B496,Restricciones!$F$6:$F$305,"En gestión"),IF(C496="CWA",COUNTIFS(Restricciones!$C$6:$C$305,"CWP-"&amp;MID(B496,5,4)&amp;"-*",Restricciones!$F$6:$F$305,"Abierta")+COUNTIFS(Restricciones!$C$6:$C$305,"CWP-"&amp;MID(B496,5,4)&amp;"-*",Restricciones!$F$6:$F$305,"En gestión"),COUNTIFS(Restricciones!$C$6:$C$305,IF(C496="CWP",B496,H496),Restricciones!$F$6:$F$305,"Abierta")+COUNTIFS(Restricciones!$C$6:$C$305,IF(C496="CWP",B496,H496),Restricciones!$F$6:$F$305,"En gestión"))))</f>
        <v/>
      </c>
      <c r="S496" s="30">
        <f>IF(OR(B496="",M496=""),"",IF(O496&lt;&gt;"",MAX(0,O496-M496),IF(AND($B$3&gt;M496,K496&lt;&gt;"Cerrado"),$B$3-M496,0)))</f>
        <v/>
      </c>
      <c r="T496" s="31">
        <f>IF(B496="","",IF(K496="Cerrado",IF(S496&gt;0,"Cerrado con atraso","Cerrado"),IF(S496&gt;0,"Atrasado",IF(AND(N496="",L496&lt;&gt;"",$B$3&gt;L496),"Inicio atrasado","En plazo"))))</f>
        <v/>
      </c>
      <c r="U496" s="26" t="n"/>
    </row>
    <row r="497">
      <c r="A497" s="24" t="n"/>
      <c r="B497" s="25" t="n"/>
      <c r="C497" s="25" t="n"/>
      <c r="D497" s="25" t="n"/>
      <c r="E497" s="26" t="n"/>
      <c r="F497" s="25" t="n"/>
      <c r="G497" s="25" t="n"/>
      <c r="H497" s="25" t="n"/>
      <c r="I497" s="25" t="n"/>
      <c r="J497" s="25" t="n"/>
      <c r="K497" s="25" t="n"/>
      <c r="L497" s="27" t="n"/>
      <c r="M497" s="27" t="n"/>
      <c r="N497" s="27" t="n"/>
      <c r="O497" s="27" t="n"/>
      <c r="P497" s="28" t="n"/>
      <c r="Q497" s="29" t="n"/>
      <c r="R497" s="30">
        <f>IF(B497="","",IF(C497="IWP",COUNTIFS(Restricciones!$D$6:$D$305,B497,Restricciones!$F$6:$F$305,"Abierta")+COUNTIFS(Restricciones!$D$6:$D$305,B497,Restricciones!$F$6:$F$305,"En gestión"),IF(C497="CWA",COUNTIFS(Restricciones!$C$6:$C$305,"CWP-"&amp;MID(B497,5,4)&amp;"-*",Restricciones!$F$6:$F$305,"Abierta")+COUNTIFS(Restricciones!$C$6:$C$305,"CWP-"&amp;MID(B497,5,4)&amp;"-*",Restricciones!$F$6:$F$305,"En gestión"),COUNTIFS(Restricciones!$C$6:$C$305,IF(C497="CWP",B497,H497),Restricciones!$F$6:$F$305,"Abierta")+COUNTIFS(Restricciones!$C$6:$C$305,IF(C497="CWP",B497,H497),Restricciones!$F$6:$F$305,"En gestión"))))</f>
        <v/>
      </c>
      <c r="S497" s="30">
        <f>IF(OR(B497="",M497=""),"",IF(O497&lt;&gt;"",MAX(0,O497-M497),IF(AND($B$3&gt;M497,K497&lt;&gt;"Cerrado"),$B$3-M497,0)))</f>
        <v/>
      </c>
      <c r="T497" s="31">
        <f>IF(B497="","",IF(K497="Cerrado",IF(S497&gt;0,"Cerrado con atraso","Cerrado"),IF(S497&gt;0,"Atrasado",IF(AND(N497="",L497&lt;&gt;"",$B$3&gt;L497),"Inicio atrasado","En plazo"))))</f>
        <v/>
      </c>
      <c r="U497" s="26" t="n"/>
    </row>
    <row r="498">
      <c r="A498" s="24" t="n"/>
      <c r="B498" s="25" t="n"/>
      <c r="C498" s="25" t="n"/>
      <c r="D498" s="25" t="n"/>
      <c r="E498" s="26" t="n"/>
      <c r="F498" s="25" t="n"/>
      <c r="G498" s="25" t="n"/>
      <c r="H498" s="25" t="n"/>
      <c r="I498" s="25" t="n"/>
      <c r="J498" s="25" t="n"/>
      <c r="K498" s="25" t="n"/>
      <c r="L498" s="27" t="n"/>
      <c r="M498" s="27" t="n"/>
      <c r="N498" s="27" t="n"/>
      <c r="O498" s="27" t="n"/>
      <c r="P498" s="28" t="n"/>
      <c r="Q498" s="29" t="n"/>
      <c r="R498" s="30">
        <f>IF(B498="","",IF(C498="IWP",COUNTIFS(Restricciones!$D$6:$D$305,B498,Restricciones!$F$6:$F$305,"Abierta")+COUNTIFS(Restricciones!$D$6:$D$305,B498,Restricciones!$F$6:$F$305,"En gestión"),IF(C498="CWA",COUNTIFS(Restricciones!$C$6:$C$305,"CWP-"&amp;MID(B498,5,4)&amp;"-*",Restricciones!$F$6:$F$305,"Abierta")+COUNTIFS(Restricciones!$C$6:$C$305,"CWP-"&amp;MID(B498,5,4)&amp;"-*",Restricciones!$F$6:$F$305,"En gestión"),COUNTIFS(Restricciones!$C$6:$C$305,IF(C498="CWP",B498,H498),Restricciones!$F$6:$F$305,"Abierta")+COUNTIFS(Restricciones!$C$6:$C$305,IF(C498="CWP",B498,H498),Restricciones!$F$6:$F$305,"En gestión"))))</f>
        <v/>
      </c>
      <c r="S498" s="30">
        <f>IF(OR(B498="",M498=""),"",IF(O498&lt;&gt;"",MAX(0,O498-M498),IF(AND($B$3&gt;M498,K498&lt;&gt;"Cerrado"),$B$3-M498,0)))</f>
        <v/>
      </c>
      <c r="T498" s="31">
        <f>IF(B498="","",IF(K498="Cerrado",IF(S498&gt;0,"Cerrado con atraso","Cerrado"),IF(S498&gt;0,"Atrasado",IF(AND(N498="",L498&lt;&gt;"",$B$3&gt;L498),"Inicio atrasado","En plazo"))))</f>
        <v/>
      </c>
      <c r="U498" s="26" t="n"/>
    </row>
    <row r="499">
      <c r="A499" s="24" t="n"/>
      <c r="B499" s="25" t="n"/>
      <c r="C499" s="25" t="n"/>
      <c r="D499" s="25" t="n"/>
      <c r="E499" s="26" t="n"/>
      <c r="F499" s="25" t="n"/>
      <c r="G499" s="25" t="n"/>
      <c r="H499" s="25" t="n"/>
      <c r="I499" s="25" t="n"/>
      <c r="J499" s="25" t="n"/>
      <c r="K499" s="25" t="n"/>
      <c r="L499" s="27" t="n"/>
      <c r="M499" s="27" t="n"/>
      <c r="N499" s="27" t="n"/>
      <c r="O499" s="27" t="n"/>
      <c r="P499" s="28" t="n"/>
      <c r="Q499" s="29" t="n"/>
      <c r="R499" s="30">
        <f>IF(B499="","",IF(C499="IWP",COUNTIFS(Restricciones!$D$6:$D$305,B499,Restricciones!$F$6:$F$305,"Abierta")+COUNTIFS(Restricciones!$D$6:$D$305,B499,Restricciones!$F$6:$F$305,"En gestión"),IF(C499="CWA",COUNTIFS(Restricciones!$C$6:$C$305,"CWP-"&amp;MID(B499,5,4)&amp;"-*",Restricciones!$F$6:$F$305,"Abierta")+COUNTIFS(Restricciones!$C$6:$C$305,"CWP-"&amp;MID(B499,5,4)&amp;"-*",Restricciones!$F$6:$F$305,"En gestión"),COUNTIFS(Restricciones!$C$6:$C$305,IF(C499="CWP",B499,H499),Restricciones!$F$6:$F$305,"Abierta")+COUNTIFS(Restricciones!$C$6:$C$305,IF(C499="CWP",B499,H499),Restricciones!$F$6:$F$305,"En gestión"))))</f>
        <v/>
      </c>
      <c r="S499" s="30">
        <f>IF(OR(B499="",M499=""),"",IF(O499&lt;&gt;"",MAX(0,O499-M499),IF(AND($B$3&gt;M499,K499&lt;&gt;"Cerrado"),$B$3-M499,0)))</f>
        <v/>
      </c>
      <c r="T499" s="31">
        <f>IF(B499="","",IF(K499="Cerrado",IF(S499&gt;0,"Cerrado con atraso","Cerrado"),IF(S499&gt;0,"Atrasado",IF(AND(N499="",L499&lt;&gt;"",$B$3&gt;L499),"Inicio atrasado","En plazo"))))</f>
        <v/>
      </c>
      <c r="U499" s="26" t="n"/>
    </row>
    <row r="500">
      <c r="A500" s="24" t="n"/>
      <c r="B500" s="25" t="n"/>
      <c r="C500" s="25" t="n"/>
      <c r="D500" s="25" t="n"/>
      <c r="E500" s="26" t="n"/>
      <c r="F500" s="25" t="n"/>
      <c r="G500" s="25" t="n"/>
      <c r="H500" s="25" t="n"/>
      <c r="I500" s="25" t="n"/>
      <c r="J500" s="25" t="n"/>
      <c r="K500" s="25" t="n"/>
      <c r="L500" s="27" t="n"/>
      <c r="M500" s="27" t="n"/>
      <c r="N500" s="27" t="n"/>
      <c r="O500" s="27" t="n"/>
      <c r="P500" s="28" t="n"/>
      <c r="Q500" s="29" t="n"/>
      <c r="R500" s="30">
        <f>IF(B500="","",IF(C500="IWP",COUNTIFS(Restricciones!$D$6:$D$305,B500,Restricciones!$F$6:$F$305,"Abierta")+COUNTIFS(Restricciones!$D$6:$D$305,B500,Restricciones!$F$6:$F$305,"En gestión"),IF(C500="CWA",COUNTIFS(Restricciones!$C$6:$C$305,"CWP-"&amp;MID(B500,5,4)&amp;"-*",Restricciones!$F$6:$F$305,"Abierta")+COUNTIFS(Restricciones!$C$6:$C$305,"CWP-"&amp;MID(B500,5,4)&amp;"-*",Restricciones!$F$6:$F$305,"En gestión"),COUNTIFS(Restricciones!$C$6:$C$305,IF(C500="CWP",B500,H500),Restricciones!$F$6:$F$305,"Abierta")+COUNTIFS(Restricciones!$C$6:$C$305,IF(C500="CWP",B500,H500),Restricciones!$F$6:$F$305,"En gestión"))))</f>
        <v/>
      </c>
      <c r="S500" s="30">
        <f>IF(OR(B500="",M500=""),"",IF(O500&lt;&gt;"",MAX(0,O500-M500),IF(AND($B$3&gt;M500,K500&lt;&gt;"Cerrado"),$B$3-M500,0)))</f>
        <v/>
      </c>
      <c r="T500" s="31">
        <f>IF(B500="","",IF(K500="Cerrado",IF(S500&gt;0,"Cerrado con atraso","Cerrado"),IF(S500&gt;0,"Atrasado",IF(AND(N500="",L500&lt;&gt;"",$B$3&gt;L500),"Inicio atrasado","En plazo"))))</f>
        <v/>
      </c>
      <c r="U500" s="26" t="n"/>
    </row>
    <row r="501">
      <c r="A501" s="24" t="n"/>
      <c r="B501" s="25" t="n"/>
      <c r="C501" s="25" t="n"/>
      <c r="D501" s="25" t="n"/>
      <c r="E501" s="26" t="n"/>
      <c r="F501" s="25" t="n"/>
      <c r="G501" s="25" t="n"/>
      <c r="H501" s="25" t="n"/>
      <c r="I501" s="25" t="n"/>
      <c r="J501" s="25" t="n"/>
      <c r="K501" s="25" t="n"/>
      <c r="L501" s="27" t="n"/>
      <c r="M501" s="27" t="n"/>
      <c r="N501" s="27" t="n"/>
      <c r="O501" s="27" t="n"/>
      <c r="P501" s="28" t="n"/>
      <c r="Q501" s="29" t="n"/>
      <c r="R501" s="30">
        <f>IF(B501="","",IF(C501="IWP",COUNTIFS(Restricciones!$D$6:$D$305,B501,Restricciones!$F$6:$F$305,"Abierta")+COUNTIFS(Restricciones!$D$6:$D$305,B501,Restricciones!$F$6:$F$305,"En gestión"),IF(C501="CWA",COUNTIFS(Restricciones!$C$6:$C$305,"CWP-"&amp;MID(B501,5,4)&amp;"-*",Restricciones!$F$6:$F$305,"Abierta")+COUNTIFS(Restricciones!$C$6:$C$305,"CWP-"&amp;MID(B501,5,4)&amp;"-*",Restricciones!$F$6:$F$305,"En gestión"),COUNTIFS(Restricciones!$C$6:$C$305,IF(C501="CWP",B501,H501),Restricciones!$F$6:$F$305,"Abierta")+COUNTIFS(Restricciones!$C$6:$C$305,IF(C501="CWP",B501,H501),Restricciones!$F$6:$F$305,"En gestión"))))</f>
        <v/>
      </c>
      <c r="S501" s="30">
        <f>IF(OR(B501="",M501=""),"",IF(O501&lt;&gt;"",MAX(0,O501-M501),IF(AND($B$3&gt;M501,K501&lt;&gt;"Cerrado"),$B$3-M501,0)))</f>
        <v/>
      </c>
      <c r="T501" s="31">
        <f>IF(B501="","",IF(K501="Cerrado",IF(S501&gt;0,"Cerrado con atraso","Cerrado"),IF(S501&gt;0,"Atrasado",IF(AND(N501="",L501&lt;&gt;"",$B$3&gt;L501),"Inicio atrasado","En plazo"))))</f>
        <v/>
      </c>
      <c r="U501" s="26" t="n"/>
    </row>
    <row r="502">
      <c r="A502" s="24" t="n"/>
      <c r="B502" s="25" t="n"/>
      <c r="C502" s="25" t="n"/>
      <c r="D502" s="25" t="n"/>
      <c r="E502" s="26" t="n"/>
      <c r="F502" s="25" t="n"/>
      <c r="G502" s="25" t="n"/>
      <c r="H502" s="25" t="n"/>
      <c r="I502" s="25" t="n"/>
      <c r="J502" s="25" t="n"/>
      <c r="K502" s="25" t="n"/>
      <c r="L502" s="27" t="n"/>
      <c r="M502" s="27" t="n"/>
      <c r="N502" s="27" t="n"/>
      <c r="O502" s="27" t="n"/>
      <c r="P502" s="28" t="n"/>
      <c r="Q502" s="29" t="n"/>
      <c r="R502" s="30">
        <f>IF(B502="","",IF(C502="IWP",COUNTIFS(Restricciones!$D$6:$D$305,B502,Restricciones!$F$6:$F$305,"Abierta")+COUNTIFS(Restricciones!$D$6:$D$305,B502,Restricciones!$F$6:$F$305,"En gestión"),IF(C502="CWA",COUNTIFS(Restricciones!$C$6:$C$305,"CWP-"&amp;MID(B502,5,4)&amp;"-*",Restricciones!$F$6:$F$305,"Abierta")+COUNTIFS(Restricciones!$C$6:$C$305,"CWP-"&amp;MID(B502,5,4)&amp;"-*",Restricciones!$F$6:$F$305,"En gestión"),COUNTIFS(Restricciones!$C$6:$C$305,IF(C502="CWP",B502,H502),Restricciones!$F$6:$F$305,"Abierta")+COUNTIFS(Restricciones!$C$6:$C$305,IF(C502="CWP",B502,H502),Restricciones!$F$6:$F$305,"En gestión"))))</f>
        <v/>
      </c>
      <c r="S502" s="30">
        <f>IF(OR(B502="",M502=""),"",IF(O502&lt;&gt;"",MAX(0,O502-M502),IF(AND($B$3&gt;M502,K502&lt;&gt;"Cerrado"),$B$3-M502,0)))</f>
        <v/>
      </c>
      <c r="T502" s="31">
        <f>IF(B502="","",IF(K502="Cerrado",IF(S502&gt;0,"Cerrado con atraso","Cerrado"),IF(S502&gt;0,"Atrasado",IF(AND(N502="",L502&lt;&gt;"",$B$3&gt;L502),"Inicio atrasado","En plazo"))))</f>
        <v/>
      </c>
      <c r="U502" s="26" t="n"/>
    </row>
    <row r="503">
      <c r="A503" s="24" t="n"/>
      <c r="B503" s="25" t="n"/>
      <c r="C503" s="25" t="n"/>
      <c r="D503" s="25" t="n"/>
      <c r="E503" s="26" t="n"/>
      <c r="F503" s="25" t="n"/>
      <c r="G503" s="25" t="n"/>
      <c r="H503" s="25" t="n"/>
      <c r="I503" s="25" t="n"/>
      <c r="J503" s="25" t="n"/>
      <c r="K503" s="25" t="n"/>
      <c r="L503" s="27" t="n"/>
      <c r="M503" s="27" t="n"/>
      <c r="N503" s="27" t="n"/>
      <c r="O503" s="27" t="n"/>
      <c r="P503" s="28" t="n"/>
      <c r="Q503" s="29" t="n"/>
      <c r="R503" s="30">
        <f>IF(B503="","",IF(C503="IWP",COUNTIFS(Restricciones!$D$6:$D$305,B503,Restricciones!$F$6:$F$305,"Abierta")+COUNTIFS(Restricciones!$D$6:$D$305,B503,Restricciones!$F$6:$F$305,"En gestión"),IF(C503="CWA",COUNTIFS(Restricciones!$C$6:$C$305,"CWP-"&amp;MID(B503,5,4)&amp;"-*",Restricciones!$F$6:$F$305,"Abierta")+COUNTIFS(Restricciones!$C$6:$C$305,"CWP-"&amp;MID(B503,5,4)&amp;"-*",Restricciones!$F$6:$F$305,"En gestión"),COUNTIFS(Restricciones!$C$6:$C$305,IF(C503="CWP",B503,H503),Restricciones!$F$6:$F$305,"Abierta")+COUNTIFS(Restricciones!$C$6:$C$305,IF(C503="CWP",B503,H503),Restricciones!$F$6:$F$305,"En gestión"))))</f>
        <v/>
      </c>
      <c r="S503" s="30">
        <f>IF(OR(B503="",M503=""),"",IF(O503&lt;&gt;"",MAX(0,O503-M503),IF(AND($B$3&gt;M503,K503&lt;&gt;"Cerrado"),$B$3-M503,0)))</f>
        <v/>
      </c>
      <c r="T503" s="31">
        <f>IF(B503="","",IF(K503="Cerrado",IF(S503&gt;0,"Cerrado con atraso","Cerrado"),IF(S503&gt;0,"Atrasado",IF(AND(N503="",L503&lt;&gt;"",$B$3&gt;L503),"Inicio atrasado","En plazo"))))</f>
        <v/>
      </c>
      <c r="U503" s="26" t="n"/>
    </row>
    <row r="504">
      <c r="A504" s="24" t="n"/>
      <c r="B504" s="25" t="n"/>
      <c r="C504" s="25" t="n"/>
      <c r="D504" s="25" t="n"/>
      <c r="E504" s="26" t="n"/>
      <c r="F504" s="25" t="n"/>
      <c r="G504" s="25" t="n"/>
      <c r="H504" s="25" t="n"/>
      <c r="I504" s="25" t="n"/>
      <c r="J504" s="25" t="n"/>
      <c r="K504" s="25" t="n"/>
      <c r="L504" s="27" t="n"/>
      <c r="M504" s="27" t="n"/>
      <c r="N504" s="27" t="n"/>
      <c r="O504" s="27" t="n"/>
      <c r="P504" s="28" t="n"/>
      <c r="Q504" s="29" t="n"/>
      <c r="R504" s="30">
        <f>IF(B504="","",IF(C504="IWP",COUNTIFS(Restricciones!$D$6:$D$305,B504,Restricciones!$F$6:$F$305,"Abierta")+COUNTIFS(Restricciones!$D$6:$D$305,B504,Restricciones!$F$6:$F$305,"En gestión"),IF(C504="CWA",COUNTIFS(Restricciones!$C$6:$C$305,"CWP-"&amp;MID(B504,5,4)&amp;"-*",Restricciones!$F$6:$F$305,"Abierta")+COUNTIFS(Restricciones!$C$6:$C$305,"CWP-"&amp;MID(B504,5,4)&amp;"-*",Restricciones!$F$6:$F$305,"En gestión"),COUNTIFS(Restricciones!$C$6:$C$305,IF(C504="CWP",B504,H504),Restricciones!$F$6:$F$305,"Abierta")+COUNTIFS(Restricciones!$C$6:$C$305,IF(C504="CWP",B504,H504),Restricciones!$F$6:$F$305,"En gestión"))))</f>
        <v/>
      </c>
      <c r="S504" s="30">
        <f>IF(OR(B504="",M504=""),"",IF(O504&lt;&gt;"",MAX(0,O504-M504),IF(AND($B$3&gt;M504,K504&lt;&gt;"Cerrado"),$B$3-M504,0)))</f>
        <v/>
      </c>
      <c r="T504" s="31">
        <f>IF(B504="","",IF(K504="Cerrado",IF(S504&gt;0,"Cerrado con atraso","Cerrado"),IF(S504&gt;0,"Atrasado",IF(AND(N504="",L504&lt;&gt;"",$B$3&gt;L504),"Inicio atrasado","En plazo"))))</f>
        <v/>
      </c>
      <c r="U504" s="26" t="n"/>
    </row>
    <row r="505">
      <c r="A505" s="24" t="n"/>
      <c r="B505" s="25" t="n"/>
      <c r="C505" s="25" t="n"/>
      <c r="D505" s="25" t="n"/>
      <c r="E505" s="26" t="n"/>
      <c r="F505" s="25" t="n"/>
      <c r="G505" s="25" t="n"/>
      <c r="H505" s="25" t="n"/>
      <c r="I505" s="25" t="n"/>
      <c r="J505" s="25" t="n"/>
      <c r="K505" s="25" t="n"/>
      <c r="L505" s="27" t="n"/>
      <c r="M505" s="27" t="n"/>
      <c r="N505" s="27" t="n"/>
      <c r="O505" s="27" t="n"/>
      <c r="P505" s="28" t="n"/>
      <c r="Q505" s="29" t="n"/>
      <c r="R505" s="30">
        <f>IF(B505="","",IF(C505="IWP",COUNTIFS(Restricciones!$D$6:$D$305,B505,Restricciones!$F$6:$F$305,"Abierta")+COUNTIFS(Restricciones!$D$6:$D$305,B505,Restricciones!$F$6:$F$305,"En gestión"),IF(C505="CWA",COUNTIFS(Restricciones!$C$6:$C$305,"CWP-"&amp;MID(B505,5,4)&amp;"-*",Restricciones!$F$6:$F$305,"Abierta")+COUNTIFS(Restricciones!$C$6:$C$305,"CWP-"&amp;MID(B505,5,4)&amp;"-*",Restricciones!$F$6:$F$305,"En gestión"),COUNTIFS(Restricciones!$C$6:$C$305,IF(C505="CWP",B505,H505),Restricciones!$F$6:$F$305,"Abierta")+COUNTIFS(Restricciones!$C$6:$C$305,IF(C505="CWP",B505,H505),Restricciones!$F$6:$F$305,"En gestión"))))</f>
        <v/>
      </c>
      <c r="S505" s="30">
        <f>IF(OR(B505="",M505=""),"",IF(O505&lt;&gt;"",MAX(0,O505-M505),IF(AND($B$3&gt;M505,K505&lt;&gt;"Cerrado"),$B$3-M505,0)))</f>
        <v/>
      </c>
      <c r="T505" s="31">
        <f>IF(B505="","",IF(K505="Cerrado",IF(S505&gt;0,"Cerrado con atraso","Cerrado"),IF(S505&gt;0,"Atrasado",IF(AND(N505="",L505&lt;&gt;"",$B$3&gt;L505),"Inicio atrasado","En plazo"))))</f>
        <v/>
      </c>
      <c r="U505" s="26" t="n"/>
    </row>
  </sheetData>
  <autoFilter ref="A5:U505"/>
  <conditionalFormatting sqref="S6:T505">
    <cfRule type="expression" priority="1" dxfId="0" stopIfTrue="1">
      <formula>OR($T6="Atrasado",$T6="Inicio atrasado")</formula>
    </cfRule>
    <cfRule type="expression" priority="2" dxfId="1" stopIfTrue="1">
      <formula>$T6="Cerrado con atraso"</formula>
    </cfRule>
    <cfRule type="expression" priority="3" dxfId="2" stopIfTrue="1">
      <formula>OR($T6="Cerrado",$T6="En plazo")</formula>
    </cfRule>
  </conditionalFormatting>
  <conditionalFormatting sqref="R6:R505">
    <cfRule type="expression" priority="4" dxfId="3" stopIfTrue="1">
      <formula>AND(ISNUMBER($R6),$R6&gt;0)</formula>
    </cfRule>
  </conditionalFormatting>
  <conditionalFormatting sqref="P6:P505">
    <cfRule type="dataBar" priority="5">
      <dataBar>
        <cfvo type="num" val="0"/>
        <cfvo type="num" val="1"/>
        <color rgb="005B9BD5"/>
      </dataBar>
    </cfRule>
  </conditionalFormatting>
  <dataValidations count="5">
    <dataValidation sqref="C6:C505" showDropDown="0" showInputMessage="0" showErrorMessage="1" allowBlank="1" errorTitle="Valor no válido" error="Seleccione un valor de la lista." prompt="Seleccione tipo" type="list">
      <formula1>=TiposPaquete</formula1>
    </dataValidation>
    <dataValidation sqref="D6:D505" showDropDown="0" showInputMessage="0" showErrorMessage="1" allowBlank="1" errorTitle="Valor no válido" error="Seleccione un valor de la lista." prompt="Seleccione fase del proyecto" type="list">
      <formula1>=Fases</formula1>
    </dataValidation>
    <dataValidation sqref="F6:F505" showDropDown="0" showInputMessage="0" showErrorMessage="1" allowBlank="1" errorTitle="Valor no válido" error="Seleccione un valor de la lista." prompt="Seleccione disciplina" type="list">
      <formula1>=Disciplinas</formula1>
    </dataValidation>
    <dataValidation sqref="J6:J505" showDropDown="0" showInputMessage="0" showErrorMessage="1" allowBlank="1" errorTitle="Valor no válido" error="Seleccione un valor de la lista." prompt="Seleccione responsable (rol)" type="list">
      <formula1>=Roles</formula1>
    </dataValidation>
    <dataValidation sqref="K6:K505" showDropDown="0" showInputMessage="0" showErrorMessage="1" allowBlank="1" errorTitle="Valor no válido" error="Seleccione un valor de la lista." prompt="Seleccione estado" type="list">
      <formula1>=EstadosPaquete</formula1>
    </dataValidation>
  </dataValidations>
  <printOptions horizontalCentered="1"/>
  <pageMargins left="0.4" right="0.4" top="0.6" bottom="0.6" header="0.5" footer="0.5"/>
  <pageSetup orientation="landscape" paperSize="9" fitToHeight="0" fitToWidth="1"/>
  <headerFooter>
    <oddHeader>&amp;L&amp;8 Kit de implementación AWP&amp;R&amp;8 Seguimiento de paquetes CWA · CWP · EWP · PWP · IWP</oddHeader>
    <oddFooter>&amp;L&amp;8 Proyecto Tipo (PT) – Complejo de instalaciones en tres fases&amp;R&amp;8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I26"/>
  <sheetViews>
    <sheetView tabSelected="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4" customHeight="1">
      <c r="A1" s="11" t="inlineStr">
        <is>
          <t>Resumen de paquetes por fase del proyecto</t>
        </is>
      </c>
    </row>
    <row r="2">
      <c r="A2" s="2" t="inlineStr">
        <is>
          <t>Proyecto Tipo (PT) – Complejo de instalaciones en tres fases. Calculado a partir de la hoja «Paquetes».</t>
        </is>
      </c>
    </row>
    <row r="4">
      <c r="A4" s="5" t="inlineStr">
        <is>
          <t>Fase 1 – Infraestructura y obras tempranas</t>
        </is>
      </c>
    </row>
    <row r="5" ht="32" customHeight="1">
      <c r="A5" s="14" t="inlineStr"/>
      <c r="B5" s="14" t="inlineStr">
        <is>
          <t>Total</t>
        </is>
      </c>
      <c r="C5" s="14" t="inlineStr">
        <is>
          <t>Planificados / en desarrollo</t>
        </is>
      </c>
      <c r="D5" s="14" t="inlineStr">
        <is>
          <t>Aprobados / liberados</t>
        </is>
      </c>
      <c r="E5" s="14" t="inlineStr">
        <is>
          <t>En ejecución</t>
        </is>
      </c>
      <c r="F5" s="14" t="inlineStr">
        <is>
          <t>Cerrados</t>
        </is>
      </c>
      <c r="G5" s="14" t="inlineStr">
        <is>
          <t>Atrasados</t>
        </is>
      </c>
      <c r="H5" s="14" t="inlineStr">
        <is>
          <t>Restricciones abiertas</t>
        </is>
      </c>
      <c r="I5" s="14" t="inlineStr">
        <is>
          <t>% avance promedio</t>
        </is>
      </c>
    </row>
    <row r="6">
      <c r="A6" s="32" t="inlineStr">
        <is>
          <t>CWA</t>
        </is>
      </c>
      <c r="B6" s="33">
        <f>COUNTIFS(Paquetes!$C$6:$C$505,$A6,Paquetes!$D$6:$D$505,"Fase 1")</f>
        <v/>
      </c>
      <c r="C6" s="33">
        <f>COUNTIFS(Paquetes!$C$6:$C$505,$A6,Paquetes!$D$6:$D$505,"Fase 1",Paquetes!$K$6:$K$505,"Planificado")+COUNTIFS(Paquetes!$C$6:$C$505,$A6,Paquetes!$D$6:$D$505,"Fase 1",Paquetes!$K$6:$K$505,"En desarrollo")+COUNTIFS(Paquetes!$C$6:$C$505,$A6,Paquetes!$D$6:$D$505,"Fase 1",Paquetes!$K$6:$K$505,"En revisión")</f>
        <v/>
      </c>
      <c r="D6" s="33">
        <f>COUNTIFS(Paquetes!$C$6:$C$505,$A6,Paquetes!$D$6:$D$505,"Fase 1",Paquetes!$K$6:$K$505,"Aprobado")+COUNTIFS(Paquetes!$C$6:$C$505,$A6,Paquetes!$D$6:$D$505,"Fase 1",Paquetes!$K$6:$K$505,"Liberado")</f>
        <v/>
      </c>
      <c r="E6" s="33">
        <f>COUNTIFS(Paquetes!$C$6:$C$505,$A6,Paquetes!$D$6:$D$505,"Fase 1",Paquetes!$K$6:$K$505,"En ejecución")</f>
        <v/>
      </c>
      <c r="F6" s="33">
        <f>COUNTIFS(Paquetes!$C$6:$C$505,$A6,Paquetes!$D$6:$D$505,"Fase 1",Paquetes!$K$6:$K$505,"Cerrado")</f>
        <v/>
      </c>
      <c r="G6" s="33">
        <f>COUNTIFS(Paquetes!$C$6:$C$505,$A6,Paquetes!$D$6:$D$505,"Fase 1",Paquetes!$T$6:$T$505,"Atrasado")+COUNTIFS(Paquetes!$C$6:$C$505,$A6,Paquetes!$D$6:$D$505,"Fase 1",Paquetes!$T$6:$T$505,"Inicio atrasado")</f>
        <v/>
      </c>
      <c r="H6" s="33">
        <f>SUMIFS(Paquetes!$R$6:$R$505,Paquetes!$C$6:$C$505,$A6,Paquetes!$D$6:$D$505,"Fase 1")</f>
        <v/>
      </c>
      <c r="I6" s="34">
        <f>IFERROR(AVERAGEIFS(Paquetes!$P$6:$P$505,Paquetes!$C$6:$C$505,$A6,Paquetes!$D$6:$D$505,"Fase 1"),"")</f>
        <v/>
      </c>
    </row>
    <row r="7">
      <c r="A7" s="32" t="inlineStr">
        <is>
          <t>CWP</t>
        </is>
      </c>
      <c r="B7" s="33">
        <f>COUNTIFS(Paquetes!$C$6:$C$505,$A7,Paquetes!$D$6:$D$505,"Fase 1")</f>
        <v/>
      </c>
      <c r="C7" s="33">
        <f>COUNTIFS(Paquetes!$C$6:$C$505,$A7,Paquetes!$D$6:$D$505,"Fase 1",Paquetes!$K$6:$K$505,"Planificado")+COUNTIFS(Paquetes!$C$6:$C$505,$A7,Paquetes!$D$6:$D$505,"Fase 1",Paquetes!$K$6:$K$505,"En desarrollo")+COUNTIFS(Paquetes!$C$6:$C$505,$A7,Paquetes!$D$6:$D$505,"Fase 1",Paquetes!$K$6:$K$505,"En revisión")</f>
        <v/>
      </c>
      <c r="D7" s="33">
        <f>COUNTIFS(Paquetes!$C$6:$C$505,$A7,Paquetes!$D$6:$D$505,"Fase 1",Paquetes!$K$6:$K$505,"Aprobado")+COUNTIFS(Paquetes!$C$6:$C$505,$A7,Paquetes!$D$6:$D$505,"Fase 1",Paquetes!$K$6:$K$505,"Liberado")</f>
        <v/>
      </c>
      <c r="E7" s="33">
        <f>COUNTIFS(Paquetes!$C$6:$C$505,$A7,Paquetes!$D$6:$D$505,"Fase 1",Paquetes!$K$6:$K$505,"En ejecución")</f>
        <v/>
      </c>
      <c r="F7" s="33">
        <f>COUNTIFS(Paquetes!$C$6:$C$505,$A7,Paquetes!$D$6:$D$505,"Fase 1",Paquetes!$K$6:$K$505,"Cerrado")</f>
        <v/>
      </c>
      <c r="G7" s="33">
        <f>COUNTIFS(Paquetes!$C$6:$C$505,$A7,Paquetes!$D$6:$D$505,"Fase 1",Paquetes!$T$6:$T$505,"Atrasado")+COUNTIFS(Paquetes!$C$6:$C$505,$A7,Paquetes!$D$6:$D$505,"Fase 1",Paquetes!$T$6:$T$505,"Inicio atrasado")</f>
        <v/>
      </c>
      <c r="H7" s="33">
        <f>SUMIFS(Paquetes!$R$6:$R$505,Paquetes!$C$6:$C$505,$A7,Paquetes!$D$6:$D$505,"Fase 1")</f>
        <v/>
      </c>
      <c r="I7" s="34">
        <f>IFERROR(AVERAGEIFS(Paquetes!$P$6:$P$505,Paquetes!$C$6:$C$505,$A7,Paquetes!$D$6:$D$505,"Fase 1"),"")</f>
        <v/>
      </c>
    </row>
    <row r="8">
      <c r="A8" s="32" t="inlineStr">
        <is>
          <t>EWP</t>
        </is>
      </c>
      <c r="B8" s="33">
        <f>COUNTIFS(Paquetes!$C$6:$C$505,$A8,Paquetes!$D$6:$D$505,"Fase 1")</f>
        <v/>
      </c>
      <c r="C8" s="33">
        <f>COUNTIFS(Paquetes!$C$6:$C$505,$A8,Paquetes!$D$6:$D$505,"Fase 1",Paquetes!$K$6:$K$505,"Planificado")+COUNTIFS(Paquetes!$C$6:$C$505,$A8,Paquetes!$D$6:$D$505,"Fase 1",Paquetes!$K$6:$K$505,"En desarrollo")+COUNTIFS(Paquetes!$C$6:$C$505,$A8,Paquetes!$D$6:$D$505,"Fase 1",Paquetes!$K$6:$K$505,"En revisión")</f>
        <v/>
      </c>
      <c r="D8" s="33">
        <f>COUNTIFS(Paquetes!$C$6:$C$505,$A8,Paquetes!$D$6:$D$505,"Fase 1",Paquetes!$K$6:$K$505,"Aprobado")+COUNTIFS(Paquetes!$C$6:$C$505,$A8,Paquetes!$D$6:$D$505,"Fase 1",Paquetes!$K$6:$K$505,"Liberado")</f>
        <v/>
      </c>
      <c r="E8" s="33">
        <f>COUNTIFS(Paquetes!$C$6:$C$505,$A8,Paquetes!$D$6:$D$505,"Fase 1",Paquetes!$K$6:$K$505,"En ejecución")</f>
        <v/>
      </c>
      <c r="F8" s="33">
        <f>COUNTIFS(Paquetes!$C$6:$C$505,$A8,Paquetes!$D$6:$D$505,"Fase 1",Paquetes!$K$6:$K$505,"Cerrado")</f>
        <v/>
      </c>
      <c r="G8" s="33">
        <f>COUNTIFS(Paquetes!$C$6:$C$505,$A8,Paquetes!$D$6:$D$505,"Fase 1",Paquetes!$T$6:$T$505,"Atrasado")+COUNTIFS(Paquetes!$C$6:$C$505,$A8,Paquetes!$D$6:$D$505,"Fase 1",Paquetes!$T$6:$T$505,"Inicio atrasado")</f>
        <v/>
      </c>
      <c r="H8" s="33">
        <f>SUMIFS(Paquetes!$R$6:$R$505,Paquetes!$C$6:$C$505,$A8,Paquetes!$D$6:$D$505,"Fase 1")</f>
        <v/>
      </c>
      <c r="I8" s="34">
        <f>IFERROR(AVERAGEIFS(Paquetes!$P$6:$P$505,Paquetes!$C$6:$C$505,$A8,Paquetes!$D$6:$D$505,"Fase 1"),"")</f>
        <v/>
      </c>
    </row>
    <row r="9">
      <c r="A9" s="32" t="inlineStr">
        <is>
          <t>PWP</t>
        </is>
      </c>
      <c r="B9" s="33">
        <f>COUNTIFS(Paquetes!$C$6:$C$505,$A9,Paquetes!$D$6:$D$505,"Fase 1")</f>
        <v/>
      </c>
      <c r="C9" s="33">
        <f>COUNTIFS(Paquetes!$C$6:$C$505,$A9,Paquetes!$D$6:$D$505,"Fase 1",Paquetes!$K$6:$K$505,"Planificado")+COUNTIFS(Paquetes!$C$6:$C$505,$A9,Paquetes!$D$6:$D$505,"Fase 1",Paquetes!$K$6:$K$505,"En desarrollo")+COUNTIFS(Paquetes!$C$6:$C$505,$A9,Paquetes!$D$6:$D$505,"Fase 1",Paquetes!$K$6:$K$505,"En revisión")</f>
        <v/>
      </c>
      <c r="D9" s="33">
        <f>COUNTIFS(Paquetes!$C$6:$C$505,$A9,Paquetes!$D$6:$D$505,"Fase 1",Paquetes!$K$6:$K$505,"Aprobado")+COUNTIFS(Paquetes!$C$6:$C$505,$A9,Paquetes!$D$6:$D$505,"Fase 1",Paquetes!$K$6:$K$505,"Liberado")</f>
        <v/>
      </c>
      <c r="E9" s="33">
        <f>COUNTIFS(Paquetes!$C$6:$C$505,$A9,Paquetes!$D$6:$D$505,"Fase 1",Paquetes!$K$6:$K$505,"En ejecución")</f>
        <v/>
      </c>
      <c r="F9" s="33">
        <f>COUNTIFS(Paquetes!$C$6:$C$505,$A9,Paquetes!$D$6:$D$505,"Fase 1",Paquetes!$K$6:$K$505,"Cerrado")</f>
        <v/>
      </c>
      <c r="G9" s="33">
        <f>COUNTIFS(Paquetes!$C$6:$C$505,$A9,Paquetes!$D$6:$D$505,"Fase 1",Paquetes!$T$6:$T$505,"Atrasado")+COUNTIFS(Paquetes!$C$6:$C$505,$A9,Paquetes!$D$6:$D$505,"Fase 1",Paquetes!$T$6:$T$505,"Inicio atrasado")</f>
        <v/>
      </c>
      <c r="H9" s="33">
        <f>SUMIFS(Paquetes!$R$6:$R$505,Paquetes!$C$6:$C$505,$A9,Paquetes!$D$6:$D$505,"Fase 1")</f>
        <v/>
      </c>
      <c r="I9" s="34">
        <f>IFERROR(AVERAGEIFS(Paquetes!$P$6:$P$505,Paquetes!$C$6:$C$505,$A9,Paquetes!$D$6:$D$505,"Fase 1"),"")</f>
        <v/>
      </c>
    </row>
    <row r="10">
      <c r="A10" s="32" t="inlineStr">
        <is>
          <t>IWP</t>
        </is>
      </c>
      <c r="B10" s="33">
        <f>COUNTIFS(Paquetes!$C$6:$C$505,$A10,Paquetes!$D$6:$D$505,"Fase 1")</f>
        <v/>
      </c>
      <c r="C10" s="33">
        <f>COUNTIFS(Paquetes!$C$6:$C$505,$A10,Paquetes!$D$6:$D$505,"Fase 1",Paquetes!$K$6:$K$505,"Planificado")+COUNTIFS(Paquetes!$C$6:$C$505,$A10,Paquetes!$D$6:$D$505,"Fase 1",Paquetes!$K$6:$K$505,"En desarrollo")+COUNTIFS(Paquetes!$C$6:$C$505,$A10,Paquetes!$D$6:$D$505,"Fase 1",Paquetes!$K$6:$K$505,"En revisión")</f>
        <v/>
      </c>
      <c r="D10" s="33">
        <f>COUNTIFS(Paquetes!$C$6:$C$505,$A10,Paquetes!$D$6:$D$505,"Fase 1",Paquetes!$K$6:$K$505,"Aprobado")+COUNTIFS(Paquetes!$C$6:$C$505,$A10,Paquetes!$D$6:$D$505,"Fase 1",Paquetes!$K$6:$K$505,"Liberado")</f>
        <v/>
      </c>
      <c r="E10" s="33">
        <f>COUNTIFS(Paquetes!$C$6:$C$505,$A10,Paquetes!$D$6:$D$505,"Fase 1",Paquetes!$K$6:$K$505,"En ejecución")</f>
        <v/>
      </c>
      <c r="F10" s="33">
        <f>COUNTIFS(Paquetes!$C$6:$C$505,$A10,Paquetes!$D$6:$D$505,"Fase 1",Paquetes!$K$6:$K$505,"Cerrado")</f>
        <v/>
      </c>
      <c r="G10" s="33">
        <f>COUNTIFS(Paquetes!$C$6:$C$505,$A10,Paquetes!$D$6:$D$505,"Fase 1",Paquetes!$T$6:$T$505,"Atrasado")+COUNTIFS(Paquetes!$C$6:$C$505,$A10,Paquetes!$D$6:$D$505,"Fase 1",Paquetes!$T$6:$T$505,"Inicio atrasado")</f>
        <v/>
      </c>
      <c r="H10" s="33">
        <f>SUMIFS(Paquetes!$R$6:$R$505,Paquetes!$C$6:$C$505,$A10,Paquetes!$D$6:$D$505,"Fase 1")</f>
        <v/>
      </c>
      <c r="I10" s="34">
        <f>IFERROR(AVERAGEIFS(Paquetes!$P$6:$P$505,Paquetes!$C$6:$C$505,$A10,Paquetes!$D$6:$D$505,"Fase 1"),"")</f>
        <v/>
      </c>
    </row>
    <row r="12">
      <c r="A12" s="5" t="inlineStr">
        <is>
          <t>Fase 2 – Instalación principal</t>
        </is>
      </c>
    </row>
    <row r="13" ht="32" customHeight="1">
      <c r="A13" s="14" t="inlineStr"/>
      <c r="B13" s="14" t="inlineStr">
        <is>
          <t>Total</t>
        </is>
      </c>
      <c r="C13" s="14" t="inlineStr">
        <is>
          <t>Planificados / en desarrollo</t>
        </is>
      </c>
      <c r="D13" s="14" t="inlineStr">
        <is>
          <t>Aprobados / liberados</t>
        </is>
      </c>
      <c r="E13" s="14" t="inlineStr">
        <is>
          <t>En ejecución</t>
        </is>
      </c>
      <c r="F13" s="14" t="inlineStr">
        <is>
          <t>Cerrados</t>
        </is>
      </c>
      <c r="G13" s="14" t="inlineStr">
        <is>
          <t>Atrasados</t>
        </is>
      </c>
      <c r="H13" s="14" t="inlineStr">
        <is>
          <t>Restricciones abiertas</t>
        </is>
      </c>
      <c r="I13" s="14" t="inlineStr">
        <is>
          <t>% avance promedio</t>
        </is>
      </c>
    </row>
    <row r="14">
      <c r="A14" s="32" t="inlineStr">
        <is>
          <t>CWA</t>
        </is>
      </c>
      <c r="B14" s="33">
        <f>COUNTIFS(Paquetes!$C$6:$C$505,$A14,Paquetes!$D$6:$D$505,"Fase 2")</f>
        <v/>
      </c>
      <c r="C14" s="33">
        <f>COUNTIFS(Paquetes!$C$6:$C$505,$A14,Paquetes!$D$6:$D$505,"Fase 2",Paquetes!$K$6:$K$505,"Planificado")+COUNTIFS(Paquetes!$C$6:$C$505,$A14,Paquetes!$D$6:$D$505,"Fase 2",Paquetes!$K$6:$K$505,"En desarrollo")+COUNTIFS(Paquetes!$C$6:$C$505,$A14,Paquetes!$D$6:$D$505,"Fase 2",Paquetes!$K$6:$K$505,"En revisión")</f>
        <v/>
      </c>
      <c r="D14" s="33">
        <f>COUNTIFS(Paquetes!$C$6:$C$505,$A14,Paquetes!$D$6:$D$505,"Fase 2",Paquetes!$K$6:$K$505,"Aprobado")+COUNTIFS(Paquetes!$C$6:$C$505,$A14,Paquetes!$D$6:$D$505,"Fase 2",Paquetes!$K$6:$K$505,"Liberado")</f>
        <v/>
      </c>
      <c r="E14" s="33">
        <f>COUNTIFS(Paquetes!$C$6:$C$505,$A14,Paquetes!$D$6:$D$505,"Fase 2",Paquetes!$K$6:$K$505,"En ejecución")</f>
        <v/>
      </c>
      <c r="F14" s="33">
        <f>COUNTIFS(Paquetes!$C$6:$C$505,$A14,Paquetes!$D$6:$D$505,"Fase 2",Paquetes!$K$6:$K$505,"Cerrado")</f>
        <v/>
      </c>
      <c r="G14" s="33">
        <f>COUNTIFS(Paquetes!$C$6:$C$505,$A14,Paquetes!$D$6:$D$505,"Fase 2",Paquetes!$T$6:$T$505,"Atrasado")+COUNTIFS(Paquetes!$C$6:$C$505,$A14,Paquetes!$D$6:$D$505,"Fase 2",Paquetes!$T$6:$T$505,"Inicio atrasado")</f>
        <v/>
      </c>
      <c r="H14" s="33">
        <f>SUMIFS(Paquetes!$R$6:$R$505,Paquetes!$C$6:$C$505,$A14,Paquetes!$D$6:$D$505,"Fase 2")</f>
        <v/>
      </c>
      <c r="I14" s="34">
        <f>IFERROR(AVERAGEIFS(Paquetes!$P$6:$P$505,Paquetes!$C$6:$C$505,$A14,Paquetes!$D$6:$D$505,"Fase 2"),"")</f>
        <v/>
      </c>
    </row>
    <row r="15">
      <c r="A15" s="32" t="inlineStr">
        <is>
          <t>CWP</t>
        </is>
      </c>
      <c r="B15" s="33">
        <f>COUNTIFS(Paquetes!$C$6:$C$505,$A15,Paquetes!$D$6:$D$505,"Fase 2")</f>
        <v/>
      </c>
      <c r="C15" s="33">
        <f>COUNTIFS(Paquetes!$C$6:$C$505,$A15,Paquetes!$D$6:$D$505,"Fase 2",Paquetes!$K$6:$K$505,"Planificado")+COUNTIFS(Paquetes!$C$6:$C$505,$A15,Paquetes!$D$6:$D$505,"Fase 2",Paquetes!$K$6:$K$505,"En desarrollo")+COUNTIFS(Paquetes!$C$6:$C$505,$A15,Paquetes!$D$6:$D$505,"Fase 2",Paquetes!$K$6:$K$505,"En revisión")</f>
        <v/>
      </c>
      <c r="D15" s="33">
        <f>COUNTIFS(Paquetes!$C$6:$C$505,$A15,Paquetes!$D$6:$D$505,"Fase 2",Paquetes!$K$6:$K$505,"Aprobado")+COUNTIFS(Paquetes!$C$6:$C$505,$A15,Paquetes!$D$6:$D$505,"Fase 2",Paquetes!$K$6:$K$505,"Liberado")</f>
        <v/>
      </c>
      <c r="E15" s="33">
        <f>COUNTIFS(Paquetes!$C$6:$C$505,$A15,Paquetes!$D$6:$D$505,"Fase 2",Paquetes!$K$6:$K$505,"En ejecución")</f>
        <v/>
      </c>
      <c r="F15" s="33">
        <f>COUNTIFS(Paquetes!$C$6:$C$505,$A15,Paquetes!$D$6:$D$505,"Fase 2",Paquetes!$K$6:$K$505,"Cerrado")</f>
        <v/>
      </c>
      <c r="G15" s="33">
        <f>COUNTIFS(Paquetes!$C$6:$C$505,$A15,Paquetes!$D$6:$D$505,"Fase 2",Paquetes!$T$6:$T$505,"Atrasado")+COUNTIFS(Paquetes!$C$6:$C$505,$A15,Paquetes!$D$6:$D$505,"Fase 2",Paquetes!$T$6:$T$505,"Inicio atrasado")</f>
        <v/>
      </c>
      <c r="H15" s="33">
        <f>SUMIFS(Paquetes!$R$6:$R$505,Paquetes!$C$6:$C$505,$A15,Paquetes!$D$6:$D$505,"Fase 2")</f>
        <v/>
      </c>
      <c r="I15" s="34">
        <f>IFERROR(AVERAGEIFS(Paquetes!$P$6:$P$505,Paquetes!$C$6:$C$505,$A15,Paquetes!$D$6:$D$505,"Fase 2"),"")</f>
        <v/>
      </c>
    </row>
    <row r="16">
      <c r="A16" s="32" t="inlineStr">
        <is>
          <t>EWP</t>
        </is>
      </c>
      <c r="B16" s="33">
        <f>COUNTIFS(Paquetes!$C$6:$C$505,$A16,Paquetes!$D$6:$D$505,"Fase 2")</f>
        <v/>
      </c>
      <c r="C16" s="33">
        <f>COUNTIFS(Paquetes!$C$6:$C$505,$A16,Paquetes!$D$6:$D$505,"Fase 2",Paquetes!$K$6:$K$505,"Planificado")+COUNTIFS(Paquetes!$C$6:$C$505,$A16,Paquetes!$D$6:$D$505,"Fase 2",Paquetes!$K$6:$K$505,"En desarrollo")+COUNTIFS(Paquetes!$C$6:$C$505,$A16,Paquetes!$D$6:$D$505,"Fase 2",Paquetes!$K$6:$K$505,"En revisión")</f>
        <v/>
      </c>
      <c r="D16" s="33">
        <f>COUNTIFS(Paquetes!$C$6:$C$505,$A16,Paquetes!$D$6:$D$505,"Fase 2",Paquetes!$K$6:$K$505,"Aprobado")+COUNTIFS(Paquetes!$C$6:$C$505,$A16,Paquetes!$D$6:$D$505,"Fase 2",Paquetes!$K$6:$K$505,"Liberado")</f>
        <v/>
      </c>
      <c r="E16" s="33">
        <f>COUNTIFS(Paquetes!$C$6:$C$505,$A16,Paquetes!$D$6:$D$505,"Fase 2",Paquetes!$K$6:$K$505,"En ejecución")</f>
        <v/>
      </c>
      <c r="F16" s="33">
        <f>COUNTIFS(Paquetes!$C$6:$C$505,$A16,Paquetes!$D$6:$D$505,"Fase 2",Paquetes!$K$6:$K$505,"Cerrado")</f>
        <v/>
      </c>
      <c r="G16" s="33">
        <f>COUNTIFS(Paquetes!$C$6:$C$505,$A16,Paquetes!$D$6:$D$505,"Fase 2",Paquetes!$T$6:$T$505,"Atrasado")+COUNTIFS(Paquetes!$C$6:$C$505,$A16,Paquetes!$D$6:$D$505,"Fase 2",Paquetes!$T$6:$T$505,"Inicio atrasado")</f>
        <v/>
      </c>
      <c r="H16" s="33">
        <f>SUMIFS(Paquetes!$R$6:$R$505,Paquetes!$C$6:$C$505,$A16,Paquetes!$D$6:$D$505,"Fase 2")</f>
        <v/>
      </c>
      <c r="I16" s="34">
        <f>IFERROR(AVERAGEIFS(Paquetes!$P$6:$P$505,Paquetes!$C$6:$C$505,$A16,Paquetes!$D$6:$D$505,"Fase 2"),"")</f>
        <v/>
      </c>
    </row>
    <row r="17">
      <c r="A17" s="32" t="inlineStr">
        <is>
          <t>PWP</t>
        </is>
      </c>
      <c r="B17" s="33">
        <f>COUNTIFS(Paquetes!$C$6:$C$505,$A17,Paquetes!$D$6:$D$505,"Fase 2")</f>
        <v/>
      </c>
      <c r="C17" s="33">
        <f>COUNTIFS(Paquetes!$C$6:$C$505,$A17,Paquetes!$D$6:$D$505,"Fase 2",Paquetes!$K$6:$K$505,"Planificado")+COUNTIFS(Paquetes!$C$6:$C$505,$A17,Paquetes!$D$6:$D$505,"Fase 2",Paquetes!$K$6:$K$505,"En desarrollo")+COUNTIFS(Paquetes!$C$6:$C$505,$A17,Paquetes!$D$6:$D$505,"Fase 2",Paquetes!$K$6:$K$505,"En revisión")</f>
        <v/>
      </c>
      <c r="D17" s="33">
        <f>COUNTIFS(Paquetes!$C$6:$C$505,$A17,Paquetes!$D$6:$D$505,"Fase 2",Paquetes!$K$6:$K$505,"Aprobado")+COUNTIFS(Paquetes!$C$6:$C$505,$A17,Paquetes!$D$6:$D$505,"Fase 2",Paquetes!$K$6:$K$505,"Liberado")</f>
        <v/>
      </c>
      <c r="E17" s="33">
        <f>COUNTIFS(Paquetes!$C$6:$C$505,$A17,Paquetes!$D$6:$D$505,"Fase 2",Paquetes!$K$6:$K$505,"En ejecución")</f>
        <v/>
      </c>
      <c r="F17" s="33">
        <f>COUNTIFS(Paquetes!$C$6:$C$505,$A17,Paquetes!$D$6:$D$505,"Fase 2",Paquetes!$K$6:$K$505,"Cerrado")</f>
        <v/>
      </c>
      <c r="G17" s="33">
        <f>COUNTIFS(Paquetes!$C$6:$C$505,$A17,Paquetes!$D$6:$D$505,"Fase 2",Paquetes!$T$6:$T$505,"Atrasado")+COUNTIFS(Paquetes!$C$6:$C$505,$A17,Paquetes!$D$6:$D$505,"Fase 2",Paquetes!$T$6:$T$505,"Inicio atrasado")</f>
        <v/>
      </c>
      <c r="H17" s="33">
        <f>SUMIFS(Paquetes!$R$6:$R$505,Paquetes!$C$6:$C$505,$A17,Paquetes!$D$6:$D$505,"Fase 2")</f>
        <v/>
      </c>
      <c r="I17" s="34">
        <f>IFERROR(AVERAGEIFS(Paquetes!$P$6:$P$505,Paquetes!$C$6:$C$505,$A17,Paquetes!$D$6:$D$505,"Fase 2"),"")</f>
        <v/>
      </c>
    </row>
    <row r="18">
      <c r="A18" s="32" t="inlineStr">
        <is>
          <t>IWP</t>
        </is>
      </c>
      <c r="B18" s="33">
        <f>COUNTIFS(Paquetes!$C$6:$C$505,$A18,Paquetes!$D$6:$D$505,"Fase 2")</f>
        <v/>
      </c>
      <c r="C18" s="33">
        <f>COUNTIFS(Paquetes!$C$6:$C$505,$A18,Paquetes!$D$6:$D$505,"Fase 2",Paquetes!$K$6:$K$505,"Planificado")+COUNTIFS(Paquetes!$C$6:$C$505,$A18,Paquetes!$D$6:$D$505,"Fase 2",Paquetes!$K$6:$K$505,"En desarrollo")+COUNTIFS(Paquetes!$C$6:$C$505,$A18,Paquetes!$D$6:$D$505,"Fase 2",Paquetes!$K$6:$K$505,"En revisión")</f>
        <v/>
      </c>
      <c r="D18" s="33">
        <f>COUNTIFS(Paquetes!$C$6:$C$505,$A18,Paquetes!$D$6:$D$505,"Fase 2",Paquetes!$K$6:$K$505,"Aprobado")+COUNTIFS(Paquetes!$C$6:$C$505,$A18,Paquetes!$D$6:$D$505,"Fase 2",Paquetes!$K$6:$K$505,"Liberado")</f>
        <v/>
      </c>
      <c r="E18" s="33">
        <f>COUNTIFS(Paquetes!$C$6:$C$505,$A18,Paquetes!$D$6:$D$505,"Fase 2",Paquetes!$K$6:$K$505,"En ejecución")</f>
        <v/>
      </c>
      <c r="F18" s="33">
        <f>COUNTIFS(Paquetes!$C$6:$C$505,$A18,Paquetes!$D$6:$D$505,"Fase 2",Paquetes!$K$6:$K$505,"Cerrado")</f>
        <v/>
      </c>
      <c r="G18" s="33">
        <f>COUNTIFS(Paquetes!$C$6:$C$505,$A18,Paquetes!$D$6:$D$505,"Fase 2",Paquetes!$T$6:$T$505,"Atrasado")+COUNTIFS(Paquetes!$C$6:$C$505,$A18,Paquetes!$D$6:$D$505,"Fase 2",Paquetes!$T$6:$T$505,"Inicio atrasado")</f>
        <v/>
      </c>
      <c r="H18" s="33">
        <f>SUMIFS(Paquetes!$R$6:$R$505,Paquetes!$C$6:$C$505,$A18,Paquetes!$D$6:$D$505,"Fase 2")</f>
        <v/>
      </c>
      <c r="I18" s="34">
        <f>IFERROR(AVERAGEIFS(Paquetes!$P$6:$P$505,Paquetes!$C$6:$C$505,$A18,Paquetes!$D$6:$D$505,"Fase 2"),"")</f>
        <v/>
      </c>
    </row>
    <row r="20">
      <c r="A20" s="5" t="inlineStr">
        <is>
          <t>Fase 3 – Edificaciones complementarias y ampliación</t>
        </is>
      </c>
    </row>
    <row r="21" ht="32" customHeight="1">
      <c r="A21" s="14" t="inlineStr"/>
      <c r="B21" s="14" t="inlineStr">
        <is>
          <t>Total</t>
        </is>
      </c>
      <c r="C21" s="14" t="inlineStr">
        <is>
          <t>Planificados / en desarrollo</t>
        </is>
      </c>
      <c r="D21" s="14" t="inlineStr">
        <is>
          <t>Aprobados / liberados</t>
        </is>
      </c>
      <c r="E21" s="14" t="inlineStr">
        <is>
          <t>En ejecución</t>
        </is>
      </c>
      <c r="F21" s="14" t="inlineStr">
        <is>
          <t>Cerrados</t>
        </is>
      </c>
      <c r="G21" s="14" t="inlineStr">
        <is>
          <t>Atrasados</t>
        </is>
      </c>
      <c r="H21" s="14" t="inlineStr">
        <is>
          <t>Restricciones abiertas</t>
        </is>
      </c>
      <c r="I21" s="14" t="inlineStr">
        <is>
          <t>% avance promedio</t>
        </is>
      </c>
    </row>
    <row r="22">
      <c r="A22" s="32" t="inlineStr">
        <is>
          <t>CWA</t>
        </is>
      </c>
      <c r="B22" s="33">
        <f>COUNTIFS(Paquetes!$C$6:$C$505,$A22,Paquetes!$D$6:$D$505,"Fase 3")</f>
        <v/>
      </c>
      <c r="C22" s="33">
        <f>COUNTIFS(Paquetes!$C$6:$C$505,$A22,Paquetes!$D$6:$D$505,"Fase 3",Paquetes!$K$6:$K$505,"Planificado")+COUNTIFS(Paquetes!$C$6:$C$505,$A22,Paquetes!$D$6:$D$505,"Fase 3",Paquetes!$K$6:$K$505,"En desarrollo")+COUNTIFS(Paquetes!$C$6:$C$505,$A22,Paquetes!$D$6:$D$505,"Fase 3",Paquetes!$K$6:$K$505,"En revisión")</f>
        <v/>
      </c>
      <c r="D22" s="33">
        <f>COUNTIFS(Paquetes!$C$6:$C$505,$A22,Paquetes!$D$6:$D$505,"Fase 3",Paquetes!$K$6:$K$505,"Aprobado")+COUNTIFS(Paquetes!$C$6:$C$505,$A22,Paquetes!$D$6:$D$505,"Fase 3",Paquetes!$K$6:$K$505,"Liberado")</f>
        <v/>
      </c>
      <c r="E22" s="33">
        <f>COUNTIFS(Paquetes!$C$6:$C$505,$A22,Paquetes!$D$6:$D$505,"Fase 3",Paquetes!$K$6:$K$505,"En ejecución")</f>
        <v/>
      </c>
      <c r="F22" s="33">
        <f>COUNTIFS(Paquetes!$C$6:$C$505,$A22,Paquetes!$D$6:$D$505,"Fase 3",Paquetes!$K$6:$K$505,"Cerrado")</f>
        <v/>
      </c>
      <c r="G22" s="33">
        <f>COUNTIFS(Paquetes!$C$6:$C$505,$A22,Paquetes!$D$6:$D$505,"Fase 3",Paquetes!$T$6:$T$505,"Atrasado")+COUNTIFS(Paquetes!$C$6:$C$505,$A22,Paquetes!$D$6:$D$505,"Fase 3",Paquetes!$T$6:$T$505,"Inicio atrasado")</f>
        <v/>
      </c>
      <c r="H22" s="33">
        <f>SUMIFS(Paquetes!$R$6:$R$505,Paquetes!$C$6:$C$505,$A22,Paquetes!$D$6:$D$505,"Fase 3")</f>
        <v/>
      </c>
      <c r="I22" s="34">
        <f>IFERROR(AVERAGEIFS(Paquetes!$P$6:$P$505,Paquetes!$C$6:$C$505,$A22,Paquetes!$D$6:$D$505,"Fase 3"),"")</f>
        <v/>
      </c>
    </row>
    <row r="23">
      <c r="A23" s="32" t="inlineStr">
        <is>
          <t>CWP</t>
        </is>
      </c>
      <c r="B23" s="33">
        <f>COUNTIFS(Paquetes!$C$6:$C$505,$A23,Paquetes!$D$6:$D$505,"Fase 3")</f>
        <v/>
      </c>
      <c r="C23" s="33">
        <f>COUNTIFS(Paquetes!$C$6:$C$505,$A23,Paquetes!$D$6:$D$505,"Fase 3",Paquetes!$K$6:$K$505,"Planificado")+COUNTIFS(Paquetes!$C$6:$C$505,$A23,Paquetes!$D$6:$D$505,"Fase 3",Paquetes!$K$6:$K$505,"En desarrollo")+COUNTIFS(Paquetes!$C$6:$C$505,$A23,Paquetes!$D$6:$D$505,"Fase 3",Paquetes!$K$6:$K$505,"En revisión")</f>
        <v/>
      </c>
      <c r="D23" s="33">
        <f>COUNTIFS(Paquetes!$C$6:$C$505,$A23,Paquetes!$D$6:$D$505,"Fase 3",Paquetes!$K$6:$K$505,"Aprobado")+COUNTIFS(Paquetes!$C$6:$C$505,$A23,Paquetes!$D$6:$D$505,"Fase 3",Paquetes!$K$6:$K$505,"Liberado")</f>
        <v/>
      </c>
      <c r="E23" s="33">
        <f>COUNTIFS(Paquetes!$C$6:$C$505,$A23,Paquetes!$D$6:$D$505,"Fase 3",Paquetes!$K$6:$K$505,"En ejecución")</f>
        <v/>
      </c>
      <c r="F23" s="33">
        <f>COUNTIFS(Paquetes!$C$6:$C$505,$A23,Paquetes!$D$6:$D$505,"Fase 3",Paquetes!$K$6:$K$505,"Cerrado")</f>
        <v/>
      </c>
      <c r="G23" s="33">
        <f>COUNTIFS(Paquetes!$C$6:$C$505,$A23,Paquetes!$D$6:$D$505,"Fase 3",Paquetes!$T$6:$T$505,"Atrasado")+COUNTIFS(Paquetes!$C$6:$C$505,$A23,Paquetes!$D$6:$D$505,"Fase 3",Paquetes!$T$6:$T$505,"Inicio atrasado")</f>
        <v/>
      </c>
      <c r="H23" s="33">
        <f>SUMIFS(Paquetes!$R$6:$R$505,Paquetes!$C$6:$C$505,$A23,Paquetes!$D$6:$D$505,"Fase 3")</f>
        <v/>
      </c>
      <c r="I23" s="34">
        <f>IFERROR(AVERAGEIFS(Paquetes!$P$6:$P$505,Paquetes!$C$6:$C$505,$A23,Paquetes!$D$6:$D$505,"Fase 3"),"")</f>
        <v/>
      </c>
    </row>
    <row r="24">
      <c r="A24" s="32" t="inlineStr">
        <is>
          <t>EWP</t>
        </is>
      </c>
      <c r="B24" s="33">
        <f>COUNTIFS(Paquetes!$C$6:$C$505,$A24,Paquetes!$D$6:$D$505,"Fase 3")</f>
        <v/>
      </c>
      <c r="C24" s="33">
        <f>COUNTIFS(Paquetes!$C$6:$C$505,$A24,Paquetes!$D$6:$D$505,"Fase 3",Paquetes!$K$6:$K$505,"Planificado")+COUNTIFS(Paquetes!$C$6:$C$505,$A24,Paquetes!$D$6:$D$505,"Fase 3",Paquetes!$K$6:$K$505,"En desarrollo")+COUNTIFS(Paquetes!$C$6:$C$505,$A24,Paquetes!$D$6:$D$505,"Fase 3",Paquetes!$K$6:$K$505,"En revisión")</f>
        <v/>
      </c>
      <c r="D24" s="33">
        <f>COUNTIFS(Paquetes!$C$6:$C$505,$A24,Paquetes!$D$6:$D$505,"Fase 3",Paquetes!$K$6:$K$505,"Aprobado")+COUNTIFS(Paquetes!$C$6:$C$505,$A24,Paquetes!$D$6:$D$505,"Fase 3",Paquetes!$K$6:$K$505,"Liberado")</f>
        <v/>
      </c>
      <c r="E24" s="33">
        <f>COUNTIFS(Paquetes!$C$6:$C$505,$A24,Paquetes!$D$6:$D$505,"Fase 3",Paquetes!$K$6:$K$505,"En ejecución")</f>
        <v/>
      </c>
      <c r="F24" s="33">
        <f>COUNTIFS(Paquetes!$C$6:$C$505,$A24,Paquetes!$D$6:$D$505,"Fase 3",Paquetes!$K$6:$K$505,"Cerrado")</f>
        <v/>
      </c>
      <c r="G24" s="33">
        <f>COUNTIFS(Paquetes!$C$6:$C$505,$A24,Paquetes!$D$6:$D$505,"Fase 3",Paquetes!$T$6:$T$505,"Atrasado")+COUNTIFS(Paquetes!$C$6:$C$505,$A24,Paquetes!$D$6:$D$505,"Fase 3",Paquetes!$T$6:$T$505,"Inicio atrasado")</f>
        <v/>
      </c>
      <c r="H24" s="33">
        <f>SUMIFS(Paquetes!$R$6:$R$505,Paquetes!$C$6:$C$505,$A24,Paquetes!$D$6:$D$505,"Fase 3")</f>
        <v/>
      </c>
      <c r="I24" s="34">
        <f>IFERROR(AVERAGEIFS(Paquetes!$P$6:$P$505,Paquetes!$C$6:$C$505,$A24,Paquetes!$D$6:$D$505,"Fase 3"),"")</f>
        <v/>
      </c>
    </row>
    <row r="25">
      <c r="A25" s="32" t="inlineStr">
        <is>
          <t>PWP</t>
        </is>
      </c>
      <c r="B25" s="33">
        <f>COUNTIFS(Paquetes!$C$6:$C$505,$A25,Paquetes!$D$6:$D$505,"Fase 3")</f>
        <v/>
      </c>
      <c r="C25" s="33">
        <f>COUNTIFS(Paquetes!$C$6:$C$505,$A25,Paquetes!$D$6:$D$505,"Fase 3",Paquetes!$K$6:$K$505,"Planificado")+COUNTIFS(Paquetes!$C$6:$C$505,$A25,Paquetes!$D$6:$D$505,"Fase 3",Paquetes!$K$6:$K$505,"En desarrollo")+COUNTIFS(Paquetes!$C$6:$C$505,$A25,Paquetes!$D$6:$D$505,"Fase 3",Paquetes!$K$6:$K$505,"En revisión")</f>
        <v/>
      </c>
      <c r="D25" s="33">
        <f>COUNTIFS(Paquetes!$C$6:$C$505,$A25,Paquetes!$D$6:$D$505,"Fase 3",Paquetes!$K$6:$K$505,"Aprobado")+COUNTIFS(Paquetes!$C$6:$C$505,$A25,Paquetes!$D$6:$D$505,"Fase 3",Paquetes!$K$6:$K$505,"Liberado")</f>
        <v/>
      </c>
      <c r="E25" s="33">
        <f>COUNTIFS(Paquetes!$C$6:$C$505,$A25,Paquetes!$D$6:$D$505,"Fase 3",Paquetes!$K$6:$K$505,"En ejecución")</f>
        <v/>
      </c>
      <c r="F25" s="33">
        <f>COUNTIFS(Paquetes!$C$6:$C$505,$A25,Paquetes!$D$6:$D$505,"Fase 3",Paquetes!$K$6:$K$505,"Cerrado")</f>
        <v/>
      </c>
      <c r="G25" s="33">
        <f>COUNTIFS(Paquetes!$C$6:$C$505,$A25,Paquetes!$D$6:$D$505,"Fase 3",Paquetes!$T$6:$T$505,"Atrasado")+COUNTIFS(Paquetes!$C$6:$C$505,$A25,Paquetes!$D$6:$D$505,"Fase 3",Paquetes!$T$6:$T$505,"Inicio atrasado")</f>
        <v/>
      </c>
      <c r="H25" s="33">
        <f>SUMIFS(Paquetes!$R$6:$R$505,Paquetes!$C$6:$C$505,$A25,Paquetes!$D$6:$D$505,"Fase 3")</f>
        <v/>
      </c>
      <c r="I25" s="34">
        <f>IFERROR(AVERAGEIFS(Paquetes!$P$6:$P$505,Paquetes!$C$6:$C$505,$A25,Paquetes!$D$6:$D$505,"Fase 3"),"")</f>
        <v/>
      </c>
    </row>
    <row r="26">
      <c r="A26" s="32" t="inlineStr">
        <is>
          <t>IWP</t>
        </is>
      </c>
      <c r="B26" s="33">
        <f>COUNTIFS(Paquetes!$C$6:$C$505,$A26,Paquetes!$D$6:$D$505,"Fase 3")</f>
        <v/>
      </c>
      <c r="C26" s="33">
        <f>COUNTIFS(Paquetes!$C$6:$C$505,$A26,Paquetes!$D$6:$D$505,"Fase 3",Paquetes!$K$6:$K$505,"Planificado")+COUNTIFS(Paquetes!$C$6:$C$505,$A26,Paquetes!$D$6:$D$505,"Fase 3",Paquetes!$K$6:$K$505,"En desarrollo")+COUNTIFS(Paquetes!$C$6:$C$505,$A26,Paquetes!$D$6:$D$505,"Fase 3",Paquetes!$K$6:$K$505,"En revisión")</f>
        <v/>
      </c>
      <c r="D26" s="33">
        <f>COUNTIFS(Paquetes!$C$6:$C$505,$A26,Paquetes!$D$6:$D$505,"Fase 3",Paquetes!$K$6:$K$505,"Aprobado")+COUNTIFS(Paquetes!$C$6:$C$505,$A26,Paquetes!$D$6:$D$505,"Fase 3",Paquetes!$K$6:$K$505,"Liberado")</f>
        <v/>
      </c>
      <c r="E26" s="33">
        <f>COUNTIFS(Paquetes!$C$6:$C$505,$A26,Paquetes!$D$6:$D$505,"Fase 3",Paquetes!$K$6:$K$505,"En ejecución")</f>
        <v/>
      </c>
      <c r="F26" s="33">
        <f>COUNTIFS(Paquetes!$C$6:$C$505,$A26,Paquetes!$D$6:$D$505,"Fase 3",Paquetes!$K$6:$K$505,"Cerrado")</f>
        <v/>
      </c>
      <c r="G26" s="33">
        <f>COUNTIFS(Paquetes!$C$6:$C$505,$A26,Paquetes!$D$6:$D$505,"Fase 3",Paquetes!$T$6:$T$505,"Atrasado")+COUNTIFS(Paquetes!$C$6:$C$505,$A26,Paquetes!$D$6:$D$505,"Fase 3",Paquetes!$T$6:$T$505,"Inicio atrasado")</f>
        <v/>
      </c>
      <c r="H26" s="33">
        <f>SUMIFS(Paquetes!$R$6:$R$505,Paquetes!$C$6:$C$505,$A26,Paquetes!$D$6:$D$505,"Fase 3")</f>
        <v/>
      </c>
      <c r="I26" s="34">
        <f>IFERROR(AVERAGEIFS(Paquetes!$P$6:$P$505,Paquetes!$C$6:$C$505,$A26,Paquetes!$D$6:$D$505,"Fase 3"),"")</f>
        <v/>
      </c>
    </row>
  </sheetData>
  <printOptions horizontalCentered="1"/>
  <pageMargins left="0.4" right="0.4" top="0.6" bottom="0.6" header="0.5" footer="0.5"/>
  <pageSetup orientation="landscape" paperSize="9" fitToHeight="0" fitToWidth="1"/>
  <headerFooter>
    <oddHeader>&amp;L&amp;8 Kit de implementación AWP&amp;R&amp;8 Resumen por fase</oddHeader>
    <oddFooter>&amp;L&amp;8 Proyecto Tipo (PT) – Complejo de instalaciones en tres fases&amp;R&amp;8 Página &amp;P de &amp;N</oddFooter>
    <evenHeader/>
    <evenFooter/>
    <firstHeader/>
    <firstFooter/>
  </headerFooter>
</worksheet>
</file>

<file path=xl/worksheets/sheet4.xml><?xml version="1.0" encoding="utf-8"?>
<worksheet xmlns="http://schemas.openxmlformats.org/spreadsheetml/2006/main">
  <sheetPr>
    <tabColor rgb="001F3864"/>
    <outlinePr summaryBelow="1" summaryRight="1"/>
    <pageSetUpPr fitToPage="1"/>
  </sheetPr>
  <dimension ref="A1:F305"/>
  <sheetViews>
    <sheetView tabSelected="0" workbookViewId="0">
      <pane xSplit="1" ySplit="5" topLeftCell="B6" activePane="bottomRight" state="frozen"/>
      <selection pane="topRight"/>
      <selection pane="bottomLeft"/>
      <selection pane="bottomRight" activeCell="A1" sqref="A1"/>
    </sheetView>
  </sheetViews>
  <sheetFormatPr baseColWidth="8" defaultRowHeight="15"/>
  <cols>
    <col width="9" customWidth="1" min="1" max="1"/>
    <col width="11" customWidth="1" min="2" max="2"/>
    <col width="17" customWidth="1" min="3" max="3"/>
    <col width="21" customWidth="1" min="4" max="4"/>
    <col width="22" customWidth="1" min="5" max="5"/>
    <col width="12" customWidth="1" min="6" max="6"/>
  </cols>
  <sheetData>
    <row r="1" ht="24" customHeight="1">
      <c r="A1" s="11" t="inlineStr">
        <is>
          <t>Restricciones (copia del registro)</t>
        </is>
      </c>
    </row>
    <row r="2">
      <c r="A2" s="2" t="inlineStr">
        <is>
          <t>Pegue aquí (solo valores) las columnas ID, Fase, CWP, IWP, Tipo y Estado de Registro_Restricciones.xlsx. Las filas amarillas son de ejemplo.</t>
        </is>
      </c>
    </row>
    <row r="5" ht="42" customHeight="1">
      <c r="A5" s="14" t="inlineStr">
        <is>
          <t>ID</t>
        </is>
      </c>
      <c r="B5" s="14" t="inlineStr">
        <is>
          <t>Fase del proyecto</t>
        </is>
      </c>
      <c r="C5" s="14" t="inlineStr">
        <is>
          <t>CWP relacionado</t>
        </is>
      </c>
      <c r="D5" s="14" t="inlineStr">
        <is>
          <t>IWP relacionado</t>
        </is>
      </c>
      <c r="E5" s="14" t="inlineStr">
        <is>
          <t>Tipo de restricción</t>
        </is>
      </c>
      <c r="F5" s="14" t="inlineStr">
        <is>
          <t>Estado</t>
        </is>
      </c>
    </row>
    <row r="6">
      <c r="A6" s="17" t="inlineStr">
        <is>
          <t>R-0001</t>
        </is>
      </c>
      <c r="B6" s="17" t="inlineStr">
        <is>
          <t>Fase 1</t>
        </is>
      </c>
      <c r="C6" s="17" t="inlineStr">
        <is>
          <t>CWP-1.01-CIV-01</t>
        </is>
      </c>
      <c r="D6" s="17" t="inlineStr">
        <is>
          <t>IWP-1.01-CIV-01-001</t>
        </is>
      </c>
      <c r="E6" s="17" t="inlineStr">
        <is>
          <t>Permisos</t>
        </is>
      </c>
      <c r="F6" s="17" t="inlineStr">
        <is>
          <t>Liberada</t>
        </is>
      </c>
    </row>
    <row r="7">
      <c r="A7" s="17" t="inlineStr">
        <is>
          <t>R-0002</t>
        </is>
      </c>
      <c r="B7" s="17" t="inlineStr">
        <is>
          <t>Fase 1</t>
        </is>
      </c>
      <c r="C7" s="17" t="inlineStr">
        <is>
          <t>CWP-1.02-TUB-01</t>
        </is>
      </c>
      <c r="D7" s="17" t="inlineStr">
        <is>
          <t>IWP-1.02-TUB-01-001</t>
        </is>
      </c>
      <c r="E7" s="17" t="inlineStr">
        <is>
          <t>Materiales</t>
        </is>
      </c>
      <c r="F7" s="17" t="inlineStr">
        <is>
          <t>Liberada</t>
        </is>
      </c>
    </row>
    <row r="8">
      <c r="A8" s="17" t="inlineStr">
        <is>
          <t>R-0003</t>
        </is>
      </c>
      <c r="B8" s="17" t="inlineStr">
        <is>
          <t>Fase 1</t>
        </is>
      </c>
      <c r="C8" s="17" t="inlineStr">
        <is>
          <t>CWP-1.02-ELE-01</t>
        </is>
      </c>
      <c r="D8" s="17" t="inlineStr">
        <is>
          <t>IWP-1.02-ELE-01-001</t>
        </is>
      </c>
      <c r="E8" s="17" t="inlineStr">
        <is>
          <t>Trabajos predecesores</t>
        </is>
      </c>
      <c r="F8" s="17" t="inlineStr">
        <is>
          <t>Liberada</t>
        </is>
      </c>
    </row>
    <row r="9">
      <c r="A9" s="17" t="inlineStr">
        <is>
          <t>R-0004</t>
        </is>
      </c>
      <c r="B9" s="17" t="inlineStr">
        <is>
          <t>Fase 2</t>
        </is>
      </c>
      <c r="C9" s="17" t="inlineStr">
        <is>
          <t>CWP-2.01-CIV-01</t>
        </is>
      </c>
      <c r="D9" s="17" t="inlineStr">
        <is>
          <t>IWP-2.01-CIV-01-001</t>
        </is>
      </c>
      <c r="E9" s="17" t="inlineStr">
        <is>
          <t>Ingeniería</t>
        </is>
      </c>
      <c r="F9" s="17" t="inlineStr">
        <is>
          <t>Liberada</t>
        </is>
      </c>
    </row>
    <row r="10">
      <c r="A10" s="17" t="inlineStr">
        <is>
          <t>R-0005</t>
        </is>
      </c>
      <c r="B10" s="17" t="inlineStr">
        <is>
          <t>Fase 2</t>
        </is>
      </c>
      <c r="C10" s="17" t="inlineStr">
        <is>
          <t>CWP-2.01-EST-01</t>
        </is>
      </c>
      <c r="D10" s="17" t="inlineStr">
        <is>
          <t>IWP-2.01-EST-01-001</t>
        </is>
      </c>
      <c r="E10" s="17" t="inlineStr">
        <is>
          <t>Equipos de construcción</t>
        </is>
      </c>
      <c r="F10" s="17" t="inlineStr">
        <is>
          <t>En gestión</t>
        </is>
      </c>
    </row>
    <row r="11">
      <c r="A11" s="17" t="inlineStr">
        <is>
          <t>R-0006</t>
        </is>
      </c>
      <c r="B11" s="17" t="inlineStr">
        <is>
          <t>Fase 2</t>
        </is>
      </c>
      <c r="C11" s="17" t="inlineStr">
        <is>
          <t>CWP-2.01-TUB-01</t>
        </is>
      </c>
      <c r="D11" s="17" t="inlineStr">
        <is>
          <t>IWP-2.01-TUB-01-001</t>
        </is>
      </c>
      <c r="E11" s="17" t="inlineStr">
        <is>
          <t>Documentación del proveedor</t>
        </is>
      </c>
      <c r="F11" s="17" t="inlineStr">
        <is>
          <t>Abierta</t>
        </is>
      </c>
    </row>
    <row r="12">
      <c r="A12" s="17" t="inlineStr">
        <is>
          <t>R-0007</t>
        </is>
      </c>
      <c r="B12" s="17" t="inlineStr">
        <is>
          <t>Fase 2</t>
        </is>
      </c>
      <c r="C12" s="17" t="inlineStr">
        <is>
          <t>CWP-2.03-ELE-01</t>
        </is>
      </c>
      <c r="D12" s="17" t="inlineStr">
        <is>
          <t>IWP-2.03-ELE-01-001</t>
        </is>
      </c>
      <c r="E12" s="17" t="inlineStr">
        <is>
          <t>Andamios</t>
        </is>
      </c>
      <c r="F12" s="17" t="inlineStr">
        <is>
          <t>En gestión</t>
        </is>
      </c>
    </row>
    <row r="13">
      <c r="A13" s="17" t="inlineStr">
        <is>
          <t>R-0008</t>
        </is>
      </c>
      <c r="B13" s="17" t="inlineStr">
        <is>
          <t>Fase 2</t>
        </is>
      </c>
      <c r="C13" s="17" t="inlineStr">
        <is>
          <t>CWP-2.01-EST-01</t>
        </is>
      </c>
      <c r="D13" s="17" t="inlineStr">
        <is>
          <t>IWP-2.01-EST-01-001</t>
        </is>
      </c>
      <c r="E13" s="17" t="inlineStr">
        <is>
          <t>HSE</t>
        </is>
      </c>
      <c r="F13" s="17" t="inlineStr">
        <is>
          <t>Abierta</t>
        </is>
      </c>
    </row>
    <row r="14">
      <c r="A14" s="17" t="inlineStr">
        <is>
          <t>R-0009</t>
        </is>
      </c>
      <c r="B14" s="17" t="inlineStr">
        <is>
          <t>Fase 3</t>
        </is>
      </c>
      <c r="C14" s="17" t="inlineStr">
        <is>
          <t>CWP-3.02-TUB-01</t>
        </is>
      </c>
      <c r="D14" s="17" t="inlineStr">
        <is>
          <t>IWP-3.02-TUB-01-001</t>
        </is>
      </c>
      <c r="E14" s="17" t="inlineStr">
        <is>
          <t>Interfaz entre fases</t>
        </is>
      </c>
      <c r="F14" s="17" t="inlineStr">
        <is>
          <t>Abierta</t>
        </is>
      </c>
    </row>
    <row r="15">
      <c r="A15" s="17" t="inlineStr">
        <is>
          <t>R-0010</t>
        </is>
      </c>
      <c r="B15" s="17" t="inlineStr">
        <is>
          <t>Fase 3</t>
        </is>
      </c>
      <c r="C15" s="17" t="inlineStr">
        <is>
          <t>CWP-3.01-ARQ-01</t>
        </is>
      </c>
      <c r="D15" s="17" t="inlineStr">
        <is>
          <t>IWP-3.01-ARQ-01-001</t>
        </is>
      </c>
      <c r="E15" s="17" t="inlineStr">
        <is>
          <t>Ingeniería</t>
        </is>
      </c>
      <c r="F15" s="17" t="inlineStr">
        <is>
          <t>Abierta</t>
        </is>
      </c>
    </row>
    <row r="16">
      <c r="A16" s="25" t="n"/>
      <c r="B16" s="25" t="n"/>
      <c r="C16" s="25" t="n"/>
      <c r="D16" s="25" t="n"/>
      <c r="E16" s="25" t="n"/>
      <c r="F16" s="25" t="n"/>
    </row>
    <row r="17">
      <c r="A17" s="25" t="n"/>
      <c r="B17" s="25" t="n"/>
      <c r="C17" s="25" t="n"/>
      <c r="D17" s="25" t="n"/>
      <c r="E17" s="25" t="n"/>
      <c r="F17" s="25" t="n"/>
    </row>
    <row r="18">
      <c r="A18" s="25" t="n"/>
      <c r="B18" s="25" t="n"/>
      <c r="C18" s="25" t="n"/>
      <c r="D18" s="25" t="n"/>
      <c r="E18" s="25" t="n"/>
      <c r="F18" s="25" t="n"/>
    </row>
    <row r="19">
      <c r="A19" s="25" t="n"/>
      <c r="B19" s="25" t="n"/>
      <c r="C19" s="25" t="n"/>
      <c r="D19" s="25" t="n"/>
      <c r="E19" s="25" t="n"/>
      <c r="F19" s="25" t="n"/>
    </row>
    <row r="20">
      <c r="A20" s="25" t="n"/>
      <c r="B20" s="25" t="n"/>
      <c r="C20" s="25" t="n"/>
      <c r="D20" s="25" t="n"/>
      <c r="E20" s="25" t="n"/>
      <c r="F20" s="25" t="n"/>
    </row>
    <row r="21">
      <c r="A21" s="25" t="n"/>
      <c r="B21" s="25" t="n"/>
      <c r="C21" s="25" t="n"/>
      <c r="D21" s="25" t="n"/>
      <c r="E21" s="25" t="n"/>
      <c r="F21" s="25" t="n"/>
    </row>
    <row r="22">
      <c r="A22" s="25" t="n"/>
      <c r="B22" s="25" t="n"/>
      <c r="C22" s="25" t="n"/>
      <c r="D22" s="25" t="n"/>
      <c r="E22" s="25" t="n"/>
      <c r="F22" s="25" t="n"/>
    </row>
    <row r="23">
      <c r="A23" s="25" t="n"/>
      <c r="B23" s="25" t="n"/>
      <c r="C23" s="25" t="n"/>
      <c r="D23" s="25" t="n"/>
      <c r="E23" s="25" t="n"/>
      <c r="F23" s="25" t="n"/>
    </row>
    <row r="24">
      <c r="A24" s="25" t="n"/>
      <c r="B24" s="25" t="n"/>
      <c r="C24" s="25" t="n"/>
      <c r="D24" s="25" t="n"/>
      <c r="E24" s="25" t="n"/>
      <c r="F24" s="25" t="n"/>
    </row>
    <row r="25">
      <c r="A25" s="25" t="n"/>
      <c r="B25" s="25" t="n"/>
      <c r="C25" s="25" t="n"/>
      <c r="D25" s="25" t="n"/>
      <c r="E25" s="25" t="n"/>
      <c r="F25" s="25" t="n"/>
    </row>
    <row r="26">
      <c r="A26" s="25" t="n"/>
      <c r="B26" s="25" t="n"/>
      <c r="C26" s="25" t="n"/>
      <c r="D26" s="25" t="n"/>
      <c r="E26" s="25" t="n"/>
      <c r="F26" s="25" t="n"/>
    </row>
    <row r="27">
      <c r="A27" s="25" t="n"/>
      <c r="B27" s="25" t="n"/>
      <c r="C27" s="25" t="n"/>
      <c r="D27" s="25" t="n"/>
      <c r="E27" s="25" t="n"/>
      <c r="F27" s="25" t="n"/>
    </row>
    <row r="28">
      <c r="A28" s="25" t="n"/>
      <c r="B28" s="25" t="n"/>
      <c r="C28" s="25" t="n"/>
      <c r="D28" s="25" t="n"/>
      <c r="E28" s="25" t="n"/>
      <c r="F28" s="25" t="n"/>
    </row>
    <row r="29">
      <c r="A29" s="25" t="n"/>
      <c r="B29" s="25" t="n"/>
      <c r="C29" s="25" t="n"/>
      <c r="D29" s="25" t="n"/>
      <c r="E29" s="25" t="n"/>
      <c r="F29" s="25" t="n"/>
    </row>
    <row r="30">
      <c r="A30" s="25" t="n"/>
      <c r="B30" s="25" t="n"/>
      <c r="C30" s="25" t="n"/>
      <c r="D30" s="25" t="n"/>
      <c r="E30" s="25" t="n"/>
      <c r="F30" s="25" t="n"/>
    </row>
    <row r="31">
      <c r="A31" s="25" t="n"/>
      <c r="B31" s="25" t="n"/>
      <c r="C31" s="25" t="n"/>
      <c r="D31" s="25" t="n"/>
      <c r="E31" s="25" t="n"/>
      <c r="F31" s="25" t="n"/>
    </row>
    <row r="32">
      <c r="A32" s="25" t="n"/>
      <c r="B32" s="25" t="n"/>
      <c r="C32" s="25" t="n"/>
      <c r="D32" s="25" t="n"/>
      <c r="E32" s="25" t="n"/>
      <c r="F32" s="25" t="n"/>
    </row>
    <row r="33">
      <c r="A33" s="25" t="n"/>
      <c r="B33" s="25" t="n"/>
      <c r="C33" s="25" t="n"/>
      <c r="D33" s="25" t="n"/>
      <c r="E33" s="25" t="n"/>
      <c r="F33" s="25" t="n"/>
    </row>
    <row r="34">
      <c r="A34" s="25" t="n"/>
      <c r="B34" s="25" t="n"/>
      <c r="C34" s="25" t="n"/>
      <c r="D34" s="25" t="n"/>
      <c r="E34" s="25" t="n"/>
      <c r="F34" s="25" t="n"/>
    </row>
    <row r="35">
      <c r="A35" s="25" t="n"/>
      <c r="B35" s="25" t="n"/>
      <c r="C35" s="25" t="n"/>
      <c r="D35" s="25" t="n"/>
      <c r="E35" s="25" t="n"/>
      <c r="F35" s="25" t="n"/>
    </row>
    <row r="36">
      <c r="A36" s="25" t="n"/>
      <c r="B36" s="25" t="n"/>
      <c r="C36" s="25" t="n"/>
      <c r="D36" s="25" t="n"/>
      <c r="E36" s="25" t="n"/>
      <c r="F36" s="25" t="n"/>
    </row>
    <row r="37">
      <c r="A37" s="25" t="n"/>
      <c r="B37" s="25" t="n"/>
      <c r="C37" s="25" t="n"/>
      <c r="D37" s="25" t="n"/>
      <c r="E37" s="25" t="n"/>
      <c r="F37" s="25" t="n"/>
    </row>
    <row r="38">
      <c r="A38" s="25" t="n"/>
      <c r="B38" s="25" t="n"/>
      <c r="C38" s="25" t="n"/>
      <c r="D38" s="25" t="n"/>
      <c r="E38" s="25" t="n"/>
      <c r="F38" s="25" t="n"/>
    </row>
    <row r="39">
      <c r="A39" s="25" t="n"/>
      <c r="B39" s="25" t="n"/>
      <c r="C39" s="25" t="n"/>
      <c r="D39" s="25" t="n"/>
      <c r="E39" s="25" t="n"/>
      <c r="F39" s="25" t="n"/>
    </row>
    <row r="40">
      <c r="A40" s="25" t="n"/>
      <c r="B40" s="25" t="n"/>
      <c r="C40" s="25" t="n"/>
      <c r="D40" s="25" t="n"/>
      <c r="E40" s="25" t="n"/>
      <c r="F40" s="25" t="n"/>
    </row>
    <row r="41">
      <c r="A41" s="25" t="n"/>
      <c r="B41" s="25" t="n"/>
      <c r="C41" s="25" t="n"/>
      <c r="D41" s="25" t="n"/>
      <c r="E41" s="25" t="n"/>
      <c r="F41" s="25" t="n"/>
    </row>
    <row r="42">
      <c r="A42" s="25" t="n"/>
      <c r="B42" s="25" t="n"/>
      <c r="C42" s="25" t="n"/>
      <c r="D42" s="25" t="n"/>
      <c r="E42" s="25" t="n"/>
      <c r="F42" s="25" t="n"/>
    </row>
    <row r="43">
      <c r="A43" s="25" t="n"/>
      <c r="B43" s="25" t="n"/>
      <c r="C43" s="25" t="n"/>
      <c r="D43" s="25" t="n"/>
      <c r="E43" s="25" t="n"/>
      <c r="F43" s="25" t="n"/>
    </row>
    <row r="44">
      <c r="A44" s="25" t="n"/>
      <c r="B44" s="25" t="n"/>
      <c r="C44" s="25" t="n"/>
      <c r="D44" s="25" t="n"/>
      <c r="E44" s="25" t="n"/>
      <c r="F44" s="25" t="n"/>
    </row>
    <row r="45">
      <c r="A45" s="25" t="n"/>
      <c r="B45" s="25" t="n"/>
      <c r="C45" s="25" t="n"/>
      <c r="D45" s="25" t="n"/>
      <c r="E45" s="25" t="n"/>
      <c r="F45" s="25" t="n"/>
    </row>
    <row r="46">
      <c r="A46" s="25" t="n"/>
      <c r="B46" s="25" t="n"/>
      <c r="C46" s="25" t="n"/>
      <c r="D46" s="25" t="n"/>
      <c r="E46" s="25" t="n"/>
      <c r="F46" s="25" t="n"/>
    </row>
    <row r="47">
      <c r="A47" s="25" t="n"/>
      <c r="B47" s="25" t="n"/>
      <c r="C47" s="25" t="n"/>
      <c r="D47" s="25" t="n"/>
      <c r="E47" s="25" t="n"/>
      <c r="F47" s="25" t="n"/>
    </row>
    <row r="48">
      <c r="A48" s="25" t="n"/>
      <c r="B48" s="25" t="n"/>
      <c r="C48" s="25" t="n"/>
      <c r="D48" s="25" t="n"/>
      <c r="E48" s="25" t="n"/>
      <c r="F48" s="25" t="n"/>
    </row>
    <row r="49">
      <c r="A49" s="25" t="n"/>
      <c r="B49" s="25" t="n"/>
      <c r="C49" s="25" t="n"/>
      <c r="D49" s="25" t="n"/>
      <c r="E49" s="25" t="n"/>
      <c r="F49" s="25" t="n"/>
    </row>
    <row r="50">
      <c r="A50" s="25" t="n"/>
      <c r="B50" s="25" t="n"/>
      <c r="C50" s="25" t="n"/>
      <c r="D50" s="25" t="n"/>
      <c r="E50" s="25" t="n"/>
      <c r="F50" s="25" t="n"/>
    </row>
    <row r="51">
      <c r="A51" s="25" t="n"/>
      <c r="B51" s="25" t="n"/>
      <c r="C51" s="25" t="n"/>
      <c r="D51" s="25" t="n"/>
      <c r="E51" s="25" t="n"/>
      <c r="F51" s="25" t="n"/>
    </row>
    <row r="52">
      <c r="A52" s="25" t="n"/>
      <c r="B52" s="25" t="n"/>
      <c r="C52" s="25" t="n"/>
      <c r="D52" s="25" t="n"/>
      <c r="E52" s="25" t="n"/>
      <c r="F52" s="25" t="n"/>
    </row>
    <row r="53">
      <c r="A53" s="25" t="n"/>
      <c r="B53" s="25" t="n"/>
      <c r="C53" s="25" t="n"/>
      <c r="D53" s="25" t="n"/>
      <c r="E53" s="25" t="n"/>
      <c r="F53" s="25" t="n"/>
    </row>
    <row r="54">
      <c r="A54" s="25" t="n"/>
      <c r="B54" s="25" t="n"/>
      <c r="C54" s="25" t="n"/>
      <c r="D54" s="25" t="n"/>
      <c r="E54" s="25" t="n"/>
      <c r="F54" s="25" t="n"/>
    </row>
    <row r="55">
      <c r="A55" s="25" t="n"/>
      <c r="B55" s="25" t="n"/>
      <c r="C55" s="25" t="n"/>
      <c r="D55" s="25" t="n"/>
      <c r="E55" s="25" t="n"/>
      <c r="F55" s="25" t="n"/>
    </row>
    <row r="56">
      <c r="A56" s="25" t="n"/>
      <c r="B56" s="25" t="n"/>
      <c r="C56" s="25" t="n"/>
      <c r="D56" s="25" t="n"/>
      <c r="E56" s="25" t="n"/>
      <c r="F56" s="25" t="n"/>
    </row>
    <row r="57">
      <c r="A57" s="25" t="n"/>
      <c r="B57" s="25" t="n"/>
      <c r="C57" s="25" t="n"/>
      <c r="D57" s="25" t="n"/>
      <c r="E57" s="25" t="n"/>
      <c r="F57" s="25" t="n"/>
    </row>
    <row r="58">
      <c r="A58" s="25" t="n"/>
      <c r="B58" s="25" t="n"/>
      <c r="C58" s="25" t="n"/>
      <c r="D58" s="25" t="n"/>
      <c r="E58" s="25" t="n"/>
      <c r="F58" s="25" t="n"/>
    </row>
    <row r="59">
      <c r="A59" s="25" t="n"/>
      <c r="B59" s="25" t="n"/>
      <c r="C59" s="25" t="n"/>
      <c r="D59" s="25" t="n"/>
      <c r="E59" s="25" t="n"/>
      <c r="F59" s="25" t="n"/>
    </row>
    <row r="60">
      <c r="A60" s="25" t="n"/>
      <c r="B60" s="25" t="n"/>
      <c r="C60" s="25" t="n"/>
      <c r="D60" s="25" t="n"/>
      <c r="E60" s="25" t="n"/>
      <c r="F60" s="25" t="n"/>
    </row>
    <row r="61">
      <c r="A61" s="25" t="n"/>
      <c r="B61" s="25" t="n"/>
      <c r="C61" s="25" t="n"/>
      <c r="D61" s="25" t="n"/>
      <c r="E61" s="25" t="n"/>
      <c r="F61" s="25" t="n"/>
    </row>
    <row r="62">
      <c r="A62" s="25" t="n"/>
      <c r="B62" s="25" t="n"/>
      <c r="C62" s="25" t="n"/>
      <c r="D62" s="25" t="n"/>
      <c r="E62" s="25" t="n"/>
      <c r="F62" s="25" t="n"/>
    </row>
    <row r="63">
      <c r="A63" s="25" t="n"/>
      <c r="B63" s="25" t="n"/>
      <c r="C63" s="25" t="n"/>
      <c r="D63" s="25" t="n"/>
      <c r="E63" s="25" t="n"/>
      <c r="F63" s="25" t="n"/>
    </row>
    <row r="64">
      <c r="A64" s="25" t="n"/>
      <c r="B64" s="25" t="n"/>
      <c r="C64" s="25" t="n"/>
      <c r="D64" s="25" t="n"/>
      <c r="E64" s="25" t="n"/>
      <c r="F64" s="25" t="n"/>
    </row>
    <row r="65">
      <c r="A65" s="25" t="n"/>
      <c r="B65" s="25" t="n"/>
      <c r="C65" s="25" t="n"/>
      <c r="D65" s="25" t="n"/>
      <c r="E65" s="25" t="n"/>
      <c r="F65" s="25" t="n"/>
    </row>
    <row r="66">
      <c r="A66" s="25" t="n"/>
      <c r="B66" s="25" t="n"/>
      <c r="C66" s="25" t="n"/>
      <c r="D66" s="25" t="n"/>
      <c r="E66" s="25" t="n"/>
      <c r="F66" s="25" t="n"/>
    </row>
    <row r="67">
      <c r="A67" s="25" t="n"/>
      <c r="B67" s="25" t="n"/>
      <c r="C67" s="25" t="n"/>
      <c r="D67" s="25" t="n"/>
      <c r="E67" s="25" t="n"/>
      <c r="F67" s="25" t="n"/>
    </row>
    <row r="68">
      <c r="A68" s="25" t="n"/>
      <c r="B68" s="25" t="n"/>
      <c r="C68" s="25" t="n"/>
      <c r="D68" s="25" t="n"/>
      <c r="E68" s="25" t="n"/>
      <c r="F68" s="25" t="n"/>
    </row>
    <row r="69">
      <c r="A69" s="25" t="n"/>
      <c r="B69" s="25" t="n"/>
      <c r="C69" s="25" t="n"/>
      <c r="D69" s="25" t="n"/>
      <c r="E69" s="25" t="n"/>
      <c r="F69" s="25" t="n"/>
    </row>
    <row r="70">
      <c r="A70" s="25" t="n"/>
      <c r="B70" s="25" t="n"/>
      <c r="C70" s="25" t="n"/>
      <c r="D70" s="25" t="n"/>
      <c r="E70" s="25" t="n"/>
      <c r="F70" s="25" t="n"/>
    </row>
    <row r="71">
      <c r="A71" s="25" t="n"/>
      <c r="B71" s="25" t="n"/>
      <c r="C71" s="25" t="n"/>
      <c r="D71" s="25" t="n"/>
      <c r="E71" s="25" t="n"/>
      <c r="F71" s="25" t="n"/>
    </row>
    <row r="72">
      <c r="A72" s="25" t="n"/>
      <c r="B72" s="25" t="n"/>
      <c r="C72" s="25" t="n"/>
      <c r="D72" s="25" t="n"/>
      <c r="E72" s="25" t="n"/>
      <c r="F72" s="25" t="n"/>
    </row>
    <row r="73">
      <c r="A73" s="25" t="n"/>
      <c r="B73" s="25" t="n"/>
      <c r="C73" s="25" t="n"/>
      <c r="D73" s="25" t="n"/>
      <c r="E73" s="25" t="n"/>
      <c r="F73" s="25" t="n"/>
    </row>
    <row r="74">
      <c r="A74" s="25" t="n"/>
      <c r="B74" s="25" t="n"/>
      <c r="C74" s="25" t="n"/>
      <c r="D74" s="25" t="n"/>
      <c r="E74" s="25" t="n"/>
      <c r="F74" s="25" t="n"/>
    </row>
    <row r="75">
      <c r="A75" s="25" t="n"/>
      <c r="B75" s="25" t="n"/>
      <c r="C75" s="25" t="n"/>
      <c r="D75" s="25" t="n"/>
      <c r="E75" s="25" t="n"/>
      <c r="F75" s="25" t="n"/>
    </row>
    <row r="76">
      <c r="A76" s="25" t="n"/>
      <c r="B76" s="25" t="n"/>
      <c r="C76" s="25" t="n"/>
      <c r="D76" s="25" t="n"/>
      <c r="E76" s="25" t="n"/>
      <c r="F76" s="25" t="n"/>
    </row>
    <row r="77">
      <c r="A77" s="25" t="n"/>
      <c r="B77" s="25" t="n"/>
      <c r="C77" s="25" t="n"/>
      <c r="D77" s="25" t="n"/>
      <c r="E77" s="25" t="n"/>
      <c r="F77" s="25" t="n"/>
    </row>
    <row r="78">
      <c r="A78" s="25" t="n"/>
      <c r="B78" s="25" t="n"/>
      <c r="C78" s="25" t="n"/>
      <c r="D78" s="25" t="n"/>
      <c r="E78" s="25" t="n"/>
      <c r="F78" s="25" t="n"/>
    </row>
    <row r="79">
      <c r="A79" s="25" t="n"/>
      <c r="B79" s="25" t="n"/>
      <c r="C79" s="25" t="n"/>
      <c r="D79" s="25" t="n"/>
      <c r="E79" s="25" t="n"/>
      <c r="F79" s="25" t="n"/>
    </row>
    <row r="80">
      <c r="A80" s="25" t="n"/>
      <c r="B80" s="25" t="n"/>
      <c r="C80" s="25" t="n"/>
      <c r="D80" s="25" t="n"/>
      <c r="E80" s="25" t="n"/>
      <c r="F80" s="25" t="n"/>
    </row>
    <row r="81">
      <c r="A81" s="25" t="n"/>
      <c r="B81" s="25" t="n"/>
      <c r="C81" s="25" t="n"/>
      <c r="D81" s="25" t="n"/>
      <c r="E81" s="25" t="n"/>
      <c r="F81" s="25" t="n"/>
    </row>
    <row r="82">
      <c r="A82" s="25" t="n"/>
      <c r="B82" s="25" t="n"/>
      <c r="C82" s="25" t="n"/>
      <c r="D82" s="25" t="n"/>
      <c r="E82" s="25" t="n"/>
      <c r="F82" s="25" t="n"/>
    </row>
    <row r="83">
      <c r="A83" s="25" t="n"/>
      <c r="B83" s="25" t="n"/>
      <c r="C83" s="25" t="n"/>
      <c r="D83" s="25" t="n"/>
      <c r="E83" s="25" t="n"/>
      <c r="F83" s="25" t="n"/>
    </row>
    <row r="84">
      <c r="A84" s="25" t="n"/>
      <c r="B84" s="25" t="n"/>
      <c r="C84" s="25" t="n"/>
      <c r="D84" s="25" t="n"/>
      <c r="E84" s="25" t="n"/>
      <c r="F84" s="25" t="n"/>
    </row>
    <row r="85">
      <c r="A85" s="25" t="n"/>
      <c r="B85" s="25" t="n"/>
      <c r="C85" s="25" t="n"/>
      <c r="D85" s="25" t="n"/>
      <c r="E85" s="25" t="n"/>
      <c r="F85" s="25" t="n"/>
    </row>
    <row r="86">
      <c r="A86" s="25" t="n"/>
      <c r="B86" s="25" t="n"/>
      <c r="C86" s="25" t="n"/>
      <c r="D86" s="25" t="n"/>
      <c r="E86" s="25" t="n"/>
      <c r="F86" s="25" t="n"/>
    </row>
    <row r="87">
      <c r="A87" s="25" t="n"/>
      <c r="B87" s="25" t="n"/>
      <c r="C87" s="25" t="n"/>
      <c r="D87" s="25" t="n"/>
      <c r="E87" s="25" t="n"/>
      <c r="F87" s="25" t="n"/>
    </row>
    <row r="88">
      <c r="A88" s="25" t="n"/>
      <c r="B88" s="25" t="n"/>
      <c r="C88" s="25" t="n"/>
      <c r="D88" s="25" t="n"/>
      <c r="E88" s="25" t="n"/>
      <c r="F88" s="25" t="n"/>
    </row>
    <row r="89">
      <c r="A89" s="25" t="n"/>
      <c r="B89" s="25" t="n"/>
      <c r="C89" s="25" t="n"/>
      <c r="D89" s="25" t="n"/>
      <c r="E89" s="25" t="n"/>
      <c r="F89" s="25" t="n"/>
    </row>
    <row r="90">
      <c r="A90" s="25" t="n"/>
      <c r="B90" s="25" t="n"/>
      <c r="C90" s="25" t="n"/>
      <c r="D90" s="25" t="n"/>
      <c r="E90" s="25" t="n"/>
      <c r="F90" s="25" t="n"/>
    </row>
    <row r="91">
      <c r="A91" s="25" t="n"/>
      <c r="B91" s="25" t="n"/>
      <c r="C91" s="25" t="n"/>
      <c r="D91" s="25" t="n"/>
      <c r="E91" s="25" t="n"/>
      <c r="F91" s="25" t="n"/>
    </row>
    <row r="92">
      <c r="A92" s="25" t="n"/>
      <c r="B92" s="25" t="n"/>
      <c r="C92" s="25" t="n"/>
      <c r="D92" s="25" t="n"/>
      <c r="E92" s="25" t="n"/>
      <c r="F92" s="25" t="n"/>
    </row>
    <row r="93">
      <c r="A93" s="25" t="n"/>
      <c r="B93" s="25" t="n"/>
      <c r="C93" s="25" t="n"/>
      <c r="D93" s="25" t="n"/>
      <c r="E93" s="25" t="n"/>
      <c r="F93" s="25" t="n"/>
    </row>
    <row r="94">
      <c r="A94" s="25" t="n"/>
      <c r="B94" s="25" t="n"/>
      <c r="C94" s="25" t="n"/>
      <c r="D94" s="25" t="n"/>
      <c r="E94" s="25" t="n"/>
      <c r="F94" s="25" t="n"/>
    </row>
    <row r="95">
      <c r="A95" s="25" t="n"/>
      <c r="B95" s="25" t="n"/>
      <c r="C95" s="25" t="n"/>
      <c r="D95" s="25" t="n"/>
      <c r="E95" s="25" t="n"/>
      <c r="F95" s="25" t="n"/>
    </row>
    <row r="96">
      <c r="A96" s="25" t="n"/>
      <c r="B96" s="25" t="n"/>
      <c r="C96" s="25" t="n"/>
      <c r="D96" s="25" t="n"/>
      <c r="E96" s="25" t="n"/>
      <c r="F96" s="25" t="n"/>
    </row>
    <row r="97">
      <c r="A97" s="25" t="n"/>
      <c r="B97" s="25" t="n"/>
      <c r="C97" s="25" t="n"/>
      <c r="D97" s="25" t="n"/>
      <c r="E97" s="25" t="n"/>
      <c r="F97" s="25" t="n"/>
    </row>
    <row r="98">
      <c r="A98" s="25" t="n"/>
      <c r="B98" s="25" t="n"/>
      <c r="C98" s="25" t="n"/>
      <c r="D98" s="25" t="n"/>
      <c r="E98" s="25" t="n"/>
      <c r="F98" s="25" t="n"/>
    </row>
    <row r="99">
      <c r="A99" s="25" t="n"/>
      <c r="B99" s="25" t="n"/>
      <c r="C99" s="25" t="n"/>
      <c r="D99" s="25" t="n"/>
      <c r="E99" s="25" t="n"/>
      <c r="F99" s="25" t="n"/>
    </row>
    <row r="100">
      <c r="A100" s="25" t="n"/>
      <c r="B100" s="25" t="n"/>
      <c r="C100" s="25" t="n"/>
      <c r="D100" s="25" t="n"/>
      <c r="E100" s="25" t="n"/>
      <c r="F100" s="25" t="n"/>
    </row>
    <row r="101">
      <c r="A101" s="25" t="n"/>
      <c r="B101" s="25" t="n"/>
      <c r="C101" s="25" t="n"/>
      <c r="D101" s="25" t="n"/>
      <c r="E101" s="25" t="n"/>
      <c r="F101" s="25" t="n"/>
    </row>
    <row r="102">
      <c r="A102" s="25" t="n"/>
      <c r="B102" s="25" t="n"/>
      <c r="C102" s="25" t="n"/>
      <c r="D102" s="25" t="n"/>
      <c r="E102" s="25" t="n"/>
      <c r="F102" s="25" t="n"/>
    </row>
    <row r="103">
      <c r="A103" s="25" t="n"/>
      <c r="B103" s="25" t="n"/>
      <c r="C103" s="25" t="n"/>
      <c r="D103" s="25" t="n"/>
      <c r="E103" s="25" t="n"/>
      <c r="F103" s="25" t="n"/>
    </row>
    <row r="104">
      <c r="A104" s="25" t="n"/>
      <c r="B104" s="25" t="n"/>
      <c r="C104" s="25" t="n"/>
      <c r="D104" s="25" t="n"/>
      <c r="E104" s="25" t="n"/>
      <c r="F104" s="25" t="n"/>
    </row>
    <row r="105">
      <c r="A105" s="25" t="n"/>
      <c r="B105" s="25" t="n"/>
      <c r="C105" s="25" t="n"/>
      <c r="D105" s="25" t="n"/>
      <c r="E105" s="25" t="n"/>
      <c r="F105" s="25" t="n"/>
    </row>
    <row r="106">
      <c r="A106" s="25" t="n"/>
      <c r="B106" s="25" t="n"/>
      <c r="C106" s="25" t="n"/>
      <c r="D106" s="25" t="n"/>
      <c r="E106" s="25" t="n"/>
      <c r="F106" s="25" t="n"/>
    </row>
    <row r="107">
      <c r="A107" s="25" t="n"/>
      <c r="B107" s="25" t="n"/>
      <c r="C107" s="25" t="n"/>
      <c r="D107" s="25" t="n"/>
      <c r="E107" s="25" t="n"/>
      <c r="F107" s="25" t="n"/>
    </row>
    <row r="108">
      <c r="A108" s="25" t="n"/>
      <c r="B108" s="25" t="n"/>
      <c r="C108" s="25" t="n"/>
      <c r="D108" s="25" t="n"/>
      <c r="E108" s="25" t="n"/>
      <c r="F108" s="25" t="n"/>
    </row>
    <row r="109">
      <c r="A109" s="25" t="n"/>
      <c r="B109" s="25" t="n"/>
      <c r="C109" s="25" t="n"/>
      <c r="D109" s="25" t="n"/>
      <c r="E109" s="25" t="n"/>
      <c r="F109" s="25" t="n"/>
    </row>
    <row r="110">
      <c r="A110" s="25" t="n"/>
      <c r="B110" s="25" t="n"/>
      <c r="C110" s="25" t="n"/>
      <c r="D110" s="25" t="n"/>
      <c r="E110" s="25" t="n"/>
      <c r="F110" s="25" t="n"/>
    </row>
    <row r="111">
      <c r="A111" s="25" t="n"/>
      <c r="B111" s="25" t="n"/>
      <c r="C111" s="25" t="n"/>
      <c r="D111" s="25" t="n"/>
      <c r="E111" s="25" t="n"/>
      <c r="F111" s="25" t="n"/>
    </row>
    <row r="112">
      <c r="A112" s="25" t="n"/>
      <c r="B112" s="25" t="n"/>
      <c r="C112" s="25" t="n"/>
      <c r="D112" s="25" t="n"/>
      <c r="E112" s="25" t="n"/>
      <c r="F112" s="25" t="n"/>
    </row>
    <row r="113">
      <c r="A113" s="25" t="n"/>
      <c r="B113" s="25" t="n"/>
      <c r="C113" s="25" t="n"/>
      <c r="D113" s="25" t="n"/>
      <c r="E113" s="25" t="n"/>
      <c r="F113" s="25" t="n"/>
    </row>
    <row r="114">
      <c r="A114" s="25" t="n"/>
      <c r="B114" s="25" t="n"/>
      <c r="C114" s="25" t="n"/>
      <c r="D114" s="25" t="n"/>
      <c r="E114" s="25" t="n"/>
      <c r="F114" s="25" t="n"/>
    </row>
    <row r="115">
      <c r="A115" s="25" t="n"/>
      <c r="B115" s="25" t="n"/>
      <c r="C115" s="25" t="n"/>
      <c r="D115" s="25" t="n"/>
      <c r="E115" s="25" t="n"/>
      <c r="F115" s="25" t="n"/>
    </row>
    <row r="116">
      <c r="A116" s="25" t="n"/>
      <c r="B116" s="25" t="n"/>
      <c r="C116" s="25" t="n"/>
      <c r="D116" s="25" t="n"/>
      <c r="E116" s="25" t="n"/>
      <c r="F116" s="25" t="n"/>
    </row>
    <row r="117">
      <c r="A117" s="25" t="n"/>
      <c r="B117" s="25" t="n"/>
      <c r="C117" s="25" t="n"/>
      <c r="D117" s="25" t="n"/>
      <c r="E117" s="25" t="n"/>
      <c r="F117" s="25" t="n"/>
    </row>
    <row r="118">
      <c r="A118" s="25" t="n"/>
      <c r="B118" s="25" t="n"/>
      <c r="C118" s="25" t="n"/>
      <c r="D118" s="25" t="n"/>
      <c r="E118" s="25" t="n"/>
      <c r="F118" s="25" t="n"/>
    </row>
    <row r="119">
      <c r="A119" s="25" t="n"/>
      <c r="B119" s="25" t="n"/>
      <c r="C119" s="25" t="n"/>
      <c r="D119" s="25" t="n"/>
      <c r="E119" s="25" t="n"/>
      <c r="F119" s="25" t="n"/>
    </row>
    <row r="120">
      <c r="A120" s="25" t="n"/>
      <c r="B120" s="25" t="n"/>
      <c r="C120" s="25" t="n"/>
      <c r="D120" s="25" t="n"/>
      <c r="E120" s="25" t="n"/>
      <c r="F120" s="25" t="n"/>
    </row>
    <row r="121">
      <c r="A121" s="25" t="n"/>
      <c r="B121" s="25" t="n"/>
      <c r="C121" s="25" t="n"/>
      <c r="D121" s="25" t="n"/>
      <c r="E121" s="25" t="n"/>
      <c r="F121" s="25" t="n"/>
    </row>
    <row r="122">
      <c r="A122" s="25" t="n"/>
      <c r="B122" s="25" t="n"/>
      <c r="C122" s="25" t="n"/>
      <c r="D122" s="25" t="n"/>
      <c r="E122" s="25" t="n"/>
      <c r="F122" s="25" t="n"/>
    </row>
    <row r="123">
      <c r="A123" s="25" t="n"/>
      <c r="B123" s="25" t="n"/>
      <c r="C123" s="25" t="n"/>
      <c r="D123" s="25" t="n"/>
      <c r="E123" s="25" t="n"/>
      <c r="F123" s="25" t="n"/>
    </row>
    <row r="124">
      <c r="A124" s="25" t="n"/>
      <c r="B124" s="25" t="n"/>
      <c r="C124" s="25" t="n"/>
      <c r="D124" s="25" t="n"/>
      <c r="E124" s="25" t="n"/>
      <c r="F124" s="25" t="n"/>
    </row>
    <row r="125">
      <c r="A125" s="25" t="n"/>
      <c r="B125" s="25" t="n"/>
      <c r="C125" s="25" t="n"/>
      <c r="D125" s="25" t="n"/>
      <c r="E125" s="25" t="n"/>
      <c r="F125" s="25" t="n"/>
    </row>
    <row r="126">
      <c r="A126" s="25" t="n"/>
      <c r="B126" s="25" t="n"/>
      <c r="C126" s="25" t="n"/>
      <c r="D126" s="25" t="n"/>
      <c r="E126" s="25" t="n"/>
      <c r="F126" s="25" t="n"/>
    </row>
    <row r="127">
      <c r="A127" s="25" t="n"/>
      <c r="B127" s="25" t="n"/>
      <c r="C127" s="25" t="n"/>
      <c r="D127" s="25" t="n"/>
      <c r="E127" s="25" t="n"/>
      <c r="F127" s="25" t="n"/>
    </row>
    <row r="128">
      <c r="A128" s="25" t="n"/>
      <c r="B128" s="25" t="n"/>
      <c r="C128" s="25" t="n"/>
      <c r="D128" s="25" t="n"/>
      <c r="E128" s="25" t="n"/>
      <c r="F128" s="25" t="n"/>
    </row>
    <row r="129">
      <c r="A129" s="25" t="n"/>
      <c r="B129" s="25" t="n"/>
      <c r="C129" s="25" t="n"/>
      <c r="D129" s="25" t="n"/>
      <c r="E129" s="25" t="n"/>
      <c r="F129" s="25" t="n"/>
    </row>
    <row r="130">
      <c r="A130" s="25" t="n"/>
      <c r="B130" s="25" t="n"/>
      <c r="C130" s="25" t="n"/>
      <c r="D130" s="25" t="n"/>
      <c r="E130" s="25" t="n"/>
      <c r="F130" s="25" t="n"/>
    </row>
    <row r="131">
      <c r="A131" s="25" t="n"/>
      <c r="B131" s="25" t="n"/>
      <c r="C131" s="25" t="n"/>
      <c r="D131" s="25" t="n"/>
      <c r="E131" s="25" t="n"/>
      <c r="F131" s="25" t="n"/>
    </row>
    <row r="132">
      <c r="A132" s="25" t="n"/>
      <c r="B132" s="25" t="n"/>
      <c r="C132" s="25" t="n"/>
      <c r="D132" s="25" t="n"/>
      <c r="E132" s="25" t="n"/>
      <c r="F132" s="25" t="n"/>
    </row>
    <row r="133">
      <c r="A133" s="25" t="n"/>
      <c r="B133" s="25" t="n"/>
      <c r="C133" s="25" t="n"/>
      <c r="D133" s="25" t="n"/>
      <c r="E133" s="25" t="n"/>
      <c r="F133" s="25" t="n"/>
    </row>
    <row r="134">
      <c r="A134" s="25" t="n"/>
      <c r="B134" s="25" t="n"/>
      <c r="C134" s="25" t="n"/>
      <c r="D134" s="25" t="n"/>
      <c r="E134" s="25" t="n"/>
      <c r="F134" s="25" t="n"/>
    </row>
    <row r="135">
      <c r="A135" s="25" t="n"/>
      <c r="B135" s="25" t="n"/>
      <c r="C135" s="25" t="n"/>
      <c r="D135" s="25" t="n"/>
      <c r="E135" s="25" t="n"/>
      <c r="F135" s="25" t="n"/>
    </row>
    <row r="136">
      <c r="A136" s="25" t="n"/>
      <c r="B136" s="25" t="n"/>
      <c r="C136" s="25" t="n"/>
      <c r="D136" s="25" t="n"/>
      <c r="E136" s="25" t="n"/>
      <c r="F136" s="25" t="n"/>
    </row>
    <row r="137">
      <c r="A137" s="25" t="n"/>
      <c r="B137" s="25" t="n"/>
      <c r="C137" s="25" t="n"/>
      <c r="D137" s="25" t="n"/>
      <c r="E137" s="25" t="n"/>
      <c r="F137" s="25" t="n"/>
    </row>
    <row r="138">
      <c r="A138" s="25" t="n"/>
      <c r="B138" s="25" t="n"/>
      <c r="C138" s="25" t="n"/>
      <c r="D138" s="25" t="n"/>
      <c r="E138" s="25" t="n"/>
      <c r="F138" s="25" t="n"/>
    </row>
    <row r="139">
      <c r="A139" s="25" t="n"/>
      <c r="B139" s="25" t="n"/>
      <c r="C139" s="25" t="n"/>
      <c r="D139" s="25" t="n"/>
      <c r="E139" s="25" t="n"/>
      <c r="F139" s="25" t="n"/>
    </row>
    <row r="140">
      <c r="A140" s="25" t="n"/>
      <c r="B140" s="25" t="n"/>
      <c r="C140" s="25" t="n"/>
      <c r="D140" s="25" t="n"/>
      <c r="E140" s="25" t="n"/>
      <c r="F140" s="25" t="n"/>
    </row>
    <row r="141">
      <c r="A141" s="25" t="n"/>
      <c r="B141" s="25" t="n"/>
      <c r="C141" s="25" t="n"/>
      <c r="D141" s="25" t="n"/>
      <c r="E141" s="25" t="n"/>
      <c r="F141" s="25" t="n"/>
    </row>
    <row r="142">
      <c r="A142" s="25" t="n"/>
      <c r="B142" s="25" t="n"/>
      <c r="C142" s="25" t="n"/>
      <c r="D142" s="25" t="n"/>
      <c r="E142" s="25" t="n"/>
      <c r="F142" s="25" t="n"/>
    </row>
    <row r="143">
      <c r="A143" s="25" t="n"/>
      <c r="B143" s="25" t="n"/>
      <c r="C143" s="25" t="n"/>
      <c r="D143" s="25" t="n"/>
      <c r="E143" s="25" t="n"/>
      <c r="F143" s="25" t="n"/>
    </row>
    <row r="144">
      <c r="A144" s="25" t="n"/>
      <c r="B144" s="25" t="n"/>
      <c r="C144" s="25" t="n"/>
      <c r="D144" s="25" t="n"/>
      <c r="E144" s="25" t="n"/>
      <c r="F144" s="25" t="n"/>
    </row>
    <row r="145">
      <c r="A145" s="25" t="n"/>
      <c r="B145" s="25" t="n"/>
      <c r="C145" s="25" t="n"/>
      <c r="D145" s="25" t="n"/>
      <c r="E145" s="25" t="n"/>
      <c r="F145" s="25" t="n"/>
    </row>
    <row r="146">
      <c r="A146" s="25" t="n"/>
      <c r="B146" s="25" t="n"/>
      <c r="C146" s="25" t="n"/>
      <c r="D146" s="25" t="n"/>
      <c r="E146" s="25" t="n"/>
      <c r="F146" s="25" t="n"/>
    </row>
    <row r="147">
      <c r="A147" s="25" t="n"/>
      <c r="B147" s="25" t="n"/>
      <c r="C147" s="25" t="n"/>
      <c r="D147" s="25" t="n"/>
      <c r="E147" s="25" t="n"/>
      <c r="F147" s="25" t="n"/>
    </row>
    <row r="148">
      <c r="A148" s="25" t="n"/>
      <c r="B148" s="25" t="n"/>
      <c r="C148" s="25" t="n"/>
      <c r="D148" s="25" t="n"/>
      <c r="E148" s="25" t="n"/>
      <c r="F148" s="25" t="n"/>
    </row>
    <row r="149">
      <c r="A149" s="25" t="n"/>
      <c r="B149" s="25" t="n"/>
      <c r="C149" s="25" t="n"/>
      <c r="D149" s="25" t="n"/>
      <c r="E149" s="25" t="n"/>
      <c r="F149" s="25" t="n"/>
    </row>
    <row r="150">
      <c r="A150" s="25" t="n"/>
      <c r="B150" s="25" t="n"/>
      <c r="C150" s="25" t="n"/>
      <c r="D150" s="25" t="n"/>
      <c r="E150" s="25" t="n"/>
      <c r="F150" s="25" t="n"/>
    </row>
    <row r="151">
      <c r="A151" s="25" t="n"/>
      <c r="B151" s="25" t="n"/>
      <c r="C151" s="25" t="n"/>
      <c r="D151" s="25" t="n"/>
      <c r="E151" s="25" t="n"/>
      <c r="F151" s="25" t="n"/>
    </row>
    <row r="152">
      <c r="A152" s="25" t="n"/>
      <c r="B152" s="25" t="n"/>
      <c r="C152" s="25" t="n"/>
      <c r="D152" s="25" t="n"/>
      <c r="E152" s="25" t="n"/>
      <c r="F152" s="25" t="n"/>
    </row>
    <row r="153">
      <c r="A153" s="25" t="n"/>
      <c r="B153" s="25" t="n"/>
      <c r="C153" s="25" t="n"/>
      <c r="D153" s="25" t="n"/>
      <c r="E153" s="25" t="n"/>
      <c r="F153" s="25" t="n"/>
    </row>
    <row r="154">
      <c r="A154" s="25" t="n"/>
      <c r="B154" s="25" t="n"/>
      <c r="C154" s="25" t="n"/>
      <c r="D154" s="25" t="n"/>
      <c r="E154" s="25" t="n"/>
      <c r="F154" s="25" t="n"/>
    </row>
    <row r="155">
      <c r="A155" s="25" t="n"/>
      <c r="B155" s="25" t="n"/>
      <c r="C155" s="25" t="n"/>
      <c r="D155" s="25" t="n"/>
      <c r="E155" s="25" t="n"/>
      <c r="F155" s="25" t="n"/>
    </row>
    <row r="156">
      <c r="A156" s="25" t="n"/>
      <c r="B156" s="25" t="n"/>
      <c r="C156" s="25" t="n"/>
      <c r="D156" s="25" t="n"/>
      <c r="E156" s="25" t="n"/>
      <c r="F156" s="25" t="n"/>
    </row>
    <row r="157">
      <c r="A157" s="25" t="n"/>
      <c r="B157" s="25" t="n"/>
      <c r="C157" s="25" t="n"/>
      <c r="D157" s="25" t="n"/>
      <c r="E157" s="25" t="n"/>
      <c r="F157" s="25" t="n"/>
    </row>
    <row r="158">
      <c r="A158" s="25" t="n"/>
      <c r="B158" s="25" t="n"/>
      <c r="C158" s="25" t="n"/>
      <c r="D158" s="25" t="n"/>
      <c r="E158" s="25" t="n"/>
      <c r="F158" s="25" t="n"/>
    </row>
    <row r="159">
      <c r="A159" s="25" t="n"/>
      <c r="B159" s="25" t="n"/>
      <c r="C159" s="25" t="n"/>
      <c r="D159" s="25" t="n"/>
      <c r="E159" s="25" t="n"/>
      <c r="F159" s="25" t="n"/>
    </row>
    <row r="160">
      <c r="A160" s="25" t="n"/>
      <c r="B160" s="25" t="n"/>
      <c r="C160" s="25" t="n"/>
      <c r="D160" s="25" t="n"/>
      <c r="E160" s="25" t="n"/>
      <c r="F160" s="25" t="n"/>
    </row>
    <row r="161">
      <c r="A161" s="25" t="n"/>
      <c r="B161" s="25" t="n"/>
      <c r="C161" s="25" t="n"/>
      <c r="D161" s="25" t="n"/>
      <c r="E161" s="25" t="n"/>
      <c r="F161" s="25" t="n"/>
    </row>
    <row r="162">
      <c r="A162" s="25" t="n"/>
      <c r="B162" s="25" t="n"/>
      <c r="C162" s="25" t="n"/>
      <c r="D162" s="25" t="n"/>
      <c r="E162" s="25" t="n"/>
      <c r="F162" s="25" t="n"/>
    </row>
    <row r="163">
      <c r="A163" s="25" t="n"/>
      <c r="B163" s="25" t="n"/>
      <c r="C163" s="25" t="n"/>
      <c r="D163" s="25" t="n"/>
      <c r="E163" s="25" t="n"/>
      <c r="F163" s="25" t="n"/>
    </row>
    <row r="164">
      <c r="A164" s="25" t="n"/>
      <c r="B164" s="25" t="n"/>
      <c r="C164" s="25" t="n"/>
      <c r="D164" s="25" t="n"/>
      <c r="E164" s="25" t="n"/>
      <c r="F164" s="25" t="n"/>
    </row>
    <row r="165">
      <c r="A165" s="25" t="n"/>
      <c r="B165" s="25" t="n"/>
      <c r="C165" s="25" t="n"/>
      <c r="D165" s="25" t="n"/>
      <c r="E165" s="25" t="n"/>
      <c r="F165" s="25" t="n"/>
    </row>
    <row r="166">
      <c r="A166" s="25" t="n"/>
      <c r="B166" s="25" t="n"/>
      <c r="C166" s="25" t="n"/>
      <c r="D166" s="25" t="n"/>
      <c r="E166" s="25" t="n"/>
      <c r="F166" s="25" t="n"/>
    </row>
    <row r="167">
      <c r="A167" s="25" t="n"/>
      <c r="B167" s="25" t="n"/>
      <c r="C167" s="25" t="n"/>
      <c r="D167" s="25" t="n"/>
      <c r="E167" s="25" t="n"/>
      <c r="F167" s="25" t="n"/>
    </row>
    <row r="168">
      <c r="A168" s="25" t="n"/>
      <c r="B168" s="25" t="n"/>
      <c r="C168" s="25" t="n"/>
      <c r="D168" s="25" t="n"/>
      <c r="E168" s="25" t="n"/>
      <c r="F168" s="25" t="n"/>
    </row>
    <row r="169">
      <c r="A169" s="25" t="n"/>
      <c r="B169" s="25" t="n"/>
      <c r="C169" s="25" t="n"/>
      <c r="D169" s="25" t="n"/>
      <c r="E169" s="25" t="n"/>
      <c r="F169" s="25" t="n"/>
    </row>
    <row r="170">
      <c r="A170" s="25" t="n"/>
      <c r="B170" s="25" t="n"/>
      <c r="C170" s="25" t="n"/>
      <c r="D170" s="25" t="n"/>
      <c r="E170" s="25" t="n"/>
      <c r="F170" s="25" t="n"/>
    </row>
    <row r="171">
      <c r="A171" s="25" t="n"/>
      <c r="B171" s="25" t="n"/>
      <c r="C171" s="25" t="n"/>
      <c r="D171" s="25" t="n"/>
      <c r="E171" s="25" t="n"/>
      <c r="F171" s="25" t="n"/>
    </row>
    <row r="172">
      <c r="A172" s="25" t="n"/>
      <c r="B172" s="25" t="n"/>
      <c r="C172" s="25" t="n"/>
      <c r="D172" s="25" t="n"/>
      <c r="E172" s="25" t="n"/>
      <c r="F172" s="25" t="n"/>
    </row>
    <row r="173">
      <c r="A173" s="25" t="n"/>
      <c r="B173" s="25" t="n"/>
      <c r="C173" s="25" t="n"/>
      <c r="D173" s="25" t="n"/>
      <c r="E173" s="25" t="n"/>
      <c r="F173" s="25" t="n"/>
    </row>
    <row r="174">
      <c r="A174" s="25" t="n"/>
      <c r="B174" s="25" t="n"/>
      <c r="C174" s="25" t="n"/>
      <c r="D174" s="25" t="n"/>
      <c r="E174" s="25" t="n"/>
      <c r="F174" s="25" t="n"/>
    </row>
    <row r="175">
      <c r="A175" s="25" t="n"/>
      <c r="B175" s="25" t="n"/>
      <c r="C175" s="25" t="n"/>
      <c r="D175" s="25" t="n"/>
      <c r="E175" s="25" t="n"/>
      <c r="F175" s="25" t="n"/>
    </row>
    <row r="176">
      <c r="A176" s="25" t="n"/>
      <c r="B176" s="25" t="n"/>
      <c r="C176" s="25" t="n"/>
      <c r="D176" s="25" t="n"/>
      <c r="E176" s="25" t="n"/>
      <c r="F176" s="25" t="n"/>
    </row>
    <row r="177">
      <c r="A177" s="25" t="n"/>
      <c r="B177" s="25" t="n"/>
      <c r="C177" s="25" t="n"/>
      <c r="D177" s="25" t="n"/>
      <c r="E177" s="25" t="n"/>
      <c r="F177" s="25" t="n"/>
    </row>
    <row r="178">
      <c r="A178" s="25" t="n"/>
      <c r="B178" s="25" t="n"/>
      <c r="C178" s="25" t="n"/>
      <c r="D178" s="25" t="n"/>
      <c r="E178" s="25" t="n"/>
      <c r="F178" s="25" t="n"/>
    </row>
    <row r="179">
      <c r="A179" s="25" t="n"/>
      <c r="B179" s="25" t="n"/>
      <c r="C179" s="25" t="n"/>
      <c r="D179" s="25" t="n"/>
      <c r="E179" s="25" t="n"/>
      <c r="F179" s="25" t="n"/>
    </row>
    <row r="180">
      <c r="A180" s="25" t="n"/>
      <c r="B180" s="25" t="n"/>
      <c r="C180" s="25" t="n"/>
      <c r="D180" s="25" t="n"/>
      <c r="E180" s="25" t="n"/>
      <c r="F180" s="25" t="n"/>
    </row>
    <row r="181">
      <c r="A181" s="25" t="n"/>
      <c r="B181" s="25" t="n"/>
      <c r="C181" s="25" t="n"/>
      <c r="D181" s="25" t="n"/>
      <c r="E181" s="25" t="n"/>
      <c r="F181" s="25" t="n"/>
    </row>
    <row r="182">
      <c r="A182" s="25" t="n"/>
      <c r="B182" s="25" t="n"/>
      <c r="C182" s="25" t="n"/>
      <c r="D182" s="25" t="n"/>
      <c r="E182" s="25" t="n"/>
      <c r="F182" s="25" t="n"/>
    </row>
    <row r="183">
      <c r="A183" s="25" t="n"/>
      <c r="B183" s="25" t="n"/>
      <c r="C183" s="25" t="n"/>
      <c r="D183" s="25" t="n"/>
      <c r="E183" s="25" t="n"/>
      <c r="F183" s="25" t="n"/>
    </row>
    <row r="184">
      <c r="A184" s="25" t="n"/>
      <c r="B184" s="25" t="n"/>
      <c r="C184" s="25" t="n"/>
      <c r="D184" s="25" t="n"/>
      <c r="E184" s="25" t="n"/>
      <c r="F184" s="25" t="n"/>
    </row>
    <row r="185">
      <c r="A185" s="25" t="n"/>
      <c r="B185" s="25" t="n"/>
      <c r="C185" s="25" t="n"/>
      <c r="D185" s="25" t="n"/>
      <c r="E185" s="25" t="n"/>
      <c r="F185" s="25" t="n"/>
    </row>
    <row r="186">
      <c r="A186" s="25" t="n"/>
      <c r="B186" s="25" t="n"/>
      <c r="C186" s="25" t="n"/>
      <c r="D186" s="25" t="n"/>
      <c r="E186" s="25" t="n"/>
      <c r="F186" s="25" t="n"/>
    </row>
    <row r="187">
      <c r="A187" s="25" t="n"/>
      <c r="B187" s="25" t="n"/>
      <c r="C187" s="25" t="n"/>
      <c r="D187" s="25" t="n"/>
      <c r="E187" s="25" t="n"/>
      <c r="F187" s="25" t="n"/>
    </row>
    <row r="188">
      <c r="A188" s="25" t="n"/>
      <c r="B188" s="25" t="n"/>
      <c r="C188" s="25" t="n"/>
      <c r="D188" s="25" t="n"/>
      <c r="E188" s="25" t="n"/>
      <c r="F188" s="25" t="n"/>
    </row>
    <row r="189">
      <c r="A189" s="25" t="n"/>
      <c r="B189" s="25" t="n"/>
      <c r="C189" s="25" t="n"/>
      <c r="D189" s="25" t="n"/>
      <c r="E189" s="25" t="n"/>
      <c r="F189" s="25" t="n"/>
    </row>
    <row r="190">
      <c r="A190" s="25" t="n"/>
      <c r="B190" s="25" t="n"/>
      <c r="C190" s="25" t="n"/>
      <c r="D190" s="25" t="n"/>
      <c r="E190" s="25" t="n"/>
      <c r="F190" s="25" t="n"/>
    </row>
    <row r="191">
      <c r="A191" s="25" t="n"/>
      <c r="B191" s="25" t="n"/>
      <c r="C191" s="25" t="n"/>
      <c r="D191" s="25" t="n"/>
      <c r="E191" s="25" t="n"/>
      <c r="F191" s="25" t="n"/>
    </row>
    <row r="192">
      <c r="A192" s="25" t="n"/>
      <c r="B192" s="25" t="n"/>
      <c r="C192" s="25" t="n"/>
      <c r="D192" s="25" t="n"/>
      <c r="E192" s="25" t="n"/>
      <c r="F192" s="25" t="n"/>
    </row>
    <row r="193">
      <c r="A193" s="25" t="n"/>
      <c r="B193" s="25" t="n"/>
      <c r="C193" s="25" t="n"/>
      <c r="D193" s="25" t="n"/>
      <c r="E193" s="25" t="n"/>
      <c r="F193" s="25" t="n"/>
    </row>
    <row r="194">
      <c r="A194" s="25" t="n"/>
      <c r="B194" s="25" t="n"/>
      <c r="C194" s="25" t="n"/>
      <c r="D194" s="25" t="n"/>
      <c r="E194" s="25" t="n"/>
      <c r="F194" s="25" t="n"/>
    </row>
    <row r="195">
      <c r="A195" s="25" t="n"/>
      <c r="B195" s="25" t="n"/>
      <c r="C195" s="25" t="n"/>
      <c r="D195" s="25" t="n"/>
      <c r="E195" s="25" t="n"/>
      <c r="F195" s="25" t="n"/>
    </row>
    <row r="196">
      <c r="A196" s="25" t="n"/>
      <c r="B196" s="25" t="n"/>
      <c r="C196" s="25" t="n"/>
      <c r="D196" s="25" t="n"/>
      <c r="E196" s="25" t="n"/>
      <c r="F196" s="25" t="n"/>
    </row>
    <row r="197">
      <c r="A197" s="25" t="n"/>
      <c r="B197" s="25" t="n"/>
      <c r="C197" s="25" t="n"/>
      <c r="D197" s="25" t="n"/>
      <c r="E197" s="25" t="n"/>
      <c r="F197" s="25" t="n"/>
    </row>
    <row r="198">
      <c r="A198" s="25" t="n"/>
      <c r="B198" s="25" t="n"/>
      <c r="C198" s="25" t="n"/>
      <c r="D198" s="25" t="n"/>
      <c r="E198" s="25" t="n"/>
      <c r="F198" s="25" t="n"/>
    </row>
    <row r="199">
      <c r="A199" s="25" t="n"/>
      <c r="B199" s="25" t="n"/>
      <c r="C199" s="25" t="n"/>
      <c r="D199" s="25" t="n"/>
      <c r="E199" s="25" t="n"/>
      <c r="F199" s="25" t="n"/>
    </row>
    <row r="200">
      <c r="A200" s="25" t="n"/>
      <c r="B200" s="25" t="n"/>
      <c r="C200" s="25" t="n"/>
      <c r="D200" s="25" t="n"/>
      <c r="E200" s="25" t="n"/>
      <c r="F200" s="25" t="n"/>
    </row>
    <row r="201">
      <c r="A201" s="25" t="n"/>
      <c r="B201" s="25" t="n"/>
      <c r="C201" s="25" t="n"/>
      <c r="D201" s="25" t="n"/>
      <c r="E201" s="25" t="n"/>
      <c r="F201" s="25" t="n"/>
    </row>
    <row r="202">
      <c r="A202" s="25" t="n"/>
      <c r="B202" s="25" t="n"/>
      <c r="C202" s="25" t="n"/>
      <c r="D202" s="25" t="n"/>
      <c r="E202" s="25" t="n"/>
      <c r="F202" s="25" t="n"/>
    </row>
    <row r="203">
      <c r="A203" s="25" t="n"/>
      <c r="B203" s="25" t="n"/>
      <c r="C203" s="25" t="n"/>
      <c r="D203" s="25" t="n"/>
      <c r="E203" s="25" t="n"/>
      <c r="F203" s="25" t="n"/>
    </row>
    <row r="204">
      <c r="A204" s="25" t="n"/>
      <c r="B204" s="25" t="n"/>
      <c r="C204" s="25" t="n"/>
      <c r="D204" s="25" t="n"/>
      <c r="E204" s="25" t="n"/>
      <c r="F204" s="25" t="n"/>
    </row>
    <row r="205">
      <c r="A205" s="25" t="n"/>
      <c r="B205" s="25" t="n"/>
      <c r="C205" s="25" t="n"/>
      <c r="D205" s="25" t="n"/>
      <c r="E205" s="25" t="n"/>
      <c r="F205" s="25" t="n"/>
    </row>
    <row r="206">
      <c r="A206" s="25" t="n"/>
      <c r="B206" s="25" t="n"/>
      <c r="C206" s="25" t="n"/>
      <c r="D206" s="25" t="n"/>
      <c r="E206" s="25" t="n"/>
      <c r="F206" s="25" t="n"/>
    </row>
    <row r="207">
      <c r="A207" s="25" t="n"/>
      <c r="B207" s="25" t="n"/>
      <c r="C207" s="25" t="n"/>
      <c r="D207" s="25" t="n"/>
      <c r="E207" s="25" t="n"/>
      <c r="F207" s="25" t="n"/>
    </row>
    <row r="208">
      <c r="A208" s="25" t="n"/>
      <c r="B208" s="25" t="n"/>
      <c r="C208" s="25" t="n"/>
      <c r="D208" s="25" t="n"/>
      <c r="E208" s="25" t="n"/>
      <c r="F208" s="25" t="n"/>
    </row>
    <row r="209">
      <c r="A209" s="25" t="n"/>
      <c r="B209" s="25" t="n"/>
      <c r="C209" s="25" t="n"/>
      <c r="D209" s="25" t="n"/>
      <c r="E209" s="25" t="n"/>
      <c r="F209" s="25" t="n"/>
    </row>
    <row r="210">
      <c r="A210" s="25" t="n"/>
      <c r="B210" s="25" t="n"/>
      <c r="C210" s="25" t="n"/>
      <c r="D210" s="25" t="n"/>
      <c r="E210" s="25" t="n"/>
      <c r="F210" s="25" t="n"/>
    </row>
    <row r="211">
      <c r="A211" s="25" t="n"/>
      <c r="B211" s="25" t="n"/>
      <c r="C211" s="25" t="n"/>
      <c r="D211" s="25" t="n"/>
      <c r="E211" s="25" t="n"/>
      <c r="F211" s="25" t="n"/>
    </row>
    <row r="212">
      <c r="A212" s="25" t="n"/>
      <c r="B212" s="25" t="n"/>
      <c r="C212" s="25" t="n"/>
      <c r="D212" s="25" t="n"/>
      <c r="E212" s="25" t="n"/>
      <c r="F212" s="25" t="n"/>
    </row>
    <row r="213">
      <c r="A213" s="25" t="n"/>
      <c r="B213" s="25" t="n"/>
      <c r="C213" s="25" t="n"/>
      <c r="D213" s="25" t="n"/>
      <c r="E213" s="25" t="n"/>
      <c r="F213" s="25" t="n"/>
    </row>
    <row r="214">
      <c r="A214" s="25" t="n"/>
      <c r="B214" s="25" t="n"/>
      <c r="C214" s="25" t="n"/>
      <c r="D214" s="25" t="n"/>
      <c r="E214" s="25" t="n"/>
      <c r="F214" s="25" t="n"/>
    </row>
    <row r="215">
      <c r="A215" s="25" t="n"/>
      <c r="B215" s="25" t="n"/>
      <c r="C215" s="25" t="n"/>
      <c r="D215" s="25" t="n"/>
      <c r="E215" s="25" t="n"/>
      <c r="F215" s="25" t="n"/>
    </row>
    <row r="216">
      <c r="A216" s="25" t="n"/>
      <c r="B216" s="25" t="n"/>
      <c r="C216" s="25" t="n"/>
      <c r="D216" s="25" t="n"/>
      <c r="E216" s="25" t="n"/>
      <c r="F216" s="25" t="n"/>
    </row>
    <row r="217">
      <c r="A217" s="25" t="n"/>
      <c r="B217" s="25" t="n"/>
      <c r="C217" s="25" t="n"/>
      <c r="D217" s="25" t="n"/>
      <c r="E217" s="25" t="n"/>
      <c r="F217" s="25" t="n"/>
    </row>
    <row r="218">
      <c r="A218" s="25" t="n"/>
      <c r="B218" s="25" t="n"/>
      <c r="C218" s="25" t="n"/>
      <c r="D218" s="25" t="n"/>
      <c r="E218" s="25" t="n"/>
      <c r="F218" s="25" t="n"/>
    </row>
    <row r="219">
      <c r="A219" s="25" t="n"/>
      <c r="B219" s="25" t="n"/>
      <c r="C219" s="25" t="n"/>
      <c r="D219" s="25" t="n"/>
      <c r="E219" s="25" t="n"/>
      <c r="F219" s="25" t="n"/>
    </row>
    <row r="220">
      <c r="A220" s="25" t="n"/>
      <c r="B220" s="25" t="n"/>
      <c r="C220" s="25" t="n"/>
      <c r="D220" s="25" t="n"/>
      <c r="E220" s="25" t="n"/>
      <c r="F220" s="25" t="n"/>
    </row>
    <row r="221">
      <c r="A221" s="25" t="n"/>
      <c r="B221" s="25" t="n"/>
      <c r="C221" s="25" t="n"/>
      <c r="D221" s="25" t="n"/>
      <c r="E221" s="25" t="n"/>
      <c r="F221" s="25" t="n"/>
    </row>
    <row r="222">
      <c r="A222" s="25" t="n"/>
      <c r="B222" s="25" t="n"/>
      <c r="C222" s="25" t="n"/>
      <c r="D222" s="25" t="n"/>
      <c r="E222" s="25" t="n"/>
      <c r="F222" s="25" t="n"/>
    </row>
    <row r="223">
      <c r="A223" s="25" t="n"/>
      <c r="B223" s="25" t="n"/>
      <c r="C223" s="25" t="n"/>
      <c r="D223" s="25" t="n"/>
      <c r="E223" s="25" t="n"/>
      <c r="F223" s="25" t="n"/>
    </row>
    <row r="224">
      <c r="A224" s="25" t="n"/>
      <c r="B224" s="25" t="n"/>
      <c r="C224" s="25" t="n"/>
      <c r="D224" s="25" t="n"/>
      <c r="E224" s="25" t="n"/>
      <c r="F224" s="25" t="n"/>
    </row>
    <row r="225">
      <c r="A225" s="25" t="n"/>
      <c r="B225" s="25" t="n"/>
      <c r="C225" s="25" t="n"/>
      <c r="D225" s="25" t="n"/>
      <c r="E225" s="25" t="n"/>
      <c r="F225" s="25" t="n"/>
    </row>
    <row r="226">
      <c r="A226" s="25" t="n"/>
      <c r="B226" s="25" t="n"/>
      <c r="C226" s="25" t="n"/>
      <c r="D226" s="25" t="n"/>
      <c r="E226" s="25" t="n"/>
      <c r="F226" s="25" t="n"/>
    </row>
    <row r="227">
      <c r="A227" s="25" t="n"/>
      <c r="B227" s="25" t="n"/>
      <c r="C227" s="25" t="n"/>
      <c r="D227" s="25" t="n"/>
      <c r="E227" s="25" t="n"/>
      <c r="F227" s="25" t="n"/>
    </row>
    <row r="228">
      <c r="A228" s="25" t="n"/>
      <c r="B228" s="25" t="n"/>
      <c r="C228" s="25" t="n"/>
      <c r="D228" s="25" t="n"/>
      <c r="E228" s="25" t="n"/>
      <c r="F228" s="25" t="n"/>
    </row>
    <row r="229">
      <c r="A229" s="25" t="n"/>
      <c r="B229" s="25" t="n"/>
      <c r="C229" s="25" t="n"/>
      <c r="D229" s="25" t="n"/>
      <c r="E229" s="25" t="n"/>
      <c r="F229" s="25" t="n"/>
    </row>
    <row r="230">
      <c r="A230" s="25" t="n"/>
      <c r="B230" s="25" t="n"/>
      <c r="C230" s="25" t="n"/>
      <c r="D230" s="25" t="n"/>
      <c r="E230" s="25" t="n"/>
      <c r="F230" s="25" t="n"/>
    </row>
    <row r="231">
      <c r="A231" s="25" t="n"/>
      <c r="B231" s="25" t="n"/>
      <c r="C231" s="25" t="n"/>
      <c r="D231" s="25" t="n"/>
      <c r="E231" s="25" t="n"/>
      <c r="F231" s="25" t="n"/>
    </row>
    <row r="232">
      <c r="A232" s="25" t="n"/>
      <c r="B232" s="25" t="n"/>
      <c r="C232" s="25" t="n"/>
      <c r="D232" s="25" t="n"/>
      <c r="E232" s="25" t="n"/>
      <c r="F232" s="25" t="n"/>
    </row>
    <row r="233">
      <c r="A233" s="25" t="n"/>
      <c r="B233" s="25" t="n"/>
      <c r="C233" s="25" t="n"/>
      <c r="D233" s="25" t="n"/>
      <c r="E233" s="25" t="n"/>
      <c r="F233" s="25" t="n"/>
    </row>
    <row r="234">
      <c r="A234" s="25" t="n"/>
      <c r="B234" s="25" t="n"/>
      <c r="C234" s="25" t="n"/>
      <c r="D234" s="25" t="n"/>
      <c r="E234" s="25" t="n"/>
      <c r="F234" s="25" t="n"/>
    </row>
    <row r="235">
      <c r="A235" s="25" t="n"/>
      <c r="B235" s="25" t="n"/>
      <c r="C235" s="25" t="n"/>
      <c r="D235" s="25" t="n"/>
      <c r="E235" s="25" t="n"/>
      <c r="F235" s="25" t="n"/>
    </row>
    <row r="236">
      <c r="A236" s="25" t="n"/>
      <c r="B236" s="25" t="n"/>
      <c r="C236" s="25" t="n"/>
      <c r="D236" s="25" t="n"/>
      <c r="E236" s="25" t="n"/>
      <c r="F236" s="25" t="n"/>
    </row>
    <row r="237">
      <c r="A237" s="25" t="n"/>
      <c r="B237" s="25" t="n"/>
      <c r="C237" s="25" t="n"/>
      <c r="D237" s="25" t="n"/>
      <c r="E237" s="25" t="n"/>
      <c r="F237" s="25" t="n"/>
    </row>
    <row r="238">
      <c r="A238" s="25" t="n"/>
      <c r="B238" s="25" t="n"/>
      <c r="C238" s="25" t="n"/>
      <c r="D238" s="25" t="n"/>
      <c r="E238" s="25" t="n"/>
      <c r="F238" s="25" t="n"/>
    </row>
    <row r="239">
      <c r="A239" s="25" t="n"/>
      <c r="B239" s="25" t="n"/>
      <c r="C239" s="25" t="n"/>
      <c r="D239" s="25" t="n"/>
      <c r="E239" s="25" t="n"/>
      <c r="F239" s="25" t="n"/>
    </row>
    <row r="240">
      <c r="A240" s="25" t="n"/>
      <c r="B240" s="25" t="n"/>
      <c r="C240" s="25" t="n"/>
      <c r="D240" s="25" t="n"/>
      <c r="E240" s="25" t="n"/>
      <c r="F240" s="25" t="n"/>
    </row>
    <row r="241">
      <c r="A241" s="25" t="n"/>
      <c r="B241" s="25" t="n"/>
      <c r="C241" s="25" t="n"/>
      <c r="D241" s="25" t="n"/>
      <c r="E241" s="25" t="n"/>
      <c r="F241" s="25" t="n"/>
    </row>
    <row r="242">
      <c r="A242" s="25" t="n"/>
      <c r="B242" s="25" t="n"/>
      <c r="C242" s="25" t="n"/>
      <c r="D242" s="25" t="n"/>
      <c r="E242" s="25" t="n"/>
      <c r="F242" s="25" t="n"/>
    </row>
    <row r="243">
      <c r="A243" s="25" t="n"/>
      <c r="B243" s="25" t="n"/>
      <c r="C243" s="25" t="n"/>
      <c r="D243" s="25" t="n"/>
      <c r="E243" s="25" t="n"/>
      <c r="F243" s="25" t="n"/>
    </row>
    <row r="244">
      <c r="A244" s="25" t="n"/>
      <c r="B244" s="25" t="n"/>
      <c r="C244" s="25" t="n"/>
      <c r="D244" s="25" t="n"/>
      <c r="E244" s="25" t="n"/>
      <c r="F244" s="25" t="n"/>
    </row>
    <row r="245">
      <c r="A245" s="25" t="n"/>
      <c r="B245" s="25" t="n"/>
      <c r="C245" s="25" t="n"/>
      <c r="D245" s="25" t="n"/>
      <c r="E245" s="25" t="n"/>
      <c r="F245" s="25" t="n"/>
    </row>
    <row r="246">
      <c r="A246" s="25" t="n"/>
      <c r="B246" s="25" t="n"/>
      <c r="C246" s="25" t="n"/>
      <c r="D246" s="25" t="n"/>
      <c r="E246" s="25" t="n"/>
      <c r="F246" s="25" t="n"/>
    </row>
    <row r="247">
      <c r="A247" s="25" t="n"/>
      <c r="B247" s="25" t="n"/>
      <c r="C247" s="25" t="n"/>
      <c r="D247" s="25" t="n"/>
      <c r="E247" s="25" t="n"/>
      <c r="F247" s="25" t="n"/>
    </row>
    <row r="248">
      <c r="A248" s="25" t="n"/>
      <c r="B248" s="25" t="n"/>
      <c r="C248" s="25" t="n"/>
      <c r="D248" s="25" t="n"/>
      <c r="E248" s="25" t="n"/>
      <c r="F248" s="25" t="n"/>
    </row>
    <row r="249">
      <c r="A249" s="25" t="n"/>
      <c r="B249" s="25" t="n"/>
      <c r="C249" s="25" t="n"/>
      <c r="D249" s="25" t="n"/>
      <c r="E249" s="25" t="n"/>
      <c r="F249" s="25" t="n"/>
    </row>
    <row r="250">
      <c r="A250" s="25" t="n"/>
      <c r="B250" s="25" t="n"/>
      <c r="C250" s="25" t="n"/>
      <c r="D250" s="25" t="n"/>
      <c r="E250" s="25" t="n"/>
      <c r="F250" s="25" t="n"/>
    </row>
    <row r="251">
      <c r="A251" s="25" t="n"/>
      <c r="B251" s="25" t="n"/>
      <c r="C251" s="25" t="n"/>
      <c r="D251" s="25" t="n"/>
      <c r="E251" s="25" t="n"/>
      <c r="F251" s="25" t="n"/>
    </row>
    <row r="252">
      <c r="A252" s="25" t="n"/>
      <c r="B252" s="25" t="n"/>
      <c r="C252" s="25" t="n"/>
      <c r="D252" s="25" t="n"/>
      <c r="E252" s="25" t="n"/>
      <c r="F252" s="25" t="n"/>
    </row>
    <row r="253">
      <c r="A253" s="25" t="n"/>
      <c r="B253" s="25" t="n"/>
      <c r="C253" s="25" t="n"/>
      <c r="D253" s="25" t="n"/>
      <c r="E253" s="25" t="n"/>
      <c r="F253" s="25" t="n"/>
    </row>
    <row r="254">
      <c r="A254" s="25" t="n"/>
      <c r="B254" s="25" t="n"/>
      <c r="C254" s="25" t="n"/>
      <c r="D254" s="25" t="n"/>
      <c r="E254" s="25" t="n"/>
      <c r="F254" s="25" t="n"/>
    </row>
    <row r="255">
      <c r="A255" s="25" t="n"/>
      <c r="B255" s="25" t="n"/>
      <c r="C255" s="25" t="n"/>
      <c r="D255" s="25" t="n"/>
      <c r="E255" s="25" t="n"/>
      <c r="F255" s="25" t="n"/>
    </row>
    <row r="256">
      <c r="A256" s="25" t="n"/>
      <c r="B256" s="25" t="n"/>
      <c r="C256" s="25" t="n"/>
      <c r="D256" s="25" t="n"/>
      <c r="E256" s="25" t="n"/>
      <c r="F256" s="25" t="n"/>
    </row>
    <row r="257">
      <c r="A257" s="25" t="n"/>
      <c r="B257" s="25" t="n"/>
      <c r="C257" s="25" t="n"/>
      <c r="D257" s="25" t="n"/>
      <c r="E257" s="25" t="n"/>
      <c r="F257" s="25" t="n"/>
    </row>
    <row r="258">
      <c r="A258" s="25" t="n"/>
      <c r="B258" s="25" t="n"/>
      <c r="C258" s="25" t="n"/>
      <c r="D258" s="25" t="n"/>
      <c r="E258" s="25" t="n"/>
      <c r="F258" s="25" t="n"/>
    </row>
    <row r="259">
      <c r="A259" s="25" t="n"/>
      <c r="B259" s="25" t="n"/>
      <c r="C259" s="25" t="n"/>
      <c r="D259" s="25" t="n"/>
      <c r="E259" s="25" t="n"/>
      <c r="F259" s="25" t="n"/>
    </row>
    <row r="260">
      <c r="A260" s="25" t="n"/>
      <c r="B260" s="25" t="n"/>
      <c r="C260" s="25" t="n"/>
      <c r="D260" s="25" t="n"/>
      <c r="E260" s="25" t="n"/>
      <c r="F260" s="25" t="n"/>
    </row>
    <row r="261">
      <c r="A261" s="25" t="n"/>
      <c r="B261" s="25" t="n"/>
      <c r="C261" s="25" t="n"/>
      <c r="D261" s="25" t="n"/>
      <c r="E261" s="25" t="n"/>
      <c r="F261" s="25" t="n"/>
    </row>
    <row r="262">
      <c r="A262" s="25" t="n"/>
      <c r="B262" s="25" t="n"/>
      <c r="C262" s="25" t="n"/>
      <c r="D262" s="25" t="n"/>
      <c r="E262" s="25" t="n"/>
      <c r="F262" s="25" t="n"/>
    </row>
    <row r="263">
      <c r="A263" s="25" t="n"/>
      <c r="B263" s="25" t="n"/>
      <c r="C263" s="25" t="n"/>
      <c r="D263" s="25" t="n"/>
      <c r="E263" s="25" t="n"/>
      <c r="F263" s="25" t="n"/>
    </row>
    <row r="264">
      <c r="A264" s="25" t="n"/>
      <c r="B264" s="25" t="n"/>
      <c r="C264" s="25" t="n"/>
      <c r="D264" s="25" t="n"/>
      <c r="E264" s="25" t="n"/>
      <c r="F264" s="25" t="n"/>
    </row>
    <row r="265">
      <c r="A265" s="25" t="n"/>
      <c r="B265" s="25" t="n"/>
      <c r="C265" s="25" t="n"/>
      <c r="D265" s="25" t="n"/>
      <c r="E265" s="25" t="n"/>
      <c r="F265" s="25" t="n"/>
    </row>
    <row r="266">
      <c r="A266" s="25" t="n"/>
      <c r="B266" s="25" t="n"/>
      <c r="C266" s="25" t="n"/>
      <c r="D266" s="25" t="n"/>
      <c r="E266" s="25" t="n"/>
      <c r="F266" s="25" t="n"/>
    </row>
    <row r="267">
      <c r="A267" s="25" t="n"/>
      <c r="B267" s="25" t="n"/>
      <c r="C267" s="25" t="n"/>
      <c r="D267" s="25" t="n"/>
      <c r="E267" s="25" t="n"/>
      <c r="F267" s="25" t="n"/>
    </row>
    <row r="268">
      <c r="A268" s="25" t="n"/>
      <c r="B268" s="25" t="n"/>
      <c r="C268" s="25" t="n"/>
      <c r="D268" s="25" t="n"/>
      <c r="E268" s="25" t="n"/>
      <c r="F268" s="25" t="n"/>
    </row>
    <row r="269">
      <c r="A269" s="25" t="n"/>
      <c r="B269" s="25" t="n"/>
      <c r="C269" s="25" t="n"/>
      <c r="D269" s="25" t="n"/>
      <c r="E269" s="25" t="n"/>
      <c r="F269" s="25" t="n"/>
    </row>
    <row r="270">
      <c r="A270" s="25" t="n"/>
      <c r="B270" s="25" t="n"/>
      <c r="C270" s="25" t="n"/>
      <c r="D270" s="25" t="n"/>
      <c r="E270" s="25" t="n"/>
      <c r="F270" s="25" t="n"/>
    </row>
    <row r="271">
      <c r="A271" s="25" t="n"/>
      <c r="B271" s="25" t="n"/>
      <c r="C271" s="25" t="n"/>
      <c r="D271" s="25" t="n"/>
      <c r="E271" s="25" t="n"/>
      <c r="F271" s="25" t="n"/>
    </row>
    <row r="272">
      <c r="A272" s="25" t="n"/>
      <c r="B272" s="25" t="n"/>
      <c r="C272" s="25" t="n"/>
      <c r="D272" s="25" t="n"/>
      <c r="E272" s="25" t="n"/>
      <c r="F272" s="25" t="n"/>
    </row>
    <row r="273">
      <c r="A273" s="25" t="n"/>
      <c r="B273" s="25" t="n"/>
      <c r="C273" s="25" t="n"/>
      <c r="D273" s="25" t="n"/>
      <c r="E273" s="25" t="n"/>
      <c r="F273" s="25" t="n"/>
    </row>
    <row r="274">
      <c r="A274" s="25" t="n"/>
      <c r="B274" s="25" t="n"/>
      <c r="C274" s="25" t="n"/>
      <c r="D274" s="25" t="n"/>
      <c r="E274" s="25" t="n"/>
      <c r="F274" s="25" t="n"/>
    </row>
    <row r="275">
      <c r="A275" s="25" t="n"/>
      <c r="B275" s="25" t="n"/>
      <c r="C275" s="25" t="n"/>
      <c r="D275" s="25" t="n"/>
      <c r="E275" s="25" t="n"/>
      <c r="F275" s="25" t="n"/>
    </row>
    <row r="276">
      <c r="A276" s="25" t="n"/>
      <c r="B276" s="25" t="n"/>
      <c r="C276" s="25" t="n"/>
      <c r="D276" s="25" t="n"/>
      <c r="E276" s="25" t="n"/>
      <c r="F276" s="25" t="n"/>
    </row>
    <row r="277">
      <c r="A277" s="25" t="n"/>
      <c r="B277" s="25" t="n"/>
      <c r="C277" s="25" t="n"/>
      <c r="D277" s="25" t="n"/>
      <c r="E277" s="25" t="n"/>
      <c r="F277" s="25" t="n"/>
    </row>
    <row r="278">
      <c r="A278" s="25" t="n"/>
      <c r="B278" s="25" t="n"/>
      <c r="C278" s="25" t="n"/>
      <c r="D278" s="25" t="n"/>
      <c r="E278" s="25" t="n"/>
      <c r="F278" s="25" t="n"/>
    </row>
    <row r="279">
      <c r="A279" s="25" t="n"/>
      <c r="B279" s="25" t="n"/>
      <c r="C279" s="25" t="n"/>
      <c r="D279" s="25" t="n"/>
      <c r="E279" s="25" t="n"/>
      <c r="F279" s="25" t="n"/>
    </row>
    <row r="280">
      <c r="A280" s="25" t="n"/>
      <c r="B280" s="25" t="n"/>
      <c r="C280" s="25" t="n"/>
      <c r="D280" s="25" t="n"/>
      <c r="E280" s="25" t="n"/>
      <c r="F280" s="25" t="n"/>
    </row>
    <row r="281">
      <c r="A281" s="25" t="n"/>
      <c r="B281" s="25" t="n"/>
      <c r="C281" s="25" t="n"/>
      <c r="D281" s="25" t="n"/>
      <c r="E281" s="25" t="n"/>
      <c r="F281" s="25" t="n"/>
    </row>
    <row r="282">
      <c r="A282" s="25" t="n"/>
      <c r="B282" s="25" t="n"/>
      <c r="C282" s="25" t="n"/>
      <c r="D282" s="25" t="n"/>
      <c r="E282" s="25" t="n"/>
      <c r="F282" s="25" t="n"/>
    </row>
    <row r="283">
      <c r="A283" s="25" t="n"/>
      <c r="B283" s="25" t="n"/>
      <c r="C283" s="25" t="n"/>
      <c r="D283" s="25" t="n"/>
      <c r="E283" s="25" t="n"/>
      <c r="F283" s="25" t="n"/>
    </row>
    <row r="284">
      <c r="A284" s="25" t="n"/>
      <c r="B284" s="25" t="n"/>
      <c r="C284" s="25" t="n"/>
      <c r="D284" s="25" t="n"/>
      <c r="E284" s="25" t="n"/>
      <c r="F284" s="25" t="n"/>
    </row>
    <row r="285">
      <c r="A285" s="25" t="n"/>
      <c r="B285" s="25" t="n"/>
      <c r="C285" s="25" t="n"/>
      <c r="D285" s="25" t="n"/>
      <c r="E285" s="25" t="n"/>
      <c r="F285" s="25" t="n"/>
    </row>
    <row r="286">
      <c r="A286" s="25" t="n"/>
      <c r="B286" s="25" t="n"/>
      <c r="C286" s="25" t="n"/>
      <c r="D286" s="25" t="n"/>
      <c r="E286" s="25" t="n"/>
      <c r="F286" s="25" t="n"/>
    </row>
    <row r="287">
      <c r="A287" s="25" t="n"/>
      <c r="B287" s="25" t="n"/>
      <c r="C287" s="25" t="n"/>
      <c r="D287" s="25" t="n"/>
      <c r="E287" s="25" t="n"/>
      <c r="F287" s="25" t="n"/>
    </row>
    <row r="288">
      <c r="A288" s="25" t="n"/>
      <c r="B288" s="25" t="n"/>
      <c r="C288" s="25" t="n"/>
      <c r="D288" s="25" t="n"/>
      <c r="E288" s="25" t="n"/>
      <c r="F288" s="25" t="n"/>
    </row>
    <row r="289">
      <c r="A289" s="25" t="n"/>
      <c r="B289" s="25" t="n"/>
      <c r="C289" s="25" t="n"/>
      <c r="D289" s="25" t="n"/>
      <c r="E289" s="25" t="n"/>
      <c r="F289" s="25" t="n"/>
    </row>
    <row r="290">
      <c r="A290" s="25" t="n"/>
      <c r="B290" s="25" t="n"/>
      <c r="C290" s="25" t="n"/>
      <c r="D290" s="25" t="n"/>
      <c r="E290" s="25" t="n"/>
      <c r="F290" s="25" t="n"/>
    </row>
    <row r="291">
      <c r="A291" s="25" t="n"/>
      <c r="B291" s="25" t="n"/>
      <c r="C291" s="25" t="n"/>
      <c r="D291" s="25" t="n"/>
      <c r="E291" s="25" t="n"/>
      <c r="F291" s="25" t="n"/>
    </row>
    <row r="292">
      <c r="A292" s="25" t="n"/>
      <c r="B292" s="25" t="n"/>
      <c r="C292" s="25" t="n"/>
      <c r="D292" s="25" t="n"/>
      <c r="E292" s="25" t="n"/>
      <c r="F292" s="25" t="n"/>
    </row>
    <row r="293">
      <c r="A293" s="25" t="n"/>
      <c r="B293" s="25" t="n"/>
      <c r="C293" s="25" t="n"/>
      <c r="D293" s="25" t="n"/>
      <c r="E293" s="25" t="n"/>
      <c r="F293" s="25" t="n"/>
    </row>
    <row r="294">
      <c r="A294" s="25" t="n"/>
      <c r="B294" s="25" t="n"/>
      <c r="C294" s="25" t="n"/>
      <c r="D294" s="25" t="n"/>
      <c r="E294" s="25" t="n"/>
      <c r="F294" s="25" t="n"/>
    </row>
    <row r="295">
      <c r="A295" s="25" t="n"/>
      <c r="B295" s="25" t="n"/>
      <c r="C295" s="25" t="n"/>
      <c r="D295" s="25" t="n"/>
      <c r="E295" s="25" t="n"/>
      <c r="F295" s="25" t="n"/>
    </row>
    <row r="296">
      <c r="A296" s="25" t="n"/>
      <c r="B296" s="25" t="n"/>
      <c r="C296" s="25" t="n"/>
      <c r="D296" s="25" t="n"/>
      <c r="E296" s="25" t="n"/>
      <c r="F296" s="25" t="n"/>
    </row>
    <row r="297">
      <c r="A297" s="25" t="n"/>
      <c r="B297" s="25" t="n"/>
      <c r="C297" s="25" t="n"/>
      <c r="D297" s="25" t="n"/>
      <c r="E297" s="25" t="n"/>
      <c r="F297" s="25" t="n"/>
    </row>
    <row r="298">
      <c r="A298" s="25" t="n"/>
      <c r="B298" s="25" t="n"/>
      <c r="C298" s="25" t="n"/>
      <c r="D298" s="25" t="n"/>
      <c r="E298" s="25" t="n"/>
      <c r="F298" s="25" t="n"/>
    </row>
    <row r="299">
      <c r="A299" s="25" t="n"/>
      <c r="B299" s="25" t="n"/>
      <c r="C299" s="25" t="n"/>
      <c r="D299" s="25" t="n"/>
      <c r="E299" s="25" t="n"/>
      <c r="F299" s="25" t="n"/>
    </row>
    <row r="300">
      <c r="A300" s="25" t="n"/>
      <c r="B300" s="25" t="n"/>
      <c r="C300" s="25" t="n"/>
      <c r="D300" s="25" t="n"/>
      <c r="E300" s="25" t="n"/>
      <c r="F300" s="25" t="n"/>
    </row>
    <row r="301">
      <c r="A301" s="25" t="n"/>
      <c r="B301" s="25" t="n"/>
      <c r="C301" s="25" t="n"/>
      <c r="D301" s="25" t="n"/>
      <c r="E301" s="25" t="n"/>
      <c r="F301" s="25" t="n"/>
    </row>
    <row r="302">
      <c r="A302" s="25" t="n"/>
      <c r="B302" s="25" t="n"/>
      <c r="C302" s="25" t="n"/>
      <c r="D302" s="25" t="n"/>
      <c r="E302" s="25" t="n"/>
      <c r="F302" s="25" t="n"/>
    </row>
    <row r="303">
      <c r="A303" s="25" t="n"/>
      <c r="B303" s="25" t="n"/>
      <c r="C303" s="25" t="n"/>
      <c r="D303" s="25" t="n"/>
      <c r="E303" s="25" t="n"/>
      <c r="F303" s="25" t="n"/>
    </row>
    <row r="304">
      <c r="A304" s="25" t="n"/>
      <c r="B304" s="25" t="n"/>
      <c r="C304" s="25" t="n"/>
      <c r="D304" s="25" t="n"/>
      <c r="E304" s="25" t="n"/>
      <c r="F304" s="25" t="n"/>
    </row>
    <row r="305">
      <c r="A305" s="25" t="n"/>
      <c r="B305" s="25" t="n"/>
      <c r="C305" s="25" t="n"/>
      <c r="D305" s="25" t="n"/>
      <c r="E305" s="25" t="n"/>
      <c r="F305" s="25" t="n"/>
    </row>
  </sheetData>
  <autoFilter ref="A5:F305"/>
  <dataValidations count="2">
    <dataValidation sqref="B6:B305" showDropDown="0" showInputMessage="0" showErrorMessage="1" allowBlank="1" errorTitle="Valor no válido" error="Seleccione un valor de la lista." prompt="Seleccione fase del proyecto" type="list">
      <formula1>=Fases</formula1>
    </dataValidation>
    <dataValidation sqref="F6:F305" showDropDown="0" showInputMessage="0" showErrorMessage="1" allowBlank="1" errorTitle="Valor no válido" error="Seleccione un valor de la lista." prompt="Seleccione estado" type="list">
      <formula1>=EstadosRestriccion</formula1>
    </dataValidation>
  </dataValidations>
  <printOptions horizontalCentered="1"/>
  <pageMargins left="0.4" right="0.4" top="0.6" bottom="0.6" header="0.5" footer="0.5"/>
  <pageSetup orientation="portrait" paperSize="9" fitToHeight="0" fitToWidth="1"/>
  <headerFooter>
    <oddHeader>&amp;L&amp;8 Kit de implementación AWP&amp;R&amp;8 Restricciones (copia del registro)</oddHeader>
    <oddFooter>&amp;L&amp;8 Proyecto Tipo (PT) – Complejo de instalaciones en tres fases&amp;R&amp;8 Página &amp;P de &amp;N</oddFooter>
    <evenHeader/>
    <evenFooter/>
    <firstHeader/>
    <firstFooter/>
  </headerFooter>
</worksheet>
</file>

<file path=xl/worksheets/sheet5.xml><?xml version="1.0" encoding="utf-8"?>
<worksheet xmlns="http://schemas.openxmlformats.org/spreadsheetml/2006/main">
  <sheetPr>
    <tabColor rgb="007F7F7F"/>
    <outlinePr summaryBelow="1" summaryRight="1"/>
    <pageSetUpPr/>
  </sheetPr>
  <dimension ref="A1:F18"/>
  <sheetViews>
    <sheetView tabSelected="0" workbookViewId="0">
      <pane ySplit="2" topLeftCell="A3" activePane="bottomLeft" state="frozen"/>
      <selection pane="bottomLeft" activeCell="A1" sqref="A1"/>
    </sheetView>
  </sheetViews>
  <sheetFormatPr baseColWidth="8" defaultRowHeight="15"/>
  <cols>
    <col width="14" customWidth="1" min="1" max="1"/>
    <col width="14" customWidth="1" min="2" max="2"/>
    <col width="14" customWidth="1" min="3" max="3"/>
    <col width="15" customWidth="1" min="4" max="4"/>
    <col width="39" customWidth="1" min="5" max="5"/>
    <col width="14" customWidth="1" min="6" max="6"/>
  </cols>
  <sheetData>
    <row r="1">
      <c r="A1" s="35" t="inlineStr">
        <is>
          <t>Valores de las listas desplegables. Puede ampliarlas agregando valores al final de cada columna y ajustando el rango con nombre (Fórmulas &gt; Administrador de nombres).</t>
        </is>
      </c>
    </row>
    <row r="2">
      <c r="A2" s="36" t="inlineStr">
        <is>
          <t>Fases</t>
        </is>
      </c>
      <c r="B2" s="36" t="inlineStr">
        <is>
          <t>TiposPaquete</t>
        </is>
      </c>
      <c r="C2" s="36" t="inlineStr">
        <is>
          <t>Disciplinas</t>
        </is>
      </c>
      <c r="D2" s="36" t="inlineStr">
        <is>
          <t>EstadosPaquete</t>
        </is>
      </c>
      <c r="E2" s="36" t="inlineStr">
        <is>
          <t>Roles</t>
        </is>
      </c>
      <c r="F2" s="36" t="inlineStr">
        <is>
          <t>EstadosRestriccion</t>
        </is>
      </c>
    </row>
    <row r="3">
      <c r="A3" s="37" t="inlineStr">
        <is>
          <t>Fase 1</t>
        </is>
      </c>
      <c r="B3" s="37" t="inlineStr">
        <is>
          <t>CWA</t>
        </is>
      </c>
      <c r="C3" s="37" t="inlineStr">
        <is>
          <t>CIV</t>
        </is>
      </c>
      <c r="D3" s="37" t="inlineStr">
        <is>
          <t>Planificado</t>
        </is>
      </c>
      <c r="E3" s="37" t="inlineStr">
        <is>
          <t>Gerente del proyecto del cliente</t>
        </is>
      </c>
      <c r="F3" s="37" t="inlineStr">
        <is>
          <t>Abierta</t>
        </is>
      </c>
    </row>
    <row r="4">
      <c r="A4" s="37" t="inlineStr">
        <is>
          <t>Fase 2</t>
        </is>
      </c>
      <c r="B4" s="37" t="inlineStr">
        <is>
          <t>CWP</t>
        </is>
      </c>
      <c r="C4" s="37" t="inlineStr">
        <is>
          <t>EST</t>
        </is>
      </c>
      <c r="D4" s="37" t="inlineStr">
        <is>
          <t>En desarrollo</t>
        </is>
      </c>
      <c r="E4" s="37" t="inlineStr">
        <is>
          <t>Gerente de Proyecto</t>
        </is>
      </c>
      <c r="F4" s="37" t="inlineStr">
        <is>
          <t>En gestión</t>
        </is>
      </c>
    </row>
    <row r="5">
      <c r="A5" s="37" t="inlineStr">
        <is>
          <t>Fase 3</t>
        </is>
      </c>
      <c r="B5" s="37" t="inlineStr">
        <is>
          <t>EWP</t>
        </is>
      </c>
      <c r="C5" s="37" t="inlineStr">
        <is>
          <t>ARQ</t>
        </is>
      </c>
      <c r="D5" s="37" t="inlineStr">
        <is>
          <t>En revisión</t>
        </is>
      </c>
      <c r="E5" s="37" t="inlineStr">
        <is>
          <t>AWP Champion</t>
        </is>
      </c>
      <c r="F5" s="37" t="inlineStr">
        <is>
          <t>Liberada</t>
        </is>
      </c>
    </row>
    <row r="6">
      <c r="B6" s="37" t="inlineStr">
        <is>
          <t>PWP</t>
        </is>
      </c>
      <c r="C6" s="37" t="inlineStr">
        <is>
          <t>MEC</t>
        </is>
      </c>
      <c r="D6" s="37" t="inlineStr">
        <is>
          <t>Aprobado</t>
        </is>
      </c>
      <c r="E6" s="37" t="inlineStr">
        <is>
          <t>Líder de WFP</t>
        </is>
      </c>
      <c r="F6" s="37" t="inlineStr">
        <is>
          <t>Cancelada</t>
        </is>
      </c>
    </row>
    <row r="7">
      <c r="B7" s="37" t="inlineStr">
        <is>
          <t>IWP</t>
        </is>
      </c>
      <c r="C7" s="37" t="inlineStr">
        <is>
          <t>TUB</t>
        </is>
      </c>
      <c r="D7" s="37" t="inlineStr">
        <is>
          <t>Liberado</t>
        </is>
      </c>
      <c r="E7" s="37" t="inlineStr">
        <is>
          <t>Planificador de frente de trabajo</t>
        </is>
      </c>
    </row>
    <row r="8">
      <c r="C8" s="37" t="inlineStr">
        <is>
          <t>ELE</t>
        </is>
      </c>
      <c r="D8" s="37" t="inlineStr">
        <is>
          <t>En ejecución</t>
        </is>
      </c>
      <c r="E8" s="37" t="inlineStr">
        <is>
          <t>Líder de Ingeniería</t>
        </is>
      </c>
    </row>
    <row r="9">
      <c r="C9" s="37" t="inlineStr">
        <is>
          <t>INS</t>
        </is>
      </c>
      <c r="D9" s="37" t="inlineStr">
        <is>
          <t>Cerrado</t>
        </is>
      </c>
      <c r="E9" s="37" t="inlineStr">
        <is>
          <t>Líder de Procura</t>
        </is>
      </c>
    </row>
    <row r="10">
      <c r="C10" s="37" t="inlineStr">
        <is>
          <t>VAR</t>
        </is>
      </c>
      <c r="D10" s="37" t="inlineStr">
        <is>
          <t>Suspendido</t>
        </is>
      </c>
      <c r="E10" s="37" t="inlineStr">
        <is>
          <t>Gestor de materiales</t>
        </is>
      </c>
    </row>
    <row r="11">
      <c r="E11" s="37" t="inlineStr">
        <is>
          <t>Gerente de Construcción</t>
        </is>
      </c>
    </row>
    <row r="12">
      <c r="E12" s="37" t="inlineStr">
        <is>
          <t>Superintendente / capataz general</t>
        </is>
      </c>
    </row>
    <row r="13">
      <c r="E13" s="37" t="inlineStr">
        <is>
          <t>Controles del proyecto</t>
        </is>
      </c>
    </row>
    <row r="14">
      <c r="E14" s="37" t="inlineStr">
        <is>
          <t>Coordinador de gestión de información</t>
        </is>
      </c>
    </row>
    <row r="15">
      <c r="E15" s="37" t="inlineStr">
        <is>
          <t>Líder de HSE</t>
        </is>
      </c>
    </row>
    <row r="16">
      <c r="E16" s="37" t="inlineStr">
        <is>
          <t>Líder de calidad (QA/QC)</t>
        </is>
      </c>
    </row>
    <row r="17">
      <c r="E17" s="37" t="inlineStr">
        <is>
          <t>Líder de comisionamiento</t>
        </is>
      </c>
    </row>
    <row r="18">
      <c r="E18" s="37" t="inlineStr">
        <is>
          <t>Subcontratista de especialidad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Kit de implementación AWP</dc:creator>
  <dc:title xmlns:dc="http://purl.org/dc/elements/1.1/">Seguimiento de paquetes</dc:title>
  <dc:subject xmlns:dc="http://purl.org/dc/elements/1.1/">Proyecto Tipo (PT) – Complejo de instalaciones en tres fases</dc:subject>
  <dcterms:created xmlns:dcterms="http://purl.org/dc/terms/" xmlns:xsi="http://www.w3.org/2001/XMLSchema-instance" xsi:type="dcterms:W3CDTF">2026-09-25T03:31:51Z</dcterms:created>
  <dcterms:modified xmlns:dcterms="http://purl.org/dc/terms/" xmlns:xsi="http://www.w3.org/2001/XMLSchema-instance" xsi:type="dcterms:W3CDTF">2026-09-25T03:31:52Z</dcterms:modified>
</cp:coreProperties>
</file>