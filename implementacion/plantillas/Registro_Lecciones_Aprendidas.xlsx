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Lecciones" sheetId="2" state="visible" r:id="rId2"/>
    <sheet xmlns:r="http://schemas.openxmlformats.org/officeDocument/2006/relationships" name="Resumen" sheetId="3" state="visible" r:id="rId3"/>
    <sheet xmlns:r="http://schemas.openxmlformats.org/officeDocument/2006/relationships" name="Listas" sheetId="4" state="visible" r:id="rId4"/>
  </sheets>
  <definedNames>
    <definedName name="Fases">Listas!$A$3:$A$5</definedName>
    <definedName name="Etapas">Listas!$B$3:$B$7</definedName>
    <definedName name="Roles">Listas!$C$3:$C$18</definedName>
    <definedName name="CategoriasLeccion">Listas!$D$3:$D$13</definedName>
    <definedName name="EstadosLeccion">Listas!$E$3:$E$8</definedName>
    <definedName name="_xlnm.Print_Area" localSheetId="0">'Instrucciones'!$A$1:$C$34</definedName>
    <definedName name="_xlnm._FilterDatabase" localSheetId="1" hidden="1">'Lecciones'!$A$5:$S$305</definedName>
    <definedName name="_xlnm.Print_Titles" localSheetId="1">'Lecciones'!$5:$5</definedName>
    <definedName name="_xlnm.Print_Area" localSheetId="1">'Lecciones'!$A$1:$S$55</definedName>
    <definedName name="_xlnm.Print_Area" localSheetId="2">'Resumen'!$A$1:$I$15</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13">
    <font>
      <name val="Calibri"/>
      <family val="2"/>
      <color theme="1"/>
      <sz val="11"/>
      <scheme val="minor"/>
    </font>
    <font>
      <name val="Calibri"/>
      <b val="1"/>
      <color rgb="001F3864"/>
      <sz val="15"/>
    </font>
    <font>
      <name val="Calibri"/>
      <i val="1"/>
      <color rgb="00595959"/>
      <sz val="10"/>
    </font>
    <font>
      <name val="Calibri"/>
      <b val="1"/>
      <sz val="10"/>
    </font>
    <font>
      <name val="Calibri"/>
      <b val="1"/>
      <color rgb="00FFFFFF"/>
      <sz val="10"/>
    </font>
    <font>
      <name val="Calibri"/>
      <color rgb="00000000"/>
      <sz val="10"/>
    </font>
    <font>
      <name val="Calibri"/>
      <color rgb="00404040"/>
      <sz val="10"/>
    </font>
    <font>
      <name val="Calibri"/>
      <b val="1"/>
      <color rgb="001F3864"/>
      <sz val="12"/>
    </font>
    <font>
      <name val="Calibri"/>
      <sz val="10"/>
    </font>
    <font>
      <name val="Calibri"/>
      <b val="1"/>
      <color rgb="001F3864"/>
      <sz val="16"/>
    </font>
    <font>
      <name val="Calibri"/>
      <b val="1"/>
      <color rgb="001F3864"/>
      <sz val="11"/>
    </font>
    <font>
      <name val="Calibri"/>
      <b val="1"/>
      <color rgb="00FFFFFF"/>
    </font>
    <font>
      <name val="Calibri"/>
      <i val="1"/>
      <sz val="9"/>
    </font>
  </fonts>
  <fills count="7">
    <fill>
      <patternFill/>
    </fill>
    <fill>
      <patternFill patternType="gray125"/>
    </fill>
    <fill>
      <patternFill patternType="solid">
        <fgColor rgb="00DCE6F2"/>
        <bgColor rgb="00DCE6F2"/>
      </patternFill>
    </fill>
    <fill>
      <patternFill patternType="solid">
        <fgColor rgb="001F3864"/>
        <bgColor rgb="001F3864"/>
      </patternFill>
    </fill>
    <fill>
      <patternFill patternType="solid">
        <fgColor rgb="002F5597"/>
        <bgColor rgb="002F5597"/>
      </patternFill>
    </fill>
    <fill>
      <patternFill patternType="solid">
        <fgColor rgb="00FFF2CC"/>
        <bgColor rgb="00FFF2CC"/>
      </patternFill>
    </fill>
    <fill>
      <patternFill patternType="solid">
        <fgColor rgb="00F2F2F2"/>
        <b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9" fillId="0" borderId="0" pivotButton="0" quotePrefix="0" xfId="0"/>
    <xf numFmtId="0" fontId="2" fillId="0" borderId="0" pivotButton="0" quotePrefix="0" xfId="0"/>
    <xf numFmtId="0" fontId="10" fillId="0" borderId="0" applyAlignment="1" pivotButton="0" quotePrefix="0" xfId="0">
      <alignment vertical="top"/>
    </xf>
    <xf numFmtId="0" fontId="8" fillId="0" borderId="0" applyAlignment="1" pivotButton="0" quotePrefix="0" xfId="0">
      <alignment vertical="top" wrapText="1"/>
    </xf>
    <xf numFmtId="0" fontId="7" fillId="0" borderId="0" pivotButton="0" quotePrefix="0" xfId="0"/>
    <xf numFmtId="0" fontId="11" fillId="3" borderId="1" pivotButton="0" quotePrefix="0" xfId="0"/>
    <xf numFmtId="0" fontId="3" fillId="0" borderId="1" applyAlignment="1" pivotButton="0" quotePrefix="0" xfId="0">
      <alignment vertical="top" wrapText="1"/>
    </xf>
    <xf numFmtId="0" fontId="8" fillId="0" borderId="1" applyAlignment="1" pivotButton="0" quotePrefix="0" xfId="0">
      <alignment vertical="top" wrapText="1"/>
    </xf>
    <xf numFmtId="0" fontId="3" fillId="6" borderId="1" applyAlignment="1" pivotButton="0" quotePrefix="0" xfId="0">
      <alignment vertical="top" wrapText="1"/>
    </xf>
    <xf numFmtId="0" fontId="8" fillId="6" borderId="1" applyAlignment="1" pivotButton="0" quotePrefix="0" xfId="0">
      <alignment vertical="top" wrapText="1"/>
    </xf>
    <xf numFmtId="0" fontId="1" fillId="0" borderId="0" pivotButton="0" quotePrefix="0" xfId="0"/>
    <xf numFmtId="0" fontId="3" fillId="0" borderId="0" applyAlignment="1" pivotButton="0" quotePrefix="0" xfId="0">
      <alignment horizontal="right"/>
    </xf>
    <xf numFmtId="165" fontId="3" fillId="2" borderId="1" pivotButton="0" quotePrefix="0" xfId="0"/>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5" borderId="1" applyAlignment="1" pivotButton="0" quotePrefix="0" xfId="0">
      <alignment horizontal="center" vertical="top"/>
    </xf>
    <xf numFmtId="0" fontId="5" fillId="5" borderId="1" applyAlignment="1" pivotButton="0" quotePrefix="0" xfId="0">
      <alignment vertical="top"/>
    </xf>
    <xf numFmtId="0" fontId="5" fillId="5" borderId="1" applyAlignment="1" pivotButton="0" quotePrefix="0" xfId="0">
      <alignment vertical="top" wrapText="1"/>
    </xf>
    <xf numFmtId="165" fontId="5" fillId="5" borderId="1" applyAlignment="1" pivotButton="0" quotePrefix="0" xfId="0">
      <alignment horizontal="center" vertical="top"/>
    </xf>
    <xf numFmtId="3" fontId="6" fillId="5" borderId="1" applyAlignment="1" pivotButton="0" quotePrefix="0" xfId="0">
      <alignment vertical="top"/>
    </xf>
    <xf numFmtId="0" fontId="6" fillId="5" borderId="1" applyAlignment="1" pivotButton="0" quotePrefix="0" xfId="0">
      <alignment vertical="top"/>
    </xf>
    <xf numFmtId="0" fontId="5" fillId="0" borderId="1" applyAlignment="1" pivotButton="0" quotePrefix="0" xfId="0">
      <alignment horizontal="center" vertical="top"/>
    </xf>
    <xf numFmtId="0" fontId="5" fillId="0" borderId="1" applyAlignment="1" pivotButton="0" quotePrefix="0" xfId="0">
      <alignment vertical="top"/>
    </xf>
    <xf numFmtId="0" fontId="5" fillId="0" borderId="1" applyAlignment="1" pivotButton="0" quotePrefix="0" xfId="0">
      <alignment vertical="top" wrapText="1"/>
    </xf>
    <xf numFmtId="165" fontId="5" fillId="0" borderId="1" applyAlignment="1" pivotButton="0" quotePrefix="0" xfId="0">
      <alignment horizontal="center" vertical="top"/>
    </xf>
    <xf numFmtId="3" fontId="6" fillId="6" borderId="1" applyAlignment="1" pivotButton="0" quotePrefix="0" xfId="0">
      <alignment vertical="top"/>
    </xf>
    <xf numFmtId="0" fontId="6" fillId="6" borderId="1" applyAlignment="1" pivotButton="0" quotePrefix="0" xfId="0">
      <alignment vertical="top"/>
    </xf>
    <xf numFmtId="0" fontId="3" fillId="2" borderId="1" pivotButton="0" quotePrefix="0" xfId="0"/>
    <xf numFmtId="1" fontId="8" fillId="0" borderId="1" applyAlignment="1" pivotButton="0" quotePrefix="0" xfId="0">
      <alignment horizontal="center"/>
    </xf>
    <xf numFmtId="0" fontId="12" fillId="0" borderId="0" pivotButton="0" quotePrefix="0" xfId="0"/>
    <xf numFmtId="0" fontId="11" fillId="3" borderId="0" pivotButton="0" quotePrefix="0" xfId="0"/>
    <xf numFmtId="0" fontId="8" fillId="0" borderId="0" pivotButton="0" quotePrefix="0" xfId="0"/>
  </cellXfs>
  <cellStyles count="1">
    <cellStyle name="Normal" xfId="0" builtinId="0" hidden="0"/>
  </cellStyles>
  <dxfs count="3">
    <dxf>
      <font>
        <color rgb="009C0006"/>
      </font>
      <fill>
        <patternFill patternType="solid">
          <fgColor rgb="00F8CBAD"/>
          <bgColor rgb="00F8CBAD"/>
        </patternFill>
      </fill>
    </dxf>
    <dxf>
      <fill>
        <patternFill patternType="solid">
          <fgColor rgb="00FFE699"/>
          <bgColor rgb="00FFE699"/>
        </patternFill>
      </fill>
    </dxf>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548235"/>
    <outlinePr summaryBelow="1" summaryRight="1"/>
    <pageSetUpPr fitToPage="1"/>
  </sheetPr>
  <dimension ref="A1:C32"/>
  <sheetViews>
    <sheetView tabSelected="1" workbookViewId="0">
      <pane ySplit="3" topLeftCell="A4" activePane="bottomLeft" state="frozen"/>
      <selection pane="bottomLeft" activeCell="A1" sqref="A1"/>
    </sheetView>
  </sheetViews>
  <sheetFormatPr baseColWidth="8" defaultRowHeight="15"/>
  <cols>
    <col width="30" customWidth="1" min="1" max="1"/>
    <col width="70" customWidth="1" min="2" max="2"/>
    <col width="14" customWidth="1" min="3" max="3"/>
  </cols>
  <sheetData>
    <row r="1">
      <c r="A1" s="1" t="inlineStr">
        <is>
          <t>Registro de lecciones aprendidas</t>
        </is>
      </c>
    </row>
    <row r="2">
      <c r="A2" s="2" t="inlineStr">
        <is>
          <t>Kit de implementación AWP · Proyecto Tipo (PT) – Complejo de instalaciones en tres fases</t>
        </is>
      </c>
    </row>
    <row r="4" ht="28" customHeight="1">
      <c r="A4" s="3" t="inlineStr">
        <is>
          <t>Propósito</t>
        </is>
      </c>
      <c r="B4" s="4" t="inlineStr">
        <is>
          <t>Capturar las lecciones aprendidas de cada fase del proyecto y asegurar que se conviertan en acciones implementadas y verificadas en la fase siguiente.</t>
        </is>
      </c>
    </row>
    <row r="5" ht="28" customHeight="1">
      <c r="A5" s="3" t="inlineStr">
        <is>
          <t>Por qué se incluye</t>
        </is>
      </c>
      <c r="B5" s="4" t="inlineStr">
        <is>
          <t>El curso 2023 dedica una lección a las lecciones aprendidas y el plan exige transferirlas entre fases superpuestas; el registro las convierte en acciones con dueño y fecha.</t>
        </is>
      </c>
    </row>
    <row r="6" ht="28" customHeight="1">
      <c r="A6" s="3" t="inlineStr">
        <is>
          <t>Cuándo se usa</t>
        </is>
      </c>
      <c r="B6" s="4" t="inlineStr">
        <is>
          <t>De forma continua; se analiza en la revisión trimestral, en el Comité AWP y al cierre de cada fase (antes de las puertas de control de M14 y M20).</t>
        </is>
      </c>
    </row>
    <row r="7" ht="28" customHeight="1">
      <c r="A7" s="3" t="inlineStr">
        <is>
          <t>Quién la llena</t>
        </is>
      </c>
      <c r="B7" s="4" t="inlineStr">
        <is>
          <t>Cualquier miembro del equipo registra; el Líder de WFP consolida; el AWP Champion analiza y el Comité AWP aprueba las acciones.</t>
        </is>
      </c>
    </row>
    <row r="8" ht="84" customHeight="1">
      <c r="A8" s="3" t="inlineStr">
        <is>
          <t>Cómo llenarla</t>
        </is>
      </c>
      <c r="B8" s="4" t="inlineStr">
        <is>
          <t>1. Actualice la fecha de corte (B3).
2. Borre las filas amarillas de ejemplo.
3. Registre el evento con datos concretos y su causa raíz; no culpe a personas.
4. Formule la lección como recomendación y proponga una acción concreta sobre un documento.
5. Asigne responsable, fase de aplicación y fecha compromiso.
6. Actualice el estado hasta «Verificada», con la evidencia (KPI, auditoría).</t>
        </is>
      </c>
    </row>
    <row r="9" ht="42" customHeight="1">
      <c r="A9" s="3" t="inlineStr">
        <is>
          <t>Colores</t>
        </is>
      </c>
      <c r="B9" s="4" t="inlineStr">
        <is>
          <t>Amarillo: fila de ejemplo (bórrela o reemplácela). Encabezado azul oscuro: dato que se ingresa. Encabezado azul medio y celda gris: columna calculada con fórmula (no la sobrescriba). Rojo: vencido o fuera de meta. Ámbar: por vencer o cerca del límite. Verde: cumplido.</t>
        </is>
      </c>
    </row>
    <row r="10" ht="42" customHeight="1">
      <c r="A10" s="3" t="inlineStr">
        <is>
          <t>Impresión</t>
        </is>
      </c>
      <c r="B10" s="4" t="inlineStr">
        <is>
          <t>Cada hoja está configurada en A4, ajustada al ancho de la página, con el encabezado repetido en cada página. El área de impresión de las hojas de datos cubre las primeras 50 filas: si usa más, amplíela en Diseño de página &gt; Área de impresión.</t>
        </is>
      </c>
    </row>
    <row r="12">
      <c r="A12" s="5" t="inlineStr">
        <is>
          <t>Columnas de la hoja «Lecciones»</t>
        </is>
      </c>
    </row>
    <row r="13">
      <c r="A13" s="6" t="inlineStr">
        <is>
          <t>Columna</t>
        </is>
      </c>
      <c r="B13" s="6" t="inlineStr">
        <is>
          <t>Significado</t>
        </is>
      </c>
      <c r="C13" s="6" t="inlineStr">
        <is>
          <t>Tipo de dato</t>
        </is>
      </c>
    </row>
    <row r="14" ht="15" customHeight="1">
      <c r="A14" s="7" t="inlineStr">
        <is>
          <t>Ejemplo</t>
        </is>
      </c>
      <c r="B14" s="8" t="inlineStr">
        <is>
          <t>Contiene «EJEMPLO» en las filas de ejemplo. Déjela vacía en las filas reales.</t>
        </is>
      </c>
      <c r="C14" s="8" t="inlineStr">
        <is>
          <t>Manual</t>
        </is>
      </c>
    </row>
    <row r="15" ht="15" customHeight="1">
      <c r="A15" s="7" t="inlineStr">
        <is>
          <t>ID</t>
        </is>
      </c>
      <c r="B15" s="8" t="inlineStr">
        <is>
          <t>Identificador (LA-01, LA-02…).</t>
        </is>
      </c>
      <c r="C15" s="8" t="inlineStr">
        <is>
          <t>Manual</t>
        </is>
      </c>
    </row>
    <row r="16" ht="15" customHeight="1">
      <c r="A16" s="7" t="inlineStr">
        <is>
          <t>Fase de origen</t>
        </is>
      </c>
      <c r="B16" s="8" t="inlineStr">
        <is>
          <t>Fase del proyecto en que se produjo la lección.</t>
        </is>
      </c>
      <c r="C16" s="8" t="inlineStr">
        <is>
          <t>Lista</t>
        </is>
      </c>
    </row>
    <row r="17" ht="15" customHeight="1">
      <c r="A17" s="7" t="inlineStr">
        <is>
          <t>Etapa del ciclo de vida</t>
        </is>
      </c>
      <c r="B17" s="8" t="inlineStr">
        <is>
          <t>Etapa del ciclo de vida relacionada.</t>
        </is>
      </c>
      <c r="C17" s="8" t="inlineStr">
        <is>
          <t>Lista</t>
        </is>
      </c>
    </row>
    <row r="18" ht="15" customHeight="1">
      <c r="A18" s="7" t="inlineStr">
        <is>
          <t>Categoría</t>
        </is>
      </c>
      <c r="B18" s="8" t="inlineStr">
        <is>
          <t>Tema de la lección.</t>
        </is>
      </c>
      <c r="C18" s="8" t="inlineStr">
        <is>
          <t>Lista</t>
        </is>
      </c>
    </row>
    <row r="19" ht="15" customHeight="1">
      <c r="A19" s="7" t="inlineStr">
        <is>
          <t>Tipo</t>
        </is>
      </c>
      <c r="B19" s="8" t="inlineStr">
        <is>
          <t>Positiva (práctica a repetir) o Negativa (problema a evitar).</t>
        </is>
      </c>
      <c r="C19" s="8" t="inlineStr">
        <is>
          <t>Lista</t>
        </is>
      </c>
    </row>
    <row r="20" ht="15" customHeight="1">
      <c r="A20" s="7" t="inlineStr">
        <is>
          <t>Evento o situación</t>
        </is>
      </c>
      <c r="B20" s="8" t="inlineStr">
        <is>
          <t>Qué pasó, con datos concretos.</t>
        </is>
      </c>
      <c r="C20" s="8" t="inlineStr">
        <is>
          <t>Manual</t>
        </is>
      </c>
    </row>
    <row r="21" ht="15" customHeight="1">
      <c r="A21" s="7" t="inlineStr">
        <is>
          <t>Causa raíz</t>
        </is>
      </c>
      <c r="B21" s="8" t="inlineStr">
        <is>
          <t>Por qué pasó.</t>
        </is>
      </c>
      <c r="C21" s="8" t="inlineStr">
        <is>
          <t>Manual</t>
        </is>
      </c>
    </row>
    <row r="22" ht="15" customHeight="1">
      <c r="A22" s="7" t="inlineStr">
        <is>
          <t>Impacto</t>
        </is>
      </c>
      <c r="B22" s="8" t="inlineStr">
        <is>
          <t>Alto, Medio o Bajo.</t>
        </is>
      </c>
      <c r="C22" s="8" t="inlineStr">
        <is>
          <t>Lista</t>
        </is>
      </c>
    </row>
    <row r="23" ht="15" customHeight="1">
      <c r="A23" s="7" t="inlineStr">
        <is>
          <t>Lección / recomendación</t>
        </is>
      </c>
      <c r="B23" s="8" t="inlineStr">
        <is>
          <t>Qué debe hacerse (o repetirse) en adelante.</t>
        </is>
      </c>
      <c r="C23" s="8" t="inlineStr">
        <is>
          <t>Manual</t>
        </is>
      </c>
    </row>
    <row r="24" ht="15" customHeight="1">
      <c r="A24" s="7" t="inlineStr">
        <is>
          <t>Acción propuesta</t>
        </is>
      </c>
      <c r="B24" s="8" t="inlineStr">
        <is>
          <t>Cambio concreto: procedimiento, plantilla, meta, contrato, formación.</t>
        </is>
      </c>
      <c r="C24" s="8" t="inlineStr">
        <is>
          <t>Manual</t>
        </is>
      </c>
    </row>
    <row r="25" ht="15" customHeight="1">
      <c r="A25" s="7" t="inlineStr">
        <is>
          <t>Documento afectado</t>
        </is>
      </c>
      <c r="B25" s="8" t="inlineStr">
        <is>
          <t>Documento o plantilla que se actualiza.</t>
        </is>
      </c>
      <c r="C25" s="8" t="inlineStr">
        <is>
          <t>Manual</t>
        </is>
      </c>
    </row>
    <row r="26" ht="15" customHeight="1">
      <c r="A26" s="7" t="inlineStr">
        <is>
          <t>Fase de aplicación</t>
        </is>
      </c>
      <c r="B26" s="8" t="inlineStr">
        <is>
          <t>Fase del proyecto en que se aplicará la acción.</t>
        </is>
      </c>
      <c r="C26" s="8" t="inlineStr">
        <is>
          <t>Lista</t>
        </is>
      </c>
    </row>
    <row r="27" ht="15" customHeight="1">
      <c r="A27" s="7" t="inlineStr">
        <is>
          <t>Responsable (rol)</t>
        </is>
      </c>
      <c r="B27" s="8" t="inlineStr">
        <is>
          <t>Rol responsable de implementar la acción.</t>
        </is>
      </c>
      <c r="C27" s="8" t="inlineStr">
        <is>
          <t>Lista</t>
        </is>
      </c>
    </row>
    <row r="28" ht="28" customHeight="1">
      <c r="A28" s="7" t="inlineStr">
        <is>
          <t>Fecha compromiso</t>
        </is>
      </c>
      <c r="B28" s="8" t="inlineStr">
        <is>
          <t>Fecha límite de implementación (antes de la puerta de control de la fase siguiente).</t>
        </is>
      </c>
      <c r="C28" s="8" t="inlineStr">
        <is>
          <t>Manual</t>
        </is>
      </c>
    </row>
    <row r="29" ht="15" customHeight="1">
      <c r="A29" s="7" t="inlineStr">
        <is>
          <t>Estado</t>
        </is>
      </c>
      <c r="B29" s="8" t="inlineStr">
        <is>
          <t>Registrada, En análisis, Aprobada, Implementada, Verificada o Descartada.</t>
        </is>
      </c>
      <c r="C29" s="8" t="inlineStr">
        <is>
          <t>Lista</t>
        </is>
      </c>
    </row>
    <row r="30" ht="15" customHeight="1">
      <c r="A30" s="7" t="inlineStr">
        <is>
          <t>Verificación (KPI / evidencia)</t>
        </is>
      </c>
      <c r="B30" s="8" t="inlineStr">
        <is>
          <t>Cómo se comprobó que la acción funcionó.</t>
        </is>
      </c>
      <c r="C30" s="8" t="inlineStr">
        <is>
          <t>Manual</t>
        </is>
      </c>
    </row>
    <row r="31" ht="28" customHeight="1">
      <c r="A31" s="9" t="inlineStr">
        <is>
          <t>Días para vencer</t>
        </is>
      </c>
      <c r="B31" s="10" t="inlineStr">
        <is>
          <t>Calculado: días hasta la fecha compromiso (negativo si venció). Vacío si está cerrada.</t>
        </is>
      </c>
      <c r="C31" s="10" t="inlineStr">
        <is>
          <t>Calculado</t>
        </is>
      </c>
    </row>
    <row r="32" ht="15" customHeight="1">
      <c r="A32" s="9" t="inlineStr">
        <is>
          <t>Situación</t>
        </is>
      </c>
      <c r="B32" s="10" t="inlineStr">
        <is>
          <t>Calculado: Vencida, Por vencer (≤ 15 días), En plazo o Cerrada.</t>
        </is>
      </c>
      <c r="C32" s="10" t="inlineStr">
        <is>
          <t>Calculado</t>
        </is>
      </c>
    </row>
  </sheetData>
  <mergeCells count="7">
    <mergeCell ref="B6:C6"/>
    <mergeCell ref="B7:C7"/>
    <mergeCell ref="B5:C5"/>
    <mergeCell ref="B10:C10"/>
    <mergeCell ref="B9:C9"/>
    <mergeCell ref="B8:C8"/>
    <mergeCell ref="B4:C4"/>
  </mergeCells>
  <printOptions horizontalCentered="1"/>
  <pageMargins left="0.4" right="0.4" top="0.6" bottom="0.6" header="0.5" footer="0.5"/>
  <pageSetup orientation="portrait" paperSize="9" fitToHeight="0" fitToWidth="1"/>
  <headerFooter>
    <oddHeader>&amp;L&amp;8 Kit de implementación AWP&amp;R&amp;8 Registro de lecciones aprendidas</oddHeader>
    <oddFooter>&amp;L&amp;8 Proyecto Tipo (PT) – Complejo de instalaciones en tres fases&amp;R&amp;8 Página &amp;P de &amp;N</oddFooter>
    <evenHeader/>
    <evenFooter/>
    <firstHeader/>
    <firstFooter/>
  </headerFooter>
</worksheet>
</file>

<file path=xl/worksheets/sheet2.xml><?xml version="1.0" encoding="utf-8"?>
<worksheet xmlns="http://schemas.openxmlformats.org/spreadsheetml/2006/main">
  <sheetPr>
    <tabColor rgb="001F3864"/>
    <outlinePr summaryBelow="1" summaryRight="1"/>
    <pageSetUpPr fitToPage="1"/>
  </sheetPr>
  <dimension ref="A1:S305"/>
  <sheetViews>
    <sheetView tabSelected="0" workbookViewId="0">
      <pane xSplit="2" ySplit="5" topLeftCell="C6" activePane="bottomRight" state="frozen"/>
      <selection pane="topRight"/>
      <selection pane="bottomLeft"/>
      <selection pane="bottomRight" activeCell="A1" sqref="A1"/>
    </sheetView>
  </sheetViews>
  <sheetFormatPr baseColWidth="8" defaultRowHeight="15"/>
  <cols>
    <col width="10" customWidth="1" min="1" max="1"/>
    <col width="7" customWidth="1" min="2" max="2"/>
    <col width="10" customWidth="1" min="3" max="3"/>
    <col width="16" customWidth="1" min="4" max="4"/>
    <col width="17" customWidth="1" min="5" max="5"/>
    <col width="9" customWidth="1" min="6" max="6"/>
    <col width="36" customWidth="1" min="7" max="7"/>
    <col width="26" customWidth="1" min="8" max="8"/>
    <col width="8" customWidth="1" min="9" max="9"/>
    <col width="32" customWidth="1" min="10" max="10"/>
    <col width="32" customWidth="1" min="11" max="11"/>
    <col width="20" customWidth="1" min="12" max="12"/>
    <col width="10" customWidth="1" min="13" max="13"/>
    <col width="20" customWidth="1" min="14" max="14"/>
    <col width="11" customWidth="1" min="15" max="15"/>
    <col width="12" customWidth="1" min="16" max="16"/>
    <col width="26" customWidth="1" min="17" max="17"/>
    <col width="9" customWidth="1" min="18" max="18"/>
    <col width="11" customWidth="1" min="19" max="19"/>
  </cols>
  <sheetData>
    <row r="1" ht="24" customHeight="1">
      <c r="A1" s="11" t="inlineStr">
        <is>
          <t>Registro de lecciones aprendidas</t>
        </is>
      </c>
    </row>
    <row r="2">
      <c r="A2" s="2" t="inlineStr">
        <is>
          <t>Proyecto Tipo (PT) – Complejo de instalaciones en tres fases. Las filas en amarillo marcadas «EJEMPLO» son de ejemplo: bórrelas o reemplácelas.</t>
        </is>
      </c>
    </row>
    <row r="3">
      <c r="A3" s="12" t="inlineStr">
        <is>
          <t>Fecha de corte:</t>
        </is>
      </c>
      <c r="B3" s="13" t="n">
        <v>46919</v>
      </c>
    </row>
    <row r="5" ht="42" customHeight="1">
      <c r="A5" s="14" t="inlineStr">
        <is>
          <t>Ejemplo</t>
        </is>
      </c>
      <c r="B5" s="14" t="inlineStr">
        <is>
          <t>ID</t>
        </is>
      </c>
      <c r="C5" s="14" t="inlineStr">
        <is>
          <t>Fase de origen</t>
        </is>
      </c>
      <c r="D5" s="14" t="inlineStr">
        <is>
          <t>Etapa del ciclo de vida</t>
        </is>
      </c>
      <c r="E5" s="14" t="inlineStr">
        <is>
          <t>Categoría</t>
        </is>
      </c>
      <c r="F5" s="14" t="inlineStr">
        <is>
          <t>Tipo</t>
        </is>
      </c>
      <c r="G5" s="14" t="inlineStr">
        <is>
          <t>Evento o situación</t>
        </is>
      </c>
      <c r="H5" s="14" t="inlineStr">
        <is>
          <t>Causa raíz</t>
        </is>
      </c>
      <c r="I5" s="14" t="inlineStr">
        <is>
          <t>Impacto</t>
        </is>
      </c>
      <c r="J5" s="14" t="inlineStr">
        <is>
          <t>Lección / recomendación</t>
        </is>
      </c>
      <c r="K5" s="14" t="inlineStr">
        <is>
          <t>Acción propuesta</t>
        </is>
      </c>
      <c r="L5" s="14" t="inlineStr">
        <is>
          <t>Documento afectado</t>
        </is>
      </c>
      <c r="M5" s="14" t="inlineStr">
        <is>
          <t>Fase de aplicación</t>
        </is>
      </c>
      <c r="N5" s="14" t="inlineStr">
        <is>
          <t>Responsable (rol)</t>
        </is>
      </c>
      <c r="O5" s="14" t="inlineStr">
        <is>
          <t>Fecha compromiso</t>
        </is>
      </c>
      <c r="P5" s="14" t="inlineStr">
        <is>
          <t>Estado</t>
        </is>
      </c>
      <c r="Q5" s="14" t="inlineStr">
        <is>
          <t>Verificación (KPI / evidencia)</t>
        </is>
      </c>
      <c r="R5" s="15" t="inlineStr">
        <is>
          <t>Días para vencer</t>
        </is>
      </c>
      <c r="S5" s="15" t="inlineStr">
        <is>
          <t>Situación</t>
        </is>
      </c>
    </row>
    <row r="6">
      <c r="A6" s="16" t="inlineStr">
        <is>
          <t>EJEMPLO</t>
        </is>
      </c>
      <c r="B6" s="17" t="inlineStr">
        <is>
          <t>LA-01</t>
        </is>
      </c>
      <c r="C6" s="17" t="inlineStr">
        <is>
          <t>Fase 1</t>
        </is>
      </c>
      <c r="D6" s="17" t="inlineStr">
        <is>
          <t>Construcción</t>
        </is>
      </c>
      <c r="E6" s="17" t="inlineStr">
        <is>
          <t>Definición de paquetes</t>
        </is>
      </c>
      <c r="F6" s="17" t="inlineStr">
        <is>
          <t>Negativa</t>
        </is>
      </c>
      <c r="G6" s="18" t="inlineStr">
        <is>
          <t>Los IWP de movimiento de tierras definidos por volumen total duraban 3 semanas; el PPC no reflejaba los problemas reales.</t>
        </is>
      </c>
      <c r="H6" s="18" t="inlineStr">
        <is>
          <t>No se aplicó el criterio de una semana por IWP.</t>
        </is>
      </c>
      <c r="I6" s="17" t="inlineStr">
        <is>
          <t>Medio</t>
        </is>
      </c>
      <c r="J6" s="18" t="inlineStr">
        <is>
          <t>Limitar los IWP a 1 semana y 600 HH.</t>
        </is>
      </c>
      <c r="K6" s="18" t="inlineStr">
        <is>
          <t>Incluir la regla en la plantilla de IWP de la Fase 2.</t>
        </is>
      </c>
      <c r="L6" s="18" t="inlineStr">
        <is>
          <t>Plantilla_IWP.docx</t>
        </is>
      </c>
      <c r="M6" s="17" t="inlineStr">
        <is>
          <t>Fase 2</t>
        </is>
      </c>
      <c r="N6" s="17" t="inlineStr">
        <is>
          <t>Líder de WFP</t>
        </is>
      </c>
      <c r="O6" s="19" t="n">
        <v>46736</v>
      </c>
      <c r="P6" s="17" t="inlineStr">
        <is>
          <t>Verificada</t>
        </is>
      </c>
      <c r="Q6" s="18" t="inlineStr">
        <is>
          <t>PPC de Fase 2 con IWP de ≤ 600 HH (tablero de KPI).</t>
        </is>
      </c>
      <c r="R6" s="20">
        <f>IF(OR(B6="",O6=""),"",IF(OR(P6="Implementada",P6="Verificada",P6="Descartada"),"",O6-$B$3))</f>
        <v/>
      </c>
      <c r="S6" s="21">
        <f>IF(B6="","",IF(OR(P6="Implementada",P6="Verificada",P6="Descartada"),"Cerrada",IF(R6="","Sin fecha",IF(R6&lt;0,"Vencida",IF(R6&lt;=15,"Por vencer","En plazo")))))</f>
        <v/>
      </c>
    </row>
    <row r="7">
      <c r="A7" s="16" t="inlineStr">
        <is>
          <t>EJEMPLO</t>
        </is>
      </c>
      <c r="B7" s="17" t="inlineStr">
        <is>
          <t>LA-02</t>
        </is>
      </c>
      <c r="C7" s="17" t="inlineStr">
        <is>
          <t>Fase 1</t>
        </is>
      </c>
      <c r="D7" s="17" t="inlineStr">
        <is>
          <t>Procura</t>
        </is>
      </c>
      <c r="E7" s="17" t="inlineStr">
        <is>
          <t>Materiales</t>
        </is>
      </c>
      <c r="F7" s="17" t="inlineStr">
        <is>
          <t>Negativa</t>
        </is>
      </c>
      <c r="G7" s="18" t="inlineStr">
        <is>
          <t>Las órdenes de compra no tenían código de CWP; el almacén no podía reservar materiales por IWP.</t>
        </is>
      </c>
      <c r="H7" s="18" t="inlineStr">
        <is>
          <t>Codificación AWP no incluida en el sistema de compras.</t>
        </is>
      </c>
      <c r="I7" s="17" t="inlineStr">
        <is>
          <t>Alto</t>
        </is>
      </c>
      <c r="J7" s="18" t="inlineStr">
        <is>
          <t>El código de CWP debe estar en toda orden de compra y guía de despacho.</t>
        </is>
      </c>
      <c r="K7" s="18" t="inlineStr">
        <is>
          <t>Campo obligatorio de CWP en el sistema de compras desde la Fase 2.</t>
        </is>
      </c>
      <c r="L7" s="18" t="inlineStr">
        <is>
          <t>Procedimiento de procura</t>
        </is>
      </c>
      <c r="M7" s="17" t="inlineStr">
        <is>
          <t>Fase 2</t>
        </is>
      </c>
      <c r="N7" s="17" t="inlineStr">
        <is>
          <t>Líder de Procura</t>
        </is>
      </c>
      <c r="O7" s="19" t="n">
        <v>46721</v>
      </c>
      <c r="P7" s="17" t="inlineStr">
        <is>
          <t>Implementada</t>
        </is>
      </c>
      <c r="Q7" s="18" t="inlineStr">
        <is>
          <t>Pendiente de auditoría al 20 % de la Fase 2.</t>
        </is>
      </c>
      <c r="R7" s="20">
        <f>IF(OR(B7="",O7=""),"",IF(OR(P7="Implementada",P7="Verificada",P7="Descartada"),"",O7-$B$3))</f>
        <v/>
      </c>
      <c r="S7" s="21">
        <f>IF(B7="","",IF(OR(P7="Implementada",P7="Verificada",P7="Descartada"),"Cerrada",IF(R7="","Sin fecha",IF(R7&lt;0,"Vencida",IF(R7&lt;=15,"Por vencer","En plazo")))))</f>
        <v/>
      </c>
    </row>
    <row r="8">
      <c r="A8" s="16" t="inlineStr">
        <is>
          <t>EJEMPLO</t>
        </is>
      </c>
      <c r="B8" s="17" t="inlineStr">
        <is>
          <t>LA-03</t>
        </is>
      </c>
      <c r="C8" s="17" t="inlineStr">
        <is>
          <t>Fase 1</t>
        </is>
      </c>
      <c r="D8" s="17" t="inlineStr">
        <is>
          <t>Construcción</t>
        </is>
      </c>
      <c r="E8" s="17" t="inlineStr">
        <is>
          <t>Restricciones</t>
        </is>
      </c>
      <c r="F8" s="17" t="inlineStr">
        <is>
          <t>Negativa</t>
        </is>
      </c>
      <c r="G8" s="18" t="inlineStr">
        <is>
          <t>Los permisos de excavación fueron la restricción más frecuente y se identificaban tarde.</t>
        </is>
      </c>
      <c r="H8" s="18" t="inlineStr">
        <is>
          <t>El permiso no estaba en la lista de restricciones por defecto.</t>
        </is>
      </c>
      <c r="I8" s="17" t="inlineStr">
        <is>
          <t>Alto</t>
        </is>
      </c>
      <c r="J8" s="18" t="inlineStr">
        <is>
          <t>Incluir el permiso como restricción por defecto y solicitarlo 3 semanas antes.</t>
        </is>
      </c>
      <c r="K8" s="18" t="inlineStr">
        <is>
          <t>Actualizar el procedimiento de restricciones y la plantilla de IWP.</t>
        </is>
      </c>
      <c r="L8" s="18" t="inlineStr">
        <is>
          <t>Procedimiento_Gestion_Restricciones.docx</t>
        </is>
      </c>
      <c r="M8" s="17" t="inlineStr">
        <is>
          <t>Fase 2</t>
        </is>
      </c>
      <c r="N8" s="17" t="inlineStr">
        <is>
          <t>Líder de HSE</t>
        </is>
      </c>
      <c r="O8" s="19" t="n">
        <v>46736</v>
      </c>
      <c r="P8" s="17" t="inlineStr">
        <is>
          <t>Verificada</t>
        </is>
      </c>
      <c r="Q8" s="18" t="inlineStr">
        <is>
          <t>Sin restricciones de permiso vencidas en Fase 2 (registro).</t>
        </is>
      </c>
      <c r="R8" s="20">
        <f>IF(OR(B8="",O8=""),"",IF(OR(P8="Implementada",P8="Verificada",P8="Descartada"),"",O8-$B$3))</f>
        <v/>
      </c>
      <c r="S8" s="21">
        <f>IF(B8="","",IF(OR(P8="Implementada",P8="Verificada",P8="Descartada"),"Cerrada",IF(R8="","Sin fecha",IF(R8&lt;0,"Vencida",IF(R8&lt;=15,"Por vencer","En plazo")))))</f>
        <v/>
      </c>
    </row>
    <row r="9">
      <c r="A9" s="16" t="inlineStr">
        <is>
          <t>EJEMPLO</t>
        </is>
      </c>
      <c r="B9" s="17" t="inlineStr">
        <is>
          <t>LA-04</t>
        </is>
      </c>
      <c r="C9" s="17" t="inlineStr">
        <is>
          <t>Fase 2</t>
        </is>
      </c>
      <c r="D9" s="17" t="inlineStr">
        <is>
          <t>Ingeniería</t>
        </is>
      </c>
      <c r="E9" s="17" t="inlineStr">
        <is>
          <t>Ingeniería</t>
        </is>
      </c>
      <c r="F9" s="17" t="inlineStr">
        <is>
          <t>Negativa</t>
        </is>
      </c>
      <c r="G9" s="18" t="inlineStr">
        <is>
          <t>La documentación del proveedor de tableros llegó después de la emisión del EWP y retrasó los IWP de montaje.</t>
        </is>
      </c>
      <c r="H9" s="18" t="inlineStr">
        <is>
          <t>La documentación del proveedor no tenía fecha propia en el PWP.</t>
        </is>
      </c>
      <c r="I9" s="17" t="inlineStr">
        <is>
          <t>Medio</t>
        </is>
      </c>
      <c r="J9" s="18" t="inlineStr">
        <is>
          <t>Tratar la documentación del proveedor como entregable del PWP con fecha propia.</t>
        </is>
      </c>
      <c r="K9" s="18" t="inlineStr">
        <is>
          <t>Agregar la fecha de documentación del proveedor en los PWP de la Fase 3.</t>
        </is>
      </c>
      <c r="L9" s="18" t="inlineStr">
        <is>
          <t>Seguimiento_Paquetes.xlsx</t>
        </is>
      </c>
      <c r="M9" s="17" t="inlineStr">
        <is>
          <t>Fase 3</t>
        </is>
      </c>
      <c r="N9" s="17" t="inlineStr">
        <is>
          <t>Líder de Procura</t>
        </is>
      </c>
      <c r="O9" s="19" t="n">
        <v>47026</v>
      </c>
      <c r="P9" s="17" t="inlineStr">
        <is>
          <t>Aprobada</t>
        </is>
      </c>
      <c r="Q9" s="18" t="inlineStr"/>
      <c r="R9" s="20">
        <f>IF(OR(B9="",O9=""),"",IF(OR(P9="Implementada",P9="Verificada",P9="Descartada"),"",O9-$B$3))</f>
        <v/>
      </c>
      <c r="S9" s="21">
        <f>IF(B9="","",IF(OR(P9="Implementada",P9="Verificada",P9="Descartada"),"Cerrada",IF(R9="","Sin fecha",IF(R9&lt;0,"Vencida",IF(R9&lt;=15,"Por vencer","En plazo")))))</f>
        <v/>
      </c>
    </row>
    <row r="10">
      <c r="A10" s="16" t="inlineStr">
        <is>
          <t>EJEMPLO</t>
        </is>
      </c>
      <c r="B10" s="17" t="inlineStr">
        <is>
          <t>LA-05</t>
        </is>
      </c>
      <c r="C10" s="17" t="inlineStr">
        <is>
          <t>Fase 2</t>
        </is>
      </c>
      <c r="D10" s="17" t="inlineStr">
        <is>
          <t>Construcción</t>
        </is>
      </c>
      <c r="E10" s="17" t="inlineStr">
        <is>
          <t>Interfaces entre fases</t>
        </is>
      </c>
      <c r="F10" s="17" t="inlineStr">
        <is>
          <t>Positiva</t>
        </is>
      </c>
      <c r="G10" s="18" t="inlineStr">
        <is>
          <t>La reunión conjunta de lookahead con la Fase 3 redujo los conflictos de grúas.</t>
        </is>
      </c>
      <c r="H10" s="18" t="inlineStr">
        <is>
          <t>Coordinación semanal de recursos compartidos.</t>
        </is>
      </c>
      <c r="I10" s="17" t="inlineStr">
        <is>
          <t>Medio</t>
        </is>
      </c>
      <c r="J10" s="18" t="inlineStr">
        <is>
          <t>Mantener un lookahead conjunto durante la superposición de fases.</t>
        </is>
      </c>
      <c r="K10" s="18" t="inlineStr">
        <is>
          <t>Ampliar la reunión a los subcontratistas de la Fase 3.</t>
        </is>
      </c>
      <c r="L10" s="18" t="inlineStr">
        <is>
          <t>Plan de implementación (organización)</t>
        </is>
      </c>
      <c r="M10" s="17" t="inlineStr">
        <is>
          <t>Fase 3</t>
        </is>
      </c>
      <c r="N10" s="17" t="inlineStr">
        <is>
          <t>Gerente de Construcción</t>
        </is>
      </c>
      <c r="O10" s="19" t="n">
        <v>46996</v>
      </c>
      <c r="P10" s="17" t="inlineStr">
        <is>
          <t>Implementada</t>
        </is>
      </c>
      <c r="Q10" s="18" t="inlineStr"/>
      <c r="R10" s="20">
        <f>IF(OR(B10="",O10=""),"",IF(OR(P10="Implementada",P10="Verificada",P10="Descartada"),"",O10-$B$3))</f>
        <v/>
      </c>
      <c r="S10" s="21">
        <f>IF(B10="","",IF(OR(P10="Implementada",P10="Verificada",P10="Descartada"),"Cerrada",IF(R10="","Sin fecha",IF(R10&lt;0,"Vencida",IF(R10&lt;=15,"Por vencer","En plazo")))))</f>
        <v/>
      </c>
    </row>
    <row r="11">
      <c r="A11" s="16" t="inlineStr">
        <is>
          <t>EJEMPLO</t>
        </is>
      </c>
      <c r="B11" s="17" t="inlineStr">
        <is>
          <t>LA-06</t>
        </is>
      </c>
      <c r="C11" s="17" t="inlineStr">
        <is>
          <t>Fase 2</t>
        </is>
      </c>
      <c r="D11" s="17" t="inlineStr">
        <is>
          <t>Comisionamiento</t>
        </is>
      </c>
      <c r="E11" s="17" t="inlineStr">
        <is>
          <t>Comisionamiento</t>
        </is>
      </c>
      <c r="F11" s="17" t="inlineStr">
        <is>
          <t>Negativa</t>
        </is>
      </c>
      <c r="G11" s="18" t="inlineStr">
        <is>
          <t>Los IWP no indicaban sistema; fue difícil saber qué faltaba para entregar cada sistema.</t>
        </is>
      </c>
      <c r="H11" s="18" t="inlineStr">
        <is>
          <t>El campo sistema no era obligatorio.</t>
        </is>
      </c>
      <c r="I11" s="17" t="inlineStr">
        <is>
          <t>Alto</t>
        </is>
      </c>
      <c r="J11" s="18" t="inlineStr">
        <is>
          <t>Asignar el sistema a cada IWP desde su creación.</t>
        </is>
      </c>
      <c r="K11" s="18" t="inlineStr">
        <is>
          <t>Campo «Sistema» obligatorio en IWP y en el seguimiento de paquetes.</t>
        </is>
      </c>
      <c r="L11" s="18" t="inlineStr">
        <is>
          <t>Plantilla_IWP.docx</t>
        </is>
      </c>
      <c r="M11" s="17" t="inlineStr">
        <is>
          <t>Fase 3</t>
        </is>
      </c>
      <c r="N11" s="17" t="inlineStr">
        <is>
          <t>Líder de comisionamiento</t>
        </is>
      </c>
      <c r="O11" s="19" t="n">
        <v>46914</v>
      </c>
      <c r="P11" s="17" t="inlineStr">
        <is>
          <t>En análisis</t>
        </is>
      </c>
      <c r="Q11" s="18" t="inlineStr"/>
      <c r="R11" s="20">
        <f>IF(OR(B11="",O11=""),"",IF(OR(P11="Implementada",P11="Verificada",P11="Descartada"),"",O11-$B$3))</f>
        <v/>
      </c>
      <c r="S11" s="21">
        <f>IF(B11="","",IF(OR(P11="Implementada",P11="Verificada",P11="Descartada"),"Cerrada",IF(R11="","Sin fecha",IF(R11&lt;0,"Vencida",IF(R11&lt;=15,"Por vencer","En plazo")))))</f>
        <v/>
      </c>
    </row>
    <row r="12">
      <c r="A12" s="22" t="n"/>
      <c r="B12" s="23" t="n"/>
      <c r="C12" s="23" t="n"/>
      <c r="D12" s="23" t="n"/>
      <c r="E12" s="23" t="n"/>
      <c r="F12" s="23" t="n"/>
      <c r="G12" s="24" t="n"/>
      <c r="H12" s="24" t="n"/>
      <c r="I12" s="23" t="n"/>
      <c r="J12" s="24" t="n"/>
      <c r="K12" s="24" t="n"/>
      <c r="L12" s="24" t="n"/>
      <c r="M12" s="23" t="n"/>
      <c r="N12" s="23" t="n"/>
      <c r="O12" s="25" t="n"/>
      <c r="P12" s="23" t="n"/>
      <c r="Q12" s="24" t="n"/>
      <c r="R12" s="26">
        <f>IF(OR(B12="",O12=""),"",IF(OR(P12="Implementada",P12="Verificada",P12="Descartada"),"",O12-$B$3))</f>
        <v/>
      </c>
      <c r="S12" s="27">
        <f>IF(B12="","",IF(OR(P12="Implementada",P12="Verificada",P12="Descartada"),"Cerrada",IF(R12="","Sin fecha",IF(R12&lt;0,"Vencida",IF(R12&lt;=15,"Por vencer","En plazo")))))</f>
        <v/>
      </c>
    </row>
    <row r="13">
      <c r="A13" s="22" t="n"/>
      <c r="B13" s="23" t="n"/>
      <c r="C13" s="23" t="n"/>
      <c r="D13" s="23" t="n"/>
      <c r="E13" s="23" t="n"/>
      <c r="F13" s="23" t="n"/>
      <c r="G13" s="24" t="n"/>
      <c r="H13" s="24" t="n"/>
      <c r="I13" s="23" t="n"/>
      <c r="J13" s="24" t="n"/>
      <c r="K13" s="24" t="n"/>
      <c r="L13" s="24" t="n"/>
      <c r="M13" s="23" t="n"/>
      <c r="N13" s="23" t="n"/>
      <c r="O13" s="25" t="n"/>
      <c r="P13" s="23" t="n"/>
      <c r="Q13" s="24" t="n"/>
      <c r="R13" s="26">
        <f>IF(OR(B13="",O13=""),"",IF(OR(P13="Implementada",P13="Verificada",P13="Descartada"),"",O13-$B$3))</f>
        <v/>
      </c>
      <c r="S13" s="27">
        <f>IF(B13="","",IF(OR(P13="Implementada",P13="Verificada",P13="Descartada"),"Cerrada",IF(R13="","Sin fecha",IF(R13&lt;0,"Vencida",IF(R13&lt;=15,"Por vencer","En plazo")))))</f>
        <v/>
      </c>
    </row>
    <row r="14">
      <c r="A14" s="22" t="n"/>
      <c r="B14" s="23" t="n"/>
      <c r="C14" s="23" t="n"/>
      <c r="D14" s="23" t="n"/>
      <c r="E14" s="23" t="n"/>
      <c r="F14" s="23" t="n"/>
      <c r="G14" s="24" t="n"/>
      <c r="H14" s="24" t="n"/>
      <c r="I14" s="23" t="n"/>
      <c r="J14" s="24" t="n"/>
      <c r="K14" s="24" t="n"/>
      <c r="L14" s="24" t="n"/>
      <c r="M14" s="23" t="n"/>
      <c r="N14" s="23" t="n"/>
      <c r="O14" s="25" t="n"/>
      <c r="P14" s="23" t="n"/>
      <c r="Q14" s="24" t="n"/>
      <c r="R14" s="26">
        <f>IF(OR(B14="",O14=""),"",IF(OR(P14="Implementada",P14="Verificada",P14="Descartada"),"",O14-$B$3))</f>
        <v/>
      </c>
      <c r="S14" s="27">
        <f>IF(B14="","",IF(OR(P14="Implementada",P14="Verificada",P14="Descartada"),"Cerrada",IF(R14="","Sin fecha",IF(R14&lt;0,"Vencida",IF(R14&lt;=15,"Por vencer","En plazo")))))</f>
        <v/>
      </c>
    </row>
    <row r="15">
      <c r="A15" s="22" t="n"/>
      <c r="B15" s="23" t="n"/>
      <c r="C15" s="23" t="n"/>
      <c r="D15" s="23" t="n"/>
      <c r="E15" s="23" t="n"/>
      <c r="F15" s="23" t="n"/>
      <c r="G15" s="24" t="n"/>
      <c r="H15" s="24" t="n"/>
      <c r="I15" s="23" t="n"/>
      <c r="J15" s="24" t="n"/>
      <c r="K15" s="24" t="n"/>
      <c r="L15" s="24" t="n"/>
      <c r="M15" s="23" t="n"/>
      <c r="N15" s="23" t="n"/>
      <c r="O15" s="25" t="n"/>
      <c r="P15" s="23" t="n"/>
      <c r="Q15" s="24" t="n"/>
      <c r="R15" s="26">
        <f>IF(OR(B15="",O15=""),"",IF(OR(P15="Implementada",P15="Verificada",P15="Descartada"),"",O15-$B$3))</f>
        <v/>
      </c>
      <c r="S15" s="27">
        <f>IF(B15="","",IF(OR(P15="Implementada",P15="Verificada",P15="Descartada"),"Cerrada",IF(R15="","Sin fecha",IF(R15&lt;0,"Vencida",IF(R15&lt;=15,"Por vencer","En plazo")))))</f>
        <v/>
      </c>
    </row>
    <row r="16">
      <c r="A16" s="22" t="n"/>
      <c r="B16" s="23" t="n"/>
      <c r="C16" s="23" t="n"/>
      <c r="D16" s="23" t="n"/>
      <c r="E16" s="23" t="n"/>
      <c r="F16" s="23" t="n"/>
      <c r="G16" s="24" t="n"/>
      <c r="H16" s="24" t="n"/>
      <c r="I16" s="23" t="n"/>
      <c r="J16" s="24" t="n"/>
      <c r="K16" s="24" t="n"/>
      <c r="L16" s="24" t="n"/>
      <c r="M16" s="23" t="n"/>
      <c r="N16" s="23" t="n"/>
      <c r="O16" s="25" t="n"/>
      <c r="P16" s="23" t="n"/>
      <c r="Q16" s="24" t="n"/>
      <c r="R16" s="26">
        <f>IF(OR(B16="",O16=""),"",IF(OR(P16="Implementada",P16="Verificada",P16="Descartada"),"",O16-$B$3))</f>
        <v/>
      </c>
      <c r="S16" s="27">
        <f>IF(B16="","",IF(OR(P16="Implementada",P16="Verificada",P16="Descartada"),"Cerrada",IF(R16="","Sin fecha",IF(R16&lt;0,"Vencida",IF(R16&lt;=15,"Por vencer","En plazo")))))</f>
        <v/>
      </c>
    </row>
    <row r="17">
      <c r="A17" s="22" t="n"/>
      <c r="B17" s="23" t="n"/>
      <c r="C17" s="23" t="n"/>
      <c r="D17" s="23" t="n"/>
      <c r="E17" s="23" t="n"/>
      <c r="F17" s="23" t="n"/>
      <c r="G17" s="24" t="n"/>
      <c r="H17" s="24" t="n"/>
      <c r="I17" s="23" t="n"/>
      <c r="J17" s="24" t="n"/>
      <c r="K17" s="24" t="n"/>
      <c r="L17" s="24" t="n"/>
      <c r="M17" s="23" t="n"/>
      <c r="N17" s="23" t="n"/>
      <c r="O17" s="25" t="n"/>
      <c r="P17" s="23" t="n"/>
      <c r="Q17" s="24" t="n"/>
      <c r="R17" s="26">
        <f>IF(OR(B17="",O17=""),"",IF(OR(P17="Implementada",P17="Verificada",P17="Descartada"),"",O17-$B$3))</f>
        <v/>
      </c>
      <c r="S17" s="27">
        <f>IF(B17="","",IF(OR(P17="Implementada",P17="Verificada",P17="Descartada"),"Cerrada",IF(R17="","Sin fecha",IF(R17&lt;0,"Vencida",IF(R17&lt;=15,"Por vencer","En plazo")))))</f>
        <v/>
      </c>
    </row>
    <row r="18">
      <c r="A18" s="22" t="n"/>
      <c r="B18" s="23" t="n"/>
      <c r="C18" s="23" t="n"/>
      <c r="D18" s="23" t="n"/>
      <c r="E18" s="23" t="n"/>
      <c r="F18" s="23" t="n"/>
      <c r="G18" s="24" t="n"/>
      <c r="H18" s="24" t="n"/>
      <c r="I18" s="23" t="n"/>
      <c r="J18" s="24" t="n"/>
      <c r="K18" s="24" t="n"/>
      <c r="L18" s="24" t="n"/>
      <c r="M18" s="23" t="n"/>
      <c r="N18" s="23" t="n"/>
      <c r="O18" s="25" t="n"/>
      <c r="P18" s="23" t="n"/>
      <c r="Q18" s="24" t="n"/>
      <c r="R18" s="26">
        <f>IF(OR(B18="",O18=""),"",IF(OR(P18="Implementada",P18="Verificada",P18="Descartada"),"",O18-$B$3))</f>
        <v/>
      </c>
      <c r="S18" s="27">
        <f>IF(B18="","",IF(OR(P18="Implementada",P18="Verificada",P18="Descartada"),"Cerrada",IF(R18="","Sin fecha",IF(R18&lt;0,"Vencida",IF(R18&lt;=15,"Por vencer","En plazo")))))</f>
        <v/>
      </c>
    </row>
    <row r="19">
      <c r="A19" s="22" t="n"/>
      <c r="B19" s="23" t="n"/>
      <c r="C19" s="23" t="n"/>
      <c r="D19" s="23" t="n"/>
      <c r="E19" s="23" t="n"/>
      <c r="F19" s="23" t="n"/>
      <c r="G19" s="24" t="n"/>
      <c r="H19" s="24" t="n"/>
      <c r="I19" s="23" t="n"/>
      <c r="J19" s="24" t="n"/>
      <c r="K19" s="24" t="n"/>
      <c r="L19" s="24" t="n"/>
      <c r="M19" s="23" t="n"/>
      <c r="N19" s="23" t="n"/>
      <c r="O19" s="25" t="n"/>
      <c r="P19" s="23" t="n"/>
      <c r="Q19" s="24" t="n"/>
      <c r="R19" s="26">
        <f>IF(OR(B19="",O19=""),"",IF(OR(P19="Implementada",P19="Verificada",P19="Descartada"),"",O19-$B$3))</f>
        <v/>
      </c>
      <c r="S19" s="27">
        <f>IF(B19="","",IF(OR(P19="Implementada",P19="Verificada",P19="Descartada"),"Cerrada",IF(R19="","Sin fecha",IF(R19&lt;0,"Vencida",IF(R19&lt;=15,"Por vencer","En plazo")))))</f>
        <v/>
      </c>
    </row>
    <row r="20">
      <c r="A20" s="22" t="n"/>
      <c r="B20" s="23" t="n"/>
      <c r="C20" s="23" t="n"/>
      <c r="D20" s="23" t="n"/>
      <c r="E20" s="23" t="n"/>
      <c r="F20" s="23" t="n"/>
      <c r="G20" s="24" t="n"/>
      <c r="H20" s="24" t="n"/>
      <c r="I20" s="23" t="n"/>
      <c r="J20" s="24" t="n"/>
      <c r="K20" s="24" t="n"/>
      <c r="L20" s="24" t="n"/>
      <c r="M20" s="23" t="n"/>
      <c r="N20" s="23" t="n"/>
      <c r="O20" s="25" t="n"/>
      <c r="P20" s="23" t="n"/>
      <c r="Q20" s="24" t="n"/>
      <c r="R20" s="26">
        <f>IF(OR(B20="",O20=""),"",IF(OR(P20="Implementada",P20="Verificada",P20="Descartada"),"",O20-$B$3))</f>
        <v/>
      </c>
      <c r="S20" s="27">
        <f>IF(B20="","",IF(OR(P20="Implementada",P20="Verificada",P20="Descartada"),"Cerrada",IF(R20="","Sin fecha",IF(R20&lt;0,"Vencida",IF(R20&lt;=15,"Por vencer","En plazo")))))</f>
        <v/>
      </c>
    </row>
    <row r="21">
      <c r="A21" s="22" t="n"/>
      <c r="B21" s="23" t="n"/>
      <c r="C21" s="23" t="n"/>
      <c r="D21" s="23" t="n"/>
      <c r="E21" s="23" t="n"/>
      <c r="F21" s="23" t="n"/>
      <c r="G21" s="24" t="n"/>
      <c r="H21" s="24" t="n"/>
      <c r="I21" s="23" t="n"/>
      <c r="J21" s="24" t="n"/>
      <c r="K21" s="24" t="n"/>
      <c r="L21" s="24" t="n"/>
      <c r="M21" s="23" t="n"/>
      <c r="N21" s="23" t="n"/>
      <c r="O21" s="25" t="n"/>
      <c r="P21" s="23" t="n"/>
      <c r="Q21" s="24" t="n"/>
      <c r="R21" s="26">
        <f>IF(OR(B21="",O21=""),"",IF(OR(P21="Implementada",P21="Verificada",P21="Descartada"),"",O21-$B$3))</f>
        <v/>
      </c>
      <c r="S21" s="27">
        <f>IF(B21="","",IF(OR(P21="Implementada",P21="Verificada",P21="Descartada"),"Cerrada",IF(R21="","Sin fecha",IF(R21&lt;0,"Vencida",IF(R21&lt;=15,"Por vencer","En plazo")))))</f>
        <v/>
      </c>
    </row>
    <row r="22">
      <c r="A22" s="22" t="n"/>
      <c r="B22" s="23" t="n"/>
      <c r="C22" s="23" t="n"/>
      <c r="D22" s="23" t="n"/>
      <c r="E22" s="23" t="n"/>
      <c r="F22" s="23" t="n"/>
      <c r="G22" s="24" t="n"/>
      <c r="H22" s="24" t="n"/>
      <c r="I22" s="23" t="n"/>
      <c r="J22" s="24" t="n"/>
      <c r="K22" s="24" t="n"/>
      <c r="L22" s="24" t="n"/>
      <c r="M22" s="23" t="n"/>
      <c r="N22" s="23" t="n"/>
      <c r="O22" s="25" t="n"/>
      <c r="P22" s="23" t="n"/>
      <c r="Q22" s="24" t="n"/>
      <c r="R22" s="26">
        <f>IF(OR(B22="",O22=""),"",IF(OR(P22="Implementada",P22="Verificada",P22="Descartada"),"",O22-$B$3))</f>
        <v/>
      </c>
      <c r="S22" s="27">
        <f>IF(B22="","",IF(OR(P22="Implementada",P22="Verificada",P22="Descartada"),"Cerrada",IF(R22="","Sin fecha",IF(R22&lt;0,"Vencida",IF(R22&lt;=15,"Por vencer","En plazo")))))</f>
        <v/>
      </c>
    </row>
    <row r="23">
      <c r="A23" s="22" t="n"/>
      <c r="B23" s="23" t="n"/>
      <c r="C23" s="23" t="n"/>
      <c r="D23" s="23" t="n"/>
      <c r="E23" s="23" t="n"/>
      <c r="F23" s="23" t="n"/>
      <c r="G23" s="24" t="n"/>
      <c r="H23" s="24" t="n"/>
      <c r="I23" s="23" t="n"/>
      <c r="J23" s="24" t="n"/>
      <c r="K23" s="24" t="n"/>
      <c r="L23" s="24" t="n"/>
      <c r="M23" s="23" t="n"/>
      <c r="N23" s="23" t="n"/>
      <c r="O23" s="25" t="n"/>
      <c r="P23" s="23" t="n"/>
      <c r="Q23" s="24" t="n"/>
      <c r="R23" s="26">
        <f>IF(OR(B23="",O23=""),"",IF(OR(P23="Implementada",P23="Verificada",P23="Descartada"),"",O23-$B$3))</f>
        <v/>
      </c>
      <c r="S23" s="27">
        <f>IF(B23="","",IF(OR(P23="Implementada",P23="Verificada",P23="Descartada"),"Cerrada",IF(R23="","Sin fecha",IF(R23&lt;0,"Vencida",IF(R23&lt;=15,"Por vencer","En plazo")))))</f>
        <v/>
      </c>
    </row>
    <row r="24">
      <c r="A24" s="22" t="n"/>
      <c r="B24" s="23" t="n"/>
      <c r="C24" s="23" t="n"/>
      <c r="D24" s="23" t="n"/>
      <c r="E24" s="23" t="n"/>
      <c r="F24" s="23" t="n"/>
      <c r="G24" s="24" t="n"/>
      <c r="H24" s="24" t="n"/>
      <c r="I24" s="23" t="n"/>
      <c r="J24" s="24" t="n"/>
      <c r="K24" s="24" t="n"/>
      <c r="L24" s="24" t="n"/>
      <c r="M24" s="23" t="n"/>
      <c r="N24" s="23" t="n"/>
      <c r="O24" s="25" t="n"/>
      <c r="P24" s="23" t="n"/>
      <c r="Q24" s="24" t="n"/>
      <c r="R24" s="26">
        <f>IF(OR(B24="",O24=""),"",IF(OR(P24="Implementada",P24="Verificada",P24="Descartada"),"",O24-$B$3))</f>
        <v/>
      </c>
      <c r="S24" s="27">
        <f>IF(B24="","",IF(OR(P24="Implementada",P24="Verificada",P24="Descartada"),"Cerrada",IF(R24="","Sin fecha",IF(R24&lt;0,"Vencida",IF(R24&lt;=15,"Por vencer","En plazo")))))</f>
        <v/>
      </c>
    </row>
    <row r="25">
      <c r="A25" s="22" t="n"/>
      <c r="B25" s="23" t="n"/>
      <c r="C25" s="23" t="n"/>
      <c r="D25" s="23" t="n"/>
      <c r="E25" s="23" t="n"/>
      <c r="F25" s="23" t="n"/>
      <c r="G25" s="24" t="n"/>
      <c r="H25" s="24" t="n"/>
      <c r="I25" s="23" t="n"/>
      <c r="J25" s="24" t="n"/>
      <c r="K25" s="24" t="n"/>
      <c r="L25" s="24" t="n"/>
      <c r="M25" s="23" t="n"/>
      <c r="N25" s="23" t="n"/>
      <c r="O25" s="25" t="n"/>
      <c r="P25" s="23" t="n"/>
      <c r="Q25" s="24" t="n"/>
      <c r="R25" s="26">
        <f>IF(OR(B25="",O25=""),"",IF(OR(P25="Implementada",P25="Verificada",P25="Descartada"),"",O25-$B$3))</f>
        <v/>
      </c>
      <c r="S25" s="27">
        <f>IF(B25="","",IF(OR(P25="Implementada",P25="Verificada",P25="Descartada"),"Cerrada",IF(R25="","Sin fecha",IF(R25&lt;0,"Vencida",IF(R25&lt;=15,"Por vencer","En plazo")))))</f>
        <v/>
      </c>
    </row>
    <row r="26">
      <c r="A26" s="22" t="n"/>
      <c r="B26" s="23" t="n"/>
      <c r="C26" s="23" t="n"/>
      <c r="D26" s="23" t="n"/>
      <c r="E26" s="23" t="n"/>
      <c r="F26" s="23" t="n"/>
      <c r="G26" s="24" t="n"/>
      <c r="H26" s="24" t="n"/>
      <c r="I26" s="23" t="n"/>
      <c r="J26" s="24" t="n"/>
      <c r="K26" s="24" t="n"/>
      <c r="L26" s="24" t="n"/>
      <c r="M26" s="23" t="n"/>
      <c r="N26" s="23" t="n"/>
      <c r="O26" s="25" t="n"/>
      <c r="P26" s="23" t="n"/>
      <c r="Q26" s="24" t="n"/>
      <c r="R26" s="26">
        <f>IF(OR(B26="",O26=""),"",IF(OR(P26="Implementada",P26="Verificada",P26="Descartada"),"",O26-$B$3))</f>
        <v/>
      </c>
      <c r="S26" s="27">
        <f>IF(B26="","",IF(OR(P26="Implementada",P26="Verificada",P26="Descartada"),"Cerrada",IF(R26="","Sin fecha",IF(R26&lt;0,"Vencida",IF(R26&lt;=15,"Por vencer","En plazo")))))</f>
        <v/>
      </c>
    </row>
    <row r="27">
      <c r="A27" s="22" t="n"/>
      <c r="B27" s="23" t="n"/>
      <c r="C27" s="23" t="n"/>
      <c r="D27" s="23" t="n"/>
      <c r="E27" s="23" t="n"/>
      <c r="F27" s="23" t="n"/>
      <c r="G27" s="24" t="n"/>
      <c r="H27" s="24" t="n"/>
      <c r="I27" s="23" t="n"/>
      <c r="J27" s="24" t="n"/>
      <c r="K27" s="24" t="n"/>
      <c r="L27" s="24" t="n"/>
      <c r="M27" s="23" t="n"/>
      <c r="N27" s="23" t="n"/>
      <c r="O27" s="25" t="n"/>
      <c r="P27" s="23" t="n"/>
      <c r="Q27" s="24" t="n"/>
      <c r="R27" s="26">
        <f>IF(OR(B27="",O27=""),"",IF(OR(P27="Implementada",P27="Verificada",P27="Descartada"),"",O27-$B$3))</f>
        <v/>
      </c>
      <c r="S27" s="27">
        <f>IF(B27="","",IF(OR(P27="Implementada",P27="Verificada",P27="Descartada"),"Cerrada",IF(R27="","Sin fecha",IF(R27&lt;0,"Vencida",IF(R27&lt;=15,"Por vencer","En plazo")))))</f>
        <v/>
      </c>
    </row>
    <row r="28">
      <c r="A28" s="22" t="n"/>
      <c r="B28" s="23" t="n"/>
      <c r="C28" s="23" t="n"/>
      <c r="D28" s="23" t="n"/>
      <c r="E28" s="23" t="n"/>
      <c r="F28" s="23" t="n"/>
      <c r="G28" s="24" t="n"/>
      <c r="H28" s="24" t="n"/>
      <c r="I28" s="23" t="n"/>
      <c r="J28" s="24" t="n"/>
      <c r="K28" s="24" t="n"/>
      <c r="L28" s="24" t="n"/>
      <c r="M28" s="23" t="n"/>
      <c r="N28" s="23" t="n"/>
      <c r="O28" s="25" t="n"/>
      <c r="P28" s="23" t="n"/>
      <c r="Q28" s="24" t="n"/>
      <c r="R28" s="26">
        <f>IF(OR(B28="",O28=""),"",IF(OR(P28="Implementada",P28="Verificada",P28="Descartada"),"",O28-$B$3))</f>
        <v/>
      </c>
      <c r="S28" s="27">
        <f>IF(B28="","",IF(OR(P28="Implementada",P28="Verificada",P28="Descartada"),"Cerrada",IF(R28="","Sin fecha",IF(R28&lt;0,"Vencida",IF(R28&lt;=15,"Por vencer","En plazo")))))</f>
        <v/>
      </c>
    </row>
    <row r="29">
      <c r="A29" s="22" t="n"/>
      <c r="B29" s="23" t="n"/>
      <c r="C29" s="23" t="n"/>
      <c r="D29" s="23" t="n"/>
      <c r="E29" s="23" t="n"/>
      <c r="F29" s="23" t="n"/>
      <c r="G29" s="24" t="n"/>
      <c r="H29" s="24" t="n"/>
      <c r="I29" s="23" t="n"/>
      <c r="J29" s="24" t="n"/>
      <c r="K29" s="24" t="n"/>
      <c r="L29" s="24" t="n"/>
      <c r="M29" s="23" t="n"/>
      <c r="N29" s="23" t="n"/>
      <c r="O29" s="25" t="n"/>
      <c r="P29" s="23" t="n"/>
      <c r="Q29" s="24" t="n"/>
      <c r="R29" s="26">
        <f>IF(OR(B29="",O29=""),"",IF(OR(P29="Implementada",P29="Verificada",P29="Descartada"),"",O29-$B$3))</f>
        <v/>
      </c>
      <c r="S29" s="27">
        <f>IF(B29="","",IF(OR(P29="Implementada",P29="Verificada",P29="Descartada"),"Cerrada",IF(R29="","Sin fecha",IF(R29&lt;0,"Vencida",IF(R29&lt;=15,"Por vencer","En plazo")))))</f>
        <v/>
      </c>
    </row>
    <row r="30">
      <c r="A30" s="22" t="n"/>
      <c r="B30" s="23" t="n"/>
      <c r="C30" s="23" t="n"/>
      <c r="D30" s="23" t="n"/>
      <c r="E30" s="23" t="n"/>
      <c r="F30" s="23" t="n"/>
      <c r="G30" s="24" t="n"/>
      <c r="H30" s="24" t="n"/>
      <c r="I30" s="23" t="n"/>
      <c r="J30" s="24" t="n"/>
      <c r="K30" s="24" t="n"/>
      <c r="L30" s="24" t="n"/>
      <c r="M30" s="23" t="n"/>
      <c r="N30" s="23" t="n"/>
      <c r="O30" s="25" t="n"/>
      <c r="P30" s="23" t="n"/>
      <c r="Q30" s="24" t="n"/>
      <c r="R30" s="26">
        <f>IF(OR(B30="",O30=""),"",IF(OR(P30="Implementada",P30="Verificada",P30="Descartada"),"",O30-$B$3))</f>
        <v/>
      </c>
      <c r="S30" s="27">
        <f>IF(B30="","",IF(OR(P30="Implementada",P30="Verificada",P30="Descartada"),"Cerrada",IF(R30="","Sin fecha",IF(R30&lt;0,"Vencida",IF(R30&lt;=15,"Por vencer","En plazo")))))</f>
        <v/>
      </c>
    </row>
    <row r="31">
      <c r="A31" s="22" t="n"/>
      <c r="B31" s="23" t="n"/>
      <c r="C31" s="23" t="n"/>
      <c r="D31" s="23" t="n"/>
      <c r="E31" s="23" t="n"/>
      <c r="F31" s="23" t="n"/>
      <c r="G31" s="24" t="n"/>
      <c r="H31" s="24" t="n"/>
      <c r="I31" s="23" t="n"/>
      <c r="J31" s="24" t="n"/>
      <c r="K31" s="24" t="n"/>
      <c r="L31" s="24" t="n"/>
      <c r="M31" s="23" t="n"/>
      <c r="N31" s="23" t="n"/>
      <c r="O31" s="25" t="n"/>
      <c r="P31" s="23" t="n"/>
      <c r="Q31" s="24" t="n"/>
      <c r="R31" s="26">
        <f>IF(OR(B31="",O31=""),"",IF(OR(P31="Implementada",P31="Verificada",P31="Descartada"),"",O31-$B$3))</f>
        <v/>
      </c>
      <c r="S31" s="27">
        <f>IF(B31="","",IF(OR(P31="Implementada",P31="Verificada",P31="Descartada"),"Cerrada",IF(R31="","Sin fecha",IF(R31&lt;0,"Vencida",IF(R31&lt;=15,"Por vencer","En plazo")))))</f>
        <v/>
      </c>
    </row>
    <row r="32">
      <c r="A32" s="22" t="n"/>
      <c r="B32" s="23" t="n"/>
      <c r="C32" s="23" t="n"/>
      <c r="D32" s="23" t="n"/>
      <c r="E32" s="23" t="n"/>
      <c r="F32" s="23" t="n"/>
      <c r="G32" s="24" t="n"/>
      <c r="H32" s="24" t="n"/>
      <c r="I32" s="23" t="n"/>
      <c r="J32" s="24" t="n"/>
      <c r="K32" s="24" t="n"/>
      <c r="L32" s="24" t="n"/>
      <c r="M32" s="23" t="n"/>
      <c r="N32" s="23" t="n"/>
      <c r="O32" s="25" t="n"/>
      <c r="P32" s="23" t="n"/>
      <c r="Q32" s="24" t="n"/>
      <c r="R32" s="26">
        <f>IF(OR(B32="",O32=""),"",IF(OR(P32="Implementada",P32="Verificada",P32="Descartada"),"",O32-$B$3))</f>
        <v/>
      </c>
      <c r="S32" s="27">
        <f>IF(B32="","",IF(OR(P32="Implementada",P32="Verificada",P32="Descartada"),"Cerrada",IF(R32="","Sin fecha",IF(R32&lt;0,"Vencida",IF(R32&lt;=15,"Por vencer","En plazo")))))</f>
        <v/>
      </c>
    </row>
    <row r="33">
      <c r="A33" s="22" t="n"/>
      <c r="B33" s="23" t="n"/>
      <c r="C33" s="23" t="n"/>
      <c r="D33" s="23" t="n"/>
      <c r="E33" s="23" t="n"/>
      <c r="F33" s="23" t="n"/>
      <c r="G33" s="24" t="n"/>
      <c r="H33" s="24" t="n"/>
      <c r="I33" s="23" t="n"/>
      <c r="J33" s="24" t="n"/>
      <c r="K33" s="24" t="n"/>
      <c r="L33" s="24" t="n"/>
      <c r="M33" s="23" t="n"/>
      <c r="N33" s="23" t="n"/>
      <c r="O33" s="25" t="n"/>
      <c r="P33" s="23" t="n"/>
      <c r="Q33" s="24" t="n"/>
      <c r="R33" s="26">
        <f>IF(OR(B33="",O33=""),"",IF(OR(P33="Implementada",P33="Verificada",P33="Descartada"),"",O33-$B$3))</f>
        <v/>
      </c>
      <c r="S33" s="27">
        <f>IF(B33="","",IF(OR(P33="Implementada",P33="Verificada",P33="Descartada"),"Cerrada",IF(R33="","Sin fecha",IF(R33&lt;0,"Vencida",IF(R33&lt;=15,"Por vencer","En plazo")))))</f>
        <v/>
      </c>
    </row>
    <row r="34">
      <c r="A34" s="22" t="n"/>
      <c r="B34" s="23" t="n"/>
      <c r="C34" s="23" t="n"/>
      <c r="D34" s="23" t="n"/>
      <c r="E34" s="23" t="n"/>
      <c r="F34" s="23" t="n"/>
      <c r="G34" s="24" t="n"/>
      <c r="H34" s="24" t="n"/>
      <c r="I34" s="23" t="n"/>
      <c r="J34" s="24" t="n"/>
      <c r="K34" s="24" t="n"/>
      <c r="L34" s="24" t="n"/>
      <c r="M34" s="23" t="n"/>
      <c r="N34" s="23" t="n"/>
      <c r="O34" s="25" t="n"/>
      <c r="P34" s="23" t="n"/>
      <c r="Q34" s="24" t="n"/>
      <c r="R34" s="26">
        <f>IF(OR(B34="",O34=""),"",IF(OR(P34="Implementada",P34="Verificada",P34="Descartada"),"",O34-$B$3))</f>
        <v/>
      </c>
      <c r="S34" s="27">
        <f>IF(B34="","",IF(OR(P34="Implementada",P34="Verificada",P34="Descartada"),"Cerrada",IF(R34="","Sin fecha",IF(R34&lt;0,"Vencida",IF(R34&lt;=15,"Por vencer","En plazo")))))</f>
        <v/>
      </c>
    </row>
    <row r="35">
      <c r="A35" s="22" t="n"/>
      <c r="B35" s="23" t="n"/>
      <c r="C35" s="23" t="n"/>
      <c r="D35" s="23" t="n"/>
      <c r="E35" s="23" t="n"/>
      <c r="F35" s="23" t="n"/>
      <c r="G35" s="24" t="n"/>
      <c r="H35" s="24" t="n"/>
      <c r="I35" s="23" t="n"/>
      <c r="J35" s="24" t="n"/>
      <c r="K35" s="24" t="n"/>
      <c r="L35" s="24" t="n"/>
      <c r="M35" s="23" t="n"/>
      <c r="N35" s="23" t="n"/>
      <c r="O35" s="25" t="n"/>
      <c r="P35" s="23" t="n"/>
      <c r="Q35" s="24" t="n"/>
      <c r="R35" s="26">
        <f>IF(OR(B35="",O35=""),"",IF(OR(P35="Implementada",P35="Verificada",P35="Descartada"),"",O35-$B$3))</f>
        <v/>
      </c>
      <c r="S35" s="27">
        <f>IF(B35="","",IF(OR(P35="Implementada",P35="Verificada",P35="Descartada"),"Cerrada",IF(R35="","Sin fecha",IF(R35&lt;0,"Vencida",IF(R35&lt;=15,"Por vencer","En plazo")))))</f>
        <v/>
      </c>
    </row>
    <row r="36">
      <c r="A36" s="22" t="n"/>
      <c r="B36" s="23" t="n"/>
      <c r="C36" s="23" t="n"/>
      <c r="D36" s="23" t="n"/>
      <c r="E36" s="23" t="n"/>
      <c r="F36" s="23" t="n"/>
      <c r="G36" s="24" t="n"/>
      <c r="H36" s="24" t="n"/>
      <c r="I36" s="23" t="n"/>
      <c r="J36" s="24" t="n"/>
      <c r="K36" s="24" t="n"/>
      <c r="L36" s="24" t="n"/>
      <c r="M36" s="23" t="n"/>
      <c r="N36" s="23" t="n"/>
      <c r="O36" s="25" t="n"/>
      <c r="P36" s="23" t="n"/>
      <c r="Q36" s="24" t="n"/>
      <c r="R36" s="26">
        <f>IF(OR(B36="",O36=""),"",IF(OR(P36="Implementada",P36="Verificada",P36="Descartada"),"",O36-$B$3))</f>
        <v/>
      </c>
      <c r="S36" s="27">
        <f>IF(B36="","",IF(OR(P36="Implementada",P36="Verificada",P36="Descartada"),"Cerrada",IF(R36="","Sin fecha",IF(R36&lt;0,"Vencida",IF(R36&lt;=15,"Por vencer","En plazo")))))</f>
        <v/>
      </c>
    </row>
    <row r="37">
      <c r="A37" s="22" t="n"/>
      <c r="B37" s="23" t="n"/>
      <c r="C37" s="23" t="n"/>
      <c r="D37" s="23" t="n"/>
      <c r="E37" s="23" t="n"/>
      <c r="F37" s="23" t="n"/>
      <c r="G37" s="24" t="n"/>
      <c r="H37" s="24" t="n"/>
      <c r="I37" s="23" t="n"/>
      <c r="J37" s="24" t="n"/>
      <c r="K37" s="24" t="n"/>
      <c r="L37" s="24" t="n"/>
      <c r="M37" s="23" t="n"/>
      <c r="N37" s="23" t="n"/>
      <c r="O37" s="25" t="n"/>
      <c r="P37" s="23" t="n"/>
      <c r="Q37" s="24" t="n"/>
      <c r="R37" s="26">
        <f>IF(OR(B37="",O37=""),"",IF(OR(P37="Implementada",P37="Verificada",P37="Descartada"),"",O37-$B$3))</f>
        <v/>
      </c>
      <c r="S37" s="27">
        <f>IF(B37="","",IF(OR(P37="Implementada",P37="Verificada",P37="Descartada"),"Cerrada",IF(R37="","Sin fecha",IF(R37&lt;0,"Vencida",IF(R37&lt;=15,"Por vencer","En plazo")))))</f>
        <v/>
      </c>
    </row>
    <row r="38">
      <c r="A38" s="22" t="n"/>
      <c r="B38" s="23" t="n"/>
      <c r="C38" s="23" t="n"/>
      <c r="D38" s="23" t="n"/>
      <c r="E38" s="23" t="n"/>
      <c r="F38" s="23" t="n"/>
      <c r="G38" s="24" t="n"/>
      <c r="H38" s="24" t="n"/>
      <c r="I38" s="23" t="n"/>
      <c r="J38" s="24" t="n"/>
      <c r="K38" s="24" t="n"/>
      <c r="L38" s="24" t="n"/>
      <c r="M38" s="23" t="n"/>
      <c r="N38" s="23" t="n"/>
      <c r="O38" s="25" t="n"/>
      <c r="P38" s="23" t="n"/>
      <c r="Q38" s="24" t="n"/>
      <c r="R38" s="26">
        <f>IF(OR(B38="",O38=""),"",IF(OR(P38="Implementada",P38="Verificada",P38="Descartada"),"",O38-$B$3))</f>
        <v/>
      </c>
      <c r="S38" s="27">
        <f>IF(B38="","",IF(OR(P38="Implementada",P38="Verificada",P38="Descartada"),"Cerrada",IF(R38="","Sin fecha",IF(R38&lt;0,"Vencida",IF(R38&lt;=15,"Por vencer","En plazo")))))</f>
        <v/>
      </c>
    </row>
    <row r="39">
      <c r="A39" s="22" t="n"/>
      <c r="B39" s="23" t="n"/>
      <c r="C39" s="23" t="n"/>
      <c r="D39" s="23" t="n"/>
      <c r="E39" s="23" t="n"/>
      <c r="F39" s="23" t="n"/>
      <c r="G39" s="24" t="n"/>
      <c r="H39" s="24" t="n"/>
      <c r="I39" s="23" t="n"/>
      <c r="J39" s="24" t="n"/>
      <c r="K39" s="24" t="n"/>
      <c r="L39" s="24" t="n"/>
      <c r="M39" s="23" t="n"/>
      <c r="N39" s="23" t="n"/>
      <c r="O39" s="25" t="n"/>
      <c r="P39" s="23" t="n"/>
      <c r="Q39" s="24" t="n"/>
      <c r="R39" s="26">
        <f>IF(OR(B39="",O39=""),"",IF(OR(P39="Implementada",P39="Verificada",P39="Descartada"),"",O39-$B$3))</f>
        <v/>
      </c>
      <c r="S39" s="27">
        <f>IF(B39="","",IF(OR(P39="Implementada",P39="Verificada",P39="Descartada"),"Cerrada",IF(R39="","Sin fecha",IF(R39&lt;0,"Vencida",IF(R39&lt;=15,"Por vencer","En plazo")))))</f>
        <v/>
      </c>
    </row>
    <row r="40">
      <c r="A40" s="22" t="n"/>
      <c r="B40" s="23" t="n"/>
      <c r="C40" s="23" t="n"/>
      <c r="D40" s="23" t="n"/>
      <c r="E40" s="23" t="n"/>
      <c r="F40" s="23" t="n"/>
      <c r="G40" s="24" t="n"/>
      <c r="H40" s="24" t="n"/>
      <c r="I40" s="23" t="n"/>
      <c r="J40" s="24" t="n"/>
      <c r="K40" s="24" t="n"/>
      <c r="L40" s="24" t="n"/>
      <c r="M40" s="23" t="n"/>
      <c r="N40" s="23" t="n"/>
      <c r="O40" s="25" t="n"/>
      <c r="P40" s="23" t="n"/>
      <c r="Q40" s="24" t="n"/>
      <c r="R40" s="26">
        <f>IF(OR(B40="",O40=""),"",IF(OR(P40="Implementada",P40="Verificada",P40="Descartada"),"",O40-$B$3))</f>
        <v/>
      </c>
      <c r="S40" s="27">
        <f>IF(B40="","",IF(OR(P40="Implementada",P40="Verificada",P40="Descartada"),"Cerrada",IF(R40="","Sin fecha",IF(R40&lt;0,"Vencida",IF(R40&lt;=15,"Por vencer","En plazo")))))</f>
        <v/>
      </c>
    </row>
    <row r="41">
      <c r="A41" s="22" t="n"/>
      <c r="B41" s="23" t="n"/>
      <c r="C41" s="23" t="n"/>
      <c r="D41" s="23" t="n"/>
      <c r="E41" s="23" t="n"/>
      <c r="F41" s="23" t="n"/>
      <c r="G41" s="24" t="n"/>
      <c r="H41" s="24" t="n"/>
      <c r="I41" s="23" t="n"/>
      <c r="J41" s="24" t="n"/>
      <c r="K41" s="24" t="n"/>
      <c r="L41" s="24" t="n"/>
      <c r="M41" s="23" t="n"/>
      <c r="N41" s="23" t="n"/>
      <c r="O41" s="25" t="n"/>
      <c r="P41" s="23" t="n"/>
      <c r="Q41" s="24" t="n"/>
      <c r="R41" s="26">
        <f>IF(OR(B41="",O41=""),"",IF(OR(P41="Implementada",P41="Verificada",P41="Descartada"),"",O41-$B$3))</f>
        <v/>
      </c>
      <c r="S41" s="27">
        <f>IF(B41="","",IF(OR(P41="Implementada",P41="Verificada",P41="Descartada"),"Cerrada",IF(R41="","Sin fecha",IF(R41&lt;0,"Vencida",IF(R41&lt;=15,"Por vencer","En plazo")))))</f>
        <v/>
      </c>
    </row>
    <row r="42">
      <c r="A42" s="22" t="n"/>
      <c r="B42" s="23" t="n"/>
      <c r="C42" s="23" t="n"/>
      <c r="D42" s="23" t="n"/>
      <c r="E42" s="23" t="n"/>
      <c r="F42" s="23" t="n"/>
      <c r="G42" s="24" t="n"/>
      <c r="H42" s="24" t="n"/>
      <c r="I42" s="23" t="n"/>
      <c r="J42" s="24" t="n"/>
      <c r="K42" s="24" t="n"/>
      <c r="L42" s="24" t="n"/>
      <c r="M42" s="23" t="n"/>
      <c r="N42" s="23" t="n"/>
      <c r="O42" s="25" t="n"/>
      <c r="P42" s="23" t="n"/>
      <c r="Q42" s="24" t="n"/>
      <c r="R42" s="26">
        <f>IF(OR(B42="",O42=""),"",IF(OR(P42="Implementada",P42="Verificada",P42="Descartada"),"",O42-$B$3))</f>
        <v/>
      </c>
      <c r="S42" s="27">
        <f>IF(B42="","",IF(OR(P42="Implementada",P42="Verificada",P42="Descartada"),"Cerrada",IF(R42="","Sin fecha",IF(R42&lt;0,"Vencida",IF(R42&lt;=15,"Por vencer","En plazo")))))</f>
        <v/>
      </c>
    </row>
    <row r="43">
      <c r="A43" s="22" t="n"/>
      <c r="B43" s="23" t="n"/>
      <c r="C43" s="23" t="n"/>
      <c r="D43" s="23" t="n"/>
      <c r="E43" s="23" t="n"/>
      <c r="F43" s="23" t="n"/>
      <c r="G43" s="24" t="n"/>
      <c r="H43" s="24" t="n"/>
      <c r="I43" s="23" t="n"/>
      <c r="J43" s="24" t="n"/>
      <c r="K43" s="24" t="n"/>
      <c r="L43" s="24" t="n"/>
      <c r="M43" s="23" t="n"/>
      <c r="N43" s="23" t="n"/>
      <c r="O43" s="25" t="n"/>
      <c r="P43" s="23" t="n"/>
      <c r="Q43" s="24" t="n"/>
      <c r="R43" s="26">
        <f>IF(OR(B43="",O43=""),"",IF(OR(P43="Implementada",P43="Verificada",P43="Descartada"),"",O43-$B$3))</f>
        <v/>
      </c>
      <c r="S43" s="27">
        <f>IF(B43="","",IF(OR(P43="Implementada",P43="Verificada",P43="Descartada"),"Cerrada",IF(R43="","Sin fecha",IF(R43&lt;0,"Vencida",IF(R43&lt;=15,"Por vencer","En plazo")))))</f>
        <v/>
      </c>
    </row>
    <row r="44">
      <c r="A44" s="22" t="n"/>
      <c r="B44" s="23" t="n"/>
      <c r="C44" s="23" t="n"/>
      <c r="D44" s="23" t="n"/>
      <c r="E44" s="23" t="n"/>
      <c r="F44" s="23" t="n"/>
      <c r="G44" s="24" t="n"/>
      <c r="H44" s="24" t="n"/>
      <c r="I44" s="23" t="n"/>
      <c r="J44" s="24" t="n"/>
      <c r="K44" s="24" t="n"/>
      <c r="L44" s="24" t="n"/>
      <c r="M44" s="23" t="n"/>
      <c r="N44" s="23" t="n"/>
      <c r="O44" s="25" t="n"/>
      <c r="P44" s="23" t="n"/>
      <c r="Q44" s="24" t="n"/>
      <c r="R44" s="26">
        <f>IF(OR(B44="",O44=""),"",IF(OR(P44="Implementada",P44="Verificada",P44="Descartada"),"",O44-$B$3))</f>
        <v/>
      </c>
      <c r="S44" s="27">
        <f>IF(B44="","",IF(OR(P44="Implementada",P44="Verificada",P44="Descartada"),"Cerrada",IF(R44="","Sin fecha",IF(R44&lt;0,"Vencida",IF(R44&lt;=15,"Por vencer","En plazo")))))</f>
        <v/>
      </c>
    </row>
    <row r="45">
      <c r="A45" s="22" t="n"/>
      <c r="B45" s="23" t="n"/>
      <c r="C45" s="23" t="n"/>
      <c r="D45" s="23" t="n"/>
      <c r="E45" s="23" t="n"/>
      <c r="F45" s="23" t="n"/>
      <c r="G45" s="24" t="n"/>
      <c r="H45" s="24" t="n"/>
      <c r="I45" s="23" t="n"/>
      <c r="J45" s="24" t="n"/>
      <c r="K45" s="24" t="n"/>
      <c r="L45" s="24" t="n"/>
      <c r="M45" s="23" t="n"/>
      <c r="N45" s="23" t="n"/>
      <c r="O45" s="25" t="n"/>
      <c r="P45" s="23" t="n"/>
      <c r="Q45" s="24" t="n"/>
      <c r="R45" s="26">
        <f>IF(OR(B45="",O45=""),"",IF(OR(P45="Implementada",P45="Verificada",P45="Descartada"),"",O45-$B$3))</f>
        <v/>
      </c>
      <c r="S45" s="27">
        <f>IF(B45="","",IF(OR(P45="Implementada",P45="Verificada",P45="Descartada"),"Cerrada",IF(R45="","Sin fecha",IF(R45&lt;0,"Vencida",IF(R45&lt;=15,"Por vencer","En plazo")))))</f>
        <v/>
      </c>
    </row>
    <row r="46">
      <c r="A46" s="22" t="n"/>
      <c r="B46" s="23" t="n"/>
      <c r="C46" s="23" t="n"/>
      <c r="D46" s="23" t="n"/>
      <c r="E46" s="23" t="n"/>
      <c r="F46" s="23" t="n"/>
      <c r="G46" s="24" t="n"/>
      <c r="H46" s="24" t="n"/>
      <c r="I46" s="23" t="n"/>
      <c r="J46" s="24" t="n"/>
      <c r="K46" s="24" t="n"/>
      <c r="L46" s="24" t="n"/>
      <c r="M46" s="23" t="n"/>
      <c r="N46" s="23" t="n"/>
      <c r="O46" s="25" t="n"/>
      <c r="P46" s="23" t="n"/>
      <c r="Q46" s="24" t="n"/>
      <c r="R46" s="26">
        <f>IF(OR(B46="",O46=""),"",IF(OR(P46="Implementada",P46="Verificada",P46="Descartada"),"",O46-$B$3))</f>
        <v/>
      </c>
      <c r="S46" s="27">
        <f>IF(B46="","",IF(OR(P46="Implementada",P46="Verificada",P46="Descartada"),"Cerrada",IF(R46="","Sin fecha",IF(R46&lt;0,"Vencida",IF(R46&lt;=15,"Por vencer","En plazo")))))</f>
        <v/>
      </c>
    </row>
    <row r="47">
      <c r="A47" s="22" t="n"/>
      <c r="B47" s="23" t="n"/>
      <c r="C47" s="23" t="n"/>
      <c r="D47" s="23" t="n"/>
      <c r="E47" s="23" t="n"/>
      <c r="F47" s="23" t="n"/>
      <c r="G47" s="24" t="n"/>
      <c r="H47" s="24" t="n"/>
      <c r="I47" s="23" t="n"/>
      <c r="J47" s="24" t="n"/>
      <c r="K47" s="24" t="n"/>
      <c r="L47" s="24" t="n"/>
      <c r="M47" s="23" t="n"/>
      <c r="N47" s="23" t="n"/>
      <c r="O47" s="25" t="n"/>
      <c r="P47" s="23" t="n"/>
      <c r="Q47" s="24" t="n"/>
      <c r="R47" s="26">
        <f>IF(OR(B47="",O47=""),"",IF(OR(P47="Implementada",P47="Verificada",P47="Descartada"),"",O47-$B$3))</f>
        <v/>
      </c>
      <c r="S47" s="27">
        <f>IF(B47="","",IF(OR(P47="Implementada",P47="Verificada",P47="Descartada"),"Cerrada",IF(R47="","Sin fecha",IF(R47&lt;0,"Vencida",IF(R47&lt;=15,"Por vencer","En plazo")))))</f>
        <v/>
      </c>
    </row>
    <row r="48">
      <c r="A48" s="22" t="n"/>
      <c r="B48" s="23" t="n"/>
      <c r="C48" s="23" t="n"/>
      <c r="D48" s="23" t="n"/>
      <c r="E48" s="23" t="n"/>
      <c r="F48" s="23" t="n"/>
      <c r="G48" s="24" t="n"/>
      <c r="H48" s="24" t="n"/>
      <c r="I48" s="23" t="n"/>
      <c r="J48" s="24" t="n"/>
      <c r="K48" s="24" t="n"/>
      <c r="L48" s="24" t="n"/>
      <c r="M48" s="23" t="n"/>
      <c r="N48" s="23" t="n"/>
      <c r="O48" s="25" t="n"/>
      <c r="P48" s="23" t="n"/>
      <c r="Q48" s="24" t="n"/>
      <c r="R48" s="26">
        <f>IF(OR(B48="",O48=""),"",IF(OR(P48="Implementada",P48="Verificada",P48="Descartada"),"",O48-$B$3))</f>
        <v/>
      </c>
      <c r="S48" s="27">
        <f>IF(B48="","",IF(OR(P48="Implementada",P48="Verificada",P48="Descartada"),"Cerrada",IF(R48="","Sin fecha",IF(R48&lt;0,"Vencida",IF(R48&lt;=15,"Por vencer","En plazo")))))</f>
        <v/>
      </c>
    </row>
    <row r="49">
      <c r="A49" s="22" t="n"/>
      <c r="B49" s="23" t="n"/>
      <c r="C49" s="23" t="n"/>
      <c r="D49" s="23" t="n"/>
      <c r="E49" s="23" t="n"/>
      <c r="F49" s="23" t="n"/>
      <c r="G49" s="24" t="n"/>
      <c r="H49" s="24" t="n"/>
      <c r="I49" s="23" t="n"/>
      <c r="J49" s="24" t="n"/>
      <c r="K49" s="24" t="n"/>
      <c r="L49" s="24" t="n"/>
      <c r="M49" s="23" t="n"/>
      <c r="N49" s="23" t="n"/>
      <c r="O49" s="25" t="n"/>
      <c r="P49" s="23" t="n"/>
      <c r="Q49" s="24" t="n"/>
      <c r="R49" s="26">
        <f>IF(OR(B49="",O49=""),"",IF(OR(P49="Implementada",P49="Verificada",P49="Descartada"),"",O49-$B$3))</f>
        <v/>
      </c>
      <c r="S49" s="27">
        <f>IF(B49="","",IF(OR(P49="Implementada",P49="Verificada",P49="Descartada"),"Cerrada",IF(R49="","Sin fecha",IF(R49&lt;0,"Vencida",IF(R49&lt;=15,"Por vencer","En plazo")))))</f>
        <v/>
      </c>
    </row>
    <row r="50">
      <c r="A50" s="22" t="n"/>
      <c r="B50" s="23" t="n"/>
      <c r="C50" s="23" t="n"/>
      <c r="D50" s="23" t="n"/>
      <c r="E50" s="23" t="n"/>
      <c r="F50" s="23" t="n"/>
      <c r="G50" s="24" t="n"/>
      <c r="H50" s="24" t="n"/>
      <c r="I50" s="23" t="n"/>
      <c r="J50" s="24" t="n"/>
      <c r="K50" s="24" t="n"/>
      <c r="L50" s="24" t="n"/>
      <c r="M50" s="23" t="n"/>
      <c r="N50" s="23" t="n"/>
      <c r="O50" s="25" t="n"/>
      <c r="P50" s="23" t="n"/>
      <c r="Q50" s="24" t="n"/>
      <c r="R50" s="26">
        <f>IF(OR(B50="",O50=""),"",IF(OR(P50="Implementada",P50="Verificada",P50="Descartada"),"",O50-$B$3))</f>
        <v/>
      </c>
      <c r="S50" s="27">
        <f>IF(B50="","",IF(OR(P50="Implementada",P50="Verificada",P50="Descartada"),"Cerrada",IF(R50="","Sin fecha",IF(R50&lt;0,"Vencida",IF(R50&lt;=15,"Por vencer","En plazo")))))</f>
        <v/>
      </c>
    </row>
    <row r="51">
      <c r="A51" s="22" t="n"/>
      <c r="B51" s="23" t="n"/>
      <c r="C51" s="23" t="n"/>
      <c r="D51" s="23" t="n"/>
      <c r="E51" s="23" t="n"/>
      <c r="F51" s="23" t="n"/>
      <c r="G51" s="24" t="n"/>
      <c r="H51" s="24" t="n"/>
      <c r="I51" s="23" t="n"/>
      <c r="J51" s="24" t="n"/>
      <c r="K51" s="24" t="n"/>
      <c r="L51" s="24" t="n"/>
      <c r="M51" s="23" t="n"/>
      <c r="N51" s="23" t="n"/>
      <c r="O51" s="25" t="n"/>
      <c r="P51" s="23" t="n"/>
      <c r="Q51" s="24" t="n"/>
      <c r="R51" s="26">
        <f>IF(OR(B51="",O51=""),"",IF(OR(P51="Implementada",P51="Verificada",P51="Descartada"),"",O51-$B$3))</f>
        <v/>
      </c>
      <c r="S51" s="27">
        <f>IF(B51="","",IF(OR(P51="Implementada",P51="Verificada",P51="Descartada"),"Cerrada",IF(R51="","Sin fecha",IF(R51&lt;0,"Vencida",IF(R51&lt;=15,"Por vencer","En plazo")))))</f>
        <v/>
      </c>
    </row>
    <row r="52">
      <c r="A52" s="22" t="n"/>
      <c r="B52" s="23" t="n"/>
      <c r="C52" s="23" t="n"/>
      <c r="D52" s="23" t="n"/>
      <c r="E52" s="23" t="n"/>
      <c r="F52" s="23" t="n"/>
      <c r="G52" s="24" t="n"/>
      <c r="H52" s="24" t="n"/>
      <c r="I52" s="23" t="n"/>
      <c r="J52" s="24" t="n"/>
      <c r="K52" s="24" t="n"/>
      <c r="L52" s="24" t="n"/>
      <c r="M52" s="23" t="n"/>
      <c r="N52" s="23" t="n"/>
      <c r="O52" s="25" t="n"/>
      <c r="P52" s="23" t="n"/>
      <c r="Q52" s="24" t="n"/>
      <c r="R52" s="26">
        <f>IF(OR(B52="",O52=""),"",IF(OR(P52="Implementada",P52="Verificada",P52="Descartada"),"",O52-$B$3))</f>
        <v/>
      </c>
      <c r="S52" s="27">
        <f>IF(B52="","",IF(OR(P52="Implementada",P52="Verificada",P52="Descartada"),"Cerrada",IF(R52="","Sin fecha",IF(R52&lt;0,"Vencida",IF(R52&lt;=15,"Por vencer","En plazo")))))</f>
        <v/>
      </c>
    </row>
    <row r="53">
      <c r="A53" s="22" t="n"/>
      <c r="B53" s="23" t="n"/>
      <c r="C53" s="23" t="n"/>
      <c r="D53" s="23" t="n"/>
      <c r="E53" s="23" t="n"/>
      <c r="F53" s="23" t="n"/>
      <c r="G53" s="24" t="n"/>
      <c r="H53" s="24" t="n"/>
      <c r="I53" s="23" t="n"/>
      <c r="J53" s="24" t="n"/>
      <c r="K53" s="24" t="n"/>
      <c r="L53" s="24" t="n"/>
      <c r="M53" s="23" t="n"/>
      <c r="N53" s="23" t="n"/>
      <c r="O53" s="25" t="n"/>
      <c r="P53" s="23" t="n"/>
      <c r="Q53" s="24" t="n"/>
      <c r="R53" s="26">
        <f>IF(OR(B53="",O53=""),"",IF(OR(P53="Implementada",P53="Verificada",P53="Descartada"),"",O53-$B$3))</f>
        <v/>
      </c>
      <c r="S53" s="27">
        <f>IF(B53="","",IF(OR(P53="Implementada",P53="Verificada",P53="Descartada"),"Cerrada",IF(R53="","Sin fecha",IF(R53&lt;0,"Vencida",IF(R53&lt;=15,"Por vencer","En plazo")))))</f>
        <v/>
      </c>
    </row>
    <row r="54">
      <c r="A54" s="22" t="n"/>
      <c r="B54" s="23" t="n"/>
      <c r="C54" s="23" t="n"/>
      <c r="D54" s="23" t="n"/>
      <c r="E54" s="23" t="n"/>
      <c r="F54" s="23" t="n"/>
      <c r="G54" s="24" t="n"/>
      <c r="H54" s="24" t="n"/>
      <c r="I54" s="23" t="n"/>
      <c r="J54" s="24" t="n"/>
      <c r="K54" s="24" t="n"/>
      <c r="L54" s="24" t="n"/>
      <c r="M54" s="23" t="n"/>
      <c r="N54" s="23" t="n"/>
      <c r="O54" s="25" t="n"/>
      <c r="P54" s="23" t="n"/>
      <c r="Q54" s="24" t="n"/>
      <c r="R54" s="26">
        <f>IF(OR(B54="",O54=""),"",IF(OR(P54="Implementada",P54="Verificada",P54="Descartada"),"",O54-$B$3))</f>
        <v/>
      </c>
      <c r="S54" s="27">
        <f>IF(B54="","",IF(OR(P54="Implementada",P54="Verificada",P54="Descartada"),"Cerrada",IF(R54="","Sin fecha",IF(R54&lt;0,"Vencida",IF(R54&lt;=15,"Por vencer","En plazo")))))</f>
        <v/>
      </c>
    </row>
    <row r="55">
      <c r="A55" s="22" t="n"/>
      <c r="B55" s="23" t="n"/>
      <c r="C55" s="23" t="n"/>
      <c r="D55" s="23" t="n"/>
      <c r="E55" s="23" t="n"/>
      <c r="F55" s="23" t="n"/>
      <c r="G55" s="24" t="n"/>
      <c r="H55" s="24" t="n"/>
      <c r="I55" s="23" t="n"/>
      <c r="J55" s="24" t="n"/>
      <c r="K55" s="24" t="n"/>
      <c r="L55" s="24" t="n"/>
      <c r="M55" s="23" t="n"/>
      <c r="N55" s="23" t="n"/>
      <c r="O55" s="25" t="n"/>
      <c r="P55" s="23" t="n"/>
      <c r="Q55" s="24" t="n"/>
      <c r="R55" s="26">
        <f>IF(OR(B55="",O55=""),"",IF(OR(P55="Implementada",P55="Verificada",P55="Descartada"),"",O55-$B$3))</f>
        <v/>
      </c>
      <c r="S55" s="27">
        <f>IF(B55="","",IF(OR(P55="Implementada",P55="Verificada",P55="Descartada"),"Cerrada",IF(R55="","Sin fecha",IF(R55&lt;0,"Vencida",IF(R55&lt;=15,"Por vencer","En plazo")))))</f>
        <v/>
      </c>
    </row>
    <row r="56">
      <c r="A56" s="22" t="n"/>
      <c r="B56" s="23" t="n"/>
      <c r="C56" s="23" t="n"/>
      <c r="D56" s="23" t="n"/>
      <c r="E56" s="23" t="n"/>
      <c r="F56" s="23" t="n"/>
      <c r="G56" s="24" t="n"/>
      <c r="H56" s="24" t="n"/>
      <c r="I56" s="23" t="n"/>
      <c r="J56" s="24" t="n"/>
      <c r="K56" s="24" t="n"/>
      <c r="L56" s="24" t="n"/>
      <c r="M56" s="23" t="n"/>
      <c r="N56" s="23" t="n"/>
      <c r="O56" s="25" t="n"/>
      <c r="P56" s="23" t="n"/>
      <c r="Q56" s="24" t="n"/>
      <c r="R56" s="26">
        <f>IF(OR(B56="",O56=""),"",IF(OR(P56="Implementada",P56="Verificada",P56="Descartada"),"",O56-$B$3))</f>
        <v/>
      </c>
      <c r="S56" s="27">
        <f>IF(B56="","",IF(OR(P56="Implementada",P56="Verificada",P56="Descartada"),"Cerrada",IF(R56="","Sin fecha",IF(R56&lt;0,"Vencida",IF(R56&lt;=15,"Por vencer","En plazo")))))</f>
        <v/>
      </c>
    </row>
    <row r="57">
      <c r="A57" s="22" t="n"/>
      <c r="B57" s="23" t="n"/>
      <c r="C57" s="23" t="n"/>
      <c r="D57" s="23" t="n"/>
      <c r="E57" s="23" t="n"/>
      <c r="F57" s="23" t="n"/>
      <c r="G57" s="24" t="n"/>
      <c r="H57" s="24" t="n"/>
      <c r="I57" s="23" t="n"/>
      <c r="J57" s="24" t="n"/>
      <c r="K57" s="24" t="n"/>
      <c r="L57" s="24" t="n"/>
      <c r="M57" s="23" t="n"/>
      <c r="N57" s="23" t="n"/>
      <c r="O57" s="25" t="n"/>
      <c r="P57" s="23" t="n"/>
      <c r="Q57" s="24" t="n"/>
      <c r="R57" s="26">
        <f>IF(OR(B57="",O57=""),"",IF(OR(P57="Implementada",P57="Verificada",P57="Descartada"),"",O57-$B$3))</f>
        <v/>
      </c>
      <c r="S57" s="27">
        <f>IF(B57="","",IF(OR(P57="Implementada",P57="Verificada",P57="Descartada"),"Cerrada",IF(R57="","Sin fecha",IF(R57&lt;0,"Vencida",IF(R57&lt;=15,"Por vencer","En plazo")))))</f>
        <v/>
      </c>
    </row>
    <row r="58">
      <c r="A58" s="22" t="n"/>
      <c r="B58" s="23" t="n"/>
      <c r="C58" s="23" t="n"/>
      <c r="D58" s="23" t="n"/>
      <c r="E58" s="23" t="n"/>
      <c r="F58" s="23" t="n"/>
      <c r="G58" s="24" t="n"/>
      <c r="H58" s="24" t="n"/>
      <c r="I58" s="23" t="n"/>
      <c r="J58" s="24" t="n"/>
      <c r="K58" s="24" t="n"/>
      <c r="L58" s="24" t="n"/>
      <c r="M58" s="23" t="n"/>
      <c r="N58" s="23" t="n"/>
      <c r="O58" s="25" t="n"/>
      <c r="P58" s="23" t="n"/>
      <c r="Q58" s="24" t="n"/>
      <c r="R58" s="26">
        <f>IF(OR(B58="",O58=""),"",IF(OR(P58="Implementada",P58="Verificada",P58="Descartada"),"",O58-$B$3))</f>
        <v/>
      </c>
      <c r="S58" s="27">
        <f>IF(B58="","",IF(OR(P58="Implementada",P58="Verificada",P58="Descartada"),"Cerrada",IF(R58="","Sin fecha",IF(R58&lt;0,"Vencida",IF(R58&lt;=15,"Por vencer","En plazo")))))</f>
        <v/>
      </c>
    </row>
    <row r="59">
      <c r="A59" s="22" t="n"/>
      <c r="B59" s="23" t="n"/>
      <c r="C59" s="23" t="n"/>
      <c r="D59" s="23" t="n"/>
      <c r="E59" s="23" t="n"/>
      <c r="F59" s="23" t="n"/>
      <c r="G59" s="24" t="n"/>
      <c r="H59" s="24" t="n"/>
      <c r="I59" s="23" t="n"/>
      <c r="J59" s="24" t="n"/>
      <c r="K59" s="24" t="n"/>
      <c r="L59" s="24" t="n"/>
      <c r="M59" s="23" t="n"/>
      <c r="N59" s="23" t="n"/>
      <c r="O59" s="25" t="n"/>
      <c r="P59" s="23" t="n"/>
      <c r="Q59" s="24" t="n"/>
      <c r="R59" s="26">
        <f>IF(OR(B59="",O59=""),"",IF(OR(P59="Implementada",P59="Verificada",P59="Descartada"),"",O59-$B$3))</f>
        <v/>
      </c>
      <c r="S59" s="27">
        <f>IF(B59="","",IF(OR(P59="Implementada",P59="Verificada",P59="Descartada"),"Cerrada",IF(R59="","Sin fecha",IF(R59&lt;0,"Vencida",IF(R59&lt;=15,"Por vencer","En plazo")))))</f>
        <v/>
      </c>
    </row>
    <row r="60">
      <c r="A60" s="22" t="n"/>
      <c r="B60" s="23" t="n"/>
      <c r="C60" s="23" t="n"/>
      <c r="D60" s="23" t="n"/>
      <c r="E60" s="23" t="n"/>
      <c r="F60" s="23" t="n"/>
      <c r="G60" s="24" t="n"/>
      <c r="H60" s="24" t="n"/>
      <c r="I60" s="23" t="n"/>
      <c r="J60" s="24" t="n"/>
      <c r="K60" s="24" t="n"/>
      <c r="L60" s="24" t="n"/>
      <c r="M60" s="23" t="n"/>
      <c r="N60" s="23" t="n"/>
      <c r="O60" s="25" t="n"/>
      <c r="P60" s="23" t="n"/>
      <c r="Q60" s="24" t="n"/>
      <c r="R60" s="26">
        <f>IF(OR(B60="",O60=""),"",IF(OR(P60="Implementada",P60="Verificada",P60="Descartada"),"",O60-$B$3))</f>
        <v/>
      </c>
      <c r="S60" s="27">
        <f>IF(B60="","",IF(OR(P60="Implementada",P60="Verificada",P60="Descartada"),"Cerrada",IF(R60="","Sin fecha",IF(R60&lt;0,"Vencida",IF(R60&lt;=15,"Por vencer","En plazo")))))</f>
        <v/>
      </c>
    </row>
    <row r="61">
      <c r="A61" s="22" t="n"/>
      <c r="B61" s="23" t="n"/>
      <c r="C61" s="23" t="n"/>
      <c r="D61" s="23" t="n"/>
      <c r="E61" s="23" t="n"/>
      <c r="F61" s="23" t="n"/>
      <c r="G61" s="24" t="n"/>
      <c r="H61" s="24" t="n"/>
      <c r="I61" s="23" t="n"/>
      <c r="J61" s="24" t="n"/>
      <c r="K61" s="24" t="n"/>
      <c r="L61" s="24" t="n"/>
      <c r="M61" s="23" t="n"/>
      <c r="N61" s="23" t="n"/>
      <c r="O61" s="25" t="n"/>
      <c r="P61" s="23" t="n"/>
      <c r="Q61" s="24" t="n"/>
      <c r="R61" s="26">
        <f>IF(OR(B61="",O61=""),"",IF(OR(P61="Implementada",P61="Verificada",P61="Descartada"),"",O61-$B$3))</f>
        <v/>
      </c>
      <c r="S61" s="27">
        <f>IF(B61="","",IF(OR(P61="Implementada",P61="Verificada",P61="Descartada"),"Cerrada",IF(R61="","Sin fecha",IF(R61&lt;0,"Vencida",IF(R61&lt;=15,"Por vencer","En plazo")))))</f>
        <v/>
      </c>
    </row>
    <row r="62">
      <c r="A62" s="22" t="n"/>
      <c r="B62" s="23" t="n"/>
      <c r="C62" s="23" t="n"/>
      <c r="D62" s="23" t="n"/>
      <c r="E62" s="23" t="n"/>
      <c r="F62" s="23" t="n"/>
      <c r="G62" s="24" t="n"/>
      <c r="H62" s="24" t="n"/>
      <c r="I62" s="23" t="n"/>
      <c r="J62" s="24" t="n"/>
      <c r="K62" s="24" t="n"/>
      <c r="L62" s="24" t="n"/>
      <c r="M62" s="23" t="n"/>
      <c r="N62" s="23" t="n"/>
      <c r="O62" s="25" t="n"/>
      <c r="P62" s="23" t="n"/>
      <c r="Q62" s="24" t="n"/>
      <c r="R62" s="26">
        <f>IF(OR(B62="",O62=""),"",IF(OR(P62="Implementada",P62="Verificada",P62="Descartada"),"",O62-$B$3))</f>
        <v/>
      </c>
      <c r="S62" s="27">
        <f>IF(B62="","",IF(OR(P62="Implementada",P62="Verificada",P62="Descartada"),"Cerrada",IF(R62="","Sin fecha",IF(R62&lt;0,"Vencida",IF(R62&lt;=15,"Por vencer","En plazo")))))</f>
        <v/>
      </c>
    </row>
    <row r="63">
      <c r="A63" s="22" t="n"/>
      <c r="B63" s="23" t="n"/>
      <c r="C63" s="23" t="n"/>
      <c r="D63" s="23" t="n"/>
      <c r="E63" s="23" t="n"/>
      <c r="F63" s="23" t="n"/>
      <c r="G63" s="24" t="n"/>
      <c r="H63" s="24" t="n"/>
      <c r="I63" s="23" t="n"/>
      <c r="J63" s="24" t="n"/>
      <c r="K63" s="24" t="n"/>
      <c r="L63" s="24" t="n"/>
      <c r="M63" s="23" t="n"/>
      <c r="N63" s="23" t="n"/>
      <c r="O63" s="25" t="n"/>
      <c r="P63" s="23" t="n"/>
      <c r="Q63" s="24" t="n"/>
      <c r="R63" s="26">
        <f>IF(OR(B63="",O63=""),"",IF(OR(P63="Implementada",P63="Verificada",P63="Descartada"),"",O63-$B$3))</f>
        <v/>
      </c>
      <c r="S63" s="27">
        <f>IF(B63="","",IF(OR(P63="Implementada",P63="Verificada",P63="Descartada"),"Cerrada",IF(R63="","Sin fecha",IF(R63&lt;0,"Vencida",IF(R63&lt;=15,"Por vencer","En plazo")))))</f>
        <v/>
      </c>
    </row>
    <row r="64">
      <c r="A64" s="22" t="n"/>
      <c r="B64" s="23" t="n"/>
      <c r="C64" s="23" t="n"/>
      <c r="D64" s="23" t="n"/>
      <c r="E64" s="23" t="n"/>
      <c r="F64" s="23" t="n"/>
      <c r="G64" s="24" t="n"/>
      <c r="H64" s="24" t="n"/>
      <c r="I64" s="23" t="n"/>
      <c r="J64" s="24" t="n"/>
      <c r="K64" s="24" t="n"/>
      <c r="L64" s="24" t="n"/>
      <c r="M64" s="23" t="n"/>
      <c r="N64" s="23" t="n"/>
      <c r="O64" s="25" t="n"/>
      <c r="P64" s="23" t="n"/>
      <c r="Q64" s="24" t="n"/>
      <c r="R64" s="26">
        <f>IF(OR(B64="",O64=""),"",IF(OR(P64="Implementada",P64="Verificada",P64="Descartada"),"",O64-$B$3))</f>
        <v/>
      </c>
      <c r="S64" s="27">
        <f>IF(B64="","",IF(OR(P64="Implementada",P64="Verificada",P64="Descartada"),"Cerrada",IF(R64="","Sin fecha",IF(R64&lt;0,"Vencida",IF(R64&lt;=15,"Por vencer","En plazo")))))</f>
        <v/>
      </c>
    </row>
    <row r="65">
      <c r="A65" s="22" t="n"/>
      <c r="B65" s="23" t="n"/>
      <c r="C65" s="23" t="n"/>
      <c r="D65" s="23" t="n"/>
      <c r="E65" s="23" t="n"/>
      <c r="F65" s="23" t="n"/>
      <c r="G65" s="24" t="n"/>
      <c r="H65" s="24" t="n"/>
      <c r="I65" s="23" t="n"/>
      <c r="J65" s="24" t="n"/>
      <c r="K65" s="24" t="n"/>
      <c r="L65" s="24" t="n"/>
      <c r="M65" s="23" t="n"/>
      <c r="N65" s="23" t="n"/>
      <c r="O65" s="25" t="n"/>
      <c r="P65" s="23" t="n"/>
      <c r="Q65" s="24" t="n"/>
      <c r="R65" s="26">
        <f>IF(OR(B65="",O65=""),"",IF(OR(P65="Implementada",P65="Verificada",P65="Descartada"),"",O65-$B$3))</f>
        <v/>
      </c>
      <c r="S65" s="27">
        <f>IF(B65="","",IF(OR(P65="Implementada",P65="Verificada",P65="Descartada"),"Cerrada",IF(R65="","Sin fecha",IF(R65&lt;0,"Vencida",IF(R65&lt;=15,"Por vencer","En plazo")))))</f>
        <v/>
      </c>
    </row>
    <row r="66">
      <c r="A66" s="22" t="n"/>
      <c r="B66" s="23" t="n"/>
      <c r="C66" s="23" t="n"/>
      <c r="D66" s="23" t="n"/>
      <c r="E66" s="23" t="n"/>
      <c r="F66" s="23" t="n"/>
      <c r="G66" s="24" t="n"/>
      <c r="H66" s="24" t="n"/>
      <c r="I66" s="23" t="n"/>
      <c r="J66" s="24" t="n"/>
      <c r="K66" s="24" t="n"/>
      <c r="L66" s="24" t="n"/>
      <c r="M66" s="23" t="n"/>
      <c r="N66" s="23" t="n"/>
      <c r="O66" s="25" t="n"/>
      <c r="P66" s="23" t="n"/>
      <c r="Q66" s="24" t="n"/>
      <c r="R66" s="26">
        <f>IF(OR(B66="",O66=""),"",IF(OR(P66="Implementada",P66="Verificada",P66="Descartada"),"",O66-$B$3))</f>
        <v/>
      </c>
      <c r="S66" s="27">
        <f>IF(B66="","",IF(OR(P66="Implementada",P66="Verificada",P66="Descartada"),"Cerrada",IF(R66="","Sin fecha",IF(R66&lt;0,"Vencida",IF(R66&lt;=15,"Por vencer","En plazo")))))</f>
        <v/>
      </c>
    </row>
    <row r="67">
      <c r="A67" s="22" t="n"/>
      <c r="B67" s="23" t="n"/>
      <c r="C67" s="23" t="n"/>
      <c r="D67" s="23" t="n"/>
      <c r="E67" s="23" t="n"/>
      <c r="F67" s="23" t="n"/>
      <c r="G67" s="24" t="n"/>
      <c r="H67" s="24" t="n"/>
      <c r="I67" s="23" t="n"/>
      <c r="J67" s="24" t="n"/>
      <c r="K67" s="24" t="n"/>
      <c r="L67" s="24" t="n"/>
      <c r="M67" s="23" t="n"/>
      <c r="N67" s="23" t="n"/>
      <c r="O67" s="25" t="n"/>
      <c r="P67" s="23" t="n"/>
      <c r="Q67" s="24" t="n"/>
      <c r="R67" s="26">
        <f>IF(OR(B67="",O67=""),"",IF(OR(P67="Implementada",P67="Verificada",P67="Descartada"),"",O67-$B$3))</f>
        <v/>
      </c>
      <c r="S67" s="27">
        <f>IF(B67="","",IF(OR(P67="Implementada",P67="Verificada",P67="Descartada"),"Cerrada",IF(R67="","Sin fecha",IF(R67&lt;0,"Vencida",IF(R67&lt;=15,"Por vencer","En plazo")))))</f>
        <v/>
      </c>
    </row>
    <row r="68">
      <c r="A68" s="22" t="n"/>
      <c r="B68" s="23" t="n"/>
      <c r="C68" s="23" t="n"/>
      <c r="D68" s="23" t="n"/>
      <c r="E68" s="23" t="n"/>
      <c r="F68" s="23" t="n"/>
      <c r="G68" s="24" t="n"/>
      <c r="H68" s="24" t="n"/>
      <c r="I68" s="23" t="n"/>
      <c r="J68" s="24" t="n"/>
      <c r="K68" s="24" t="n"/>
      <c r="L68" s="24" t="n"/>
      <c r="M68" s="23" t="n"/>
      <c r="N68" s="23" t="n"/>
      <c r="O68" s="25" t="n"/>
      <c r="P68" s="23" t="n"/>
      <c r="Q68" s="24" t="n"/>
      <c r="R68" s="26">
        <f>IF(OR(B68="",O68=""),"",IF(OR(P68="Implementada",P68="Verificada",P68="Descartada"),"",O68-$B$3))</f>
        <v/>
      </c>
      <c r="S68" s="27">
        <f>IF(B68="","",IF(OR(P68="Implementada",P68="Verificada",P68="Descartada"),"Cerrada",IF(R68="","Sin fecha",IF(R68&lt;0,"Vencida",IF(R68&lt;=15,"Por vencer","En plazo")))))</f>
        <v/>
      </c>
    </row>
    <row r="69">
      <c r="A69" s="22" t="n"/>
      <c r="B69" s="23" t="n"/>
      <c r="C69" s="23" t="n"/>
      <c r="D69" s="23" t="n"/>
      <c r="E69" s="23" t="n"/>
      <c r="F69" s="23" t="n"/>
      <c r="G69" s="24" t="n"/>
      <c r="H69" s="24" t="n"/>
      <c r="I69" s="23" t="n"/>
      <c r="J69" s="24" t="n"/>
      <c r="K69" s="24" t="n"/>
      <c r="L69" s="24" t="n"/>
      <c r="M69" s="23" t="n"/>
      <c r="N69" s="23" t="n"/>
      <c r="O69" s="25" t="n"/>
      <c r="P69" s="23" t="n"/>
      <c r="Q69" s="24" t="n"/>
      <c r="R69" s="26">
        <f>IF(OR(B69="",O69=""),"",IF(OR(P69="Implementada",P69="Verificada",P69="Descartada"),"",O69-$B$3))</f>
        <v/>
      </c>
      <c r="S69" s="27">
        <f>IF(B69="","",IF(OR(P69="Implementada",P69="Verificada",P69="Descartada"),"Cerrada",IF(R69="","Sin fecha",IF(R69&lt;0,"Vencida",IF(R69&lt;=15,"Por vencer","En plazo")))))</f>
        <v/>
      </c>
    </row>
    <row r="70">
      <c r="A70" s="22" t="n"/>
      <c r="B70" s="23" t="n"/>
      <c r="C70" s="23" t="n"/>
      <c r="D70" s="23" t="n"/>
      <c r="E70" s="23" t="n"/>
      <c r="F70" s="23" t="n"/>
      <c r="G70" s="24" t="n"/>
      <c r="H70" s="24" t="n"/>
      <c r="I70" s="23" t="n"/>
      <c r="J70" s="24" t="n"/>
      <c r="K70" s="24" t="n"/>
      <c r="L70" s="24" t="n"/>
      <c r="M70" s="23" t="n"/>
      <c r="N70" s="23" t="n"/>
      <c r="O70" s="25" t="n"/>
      <c r="P70" s="23" t="n"/>
      <c r="Q70" s="24" t="n"/>
      <c r="R70" s="26">
        <f>IF(OR(B70="",O70=""),"",IF(OR(P70="Implementada",P70="Verificada",P70="Descartada"),"",O70-$B$3))</f>
        <v/>
      </c>
      <c r="S70" s="27">
        <f>IF(B70="","",IF(OR(P70="Implementada",P70="Verificada",P70="Descartada"),"Cerrada",IF(R70="","Sin fecha",IF(R70&lt;0,"Vencida",IF(R70&lt;=15,"Por vencer","En plazo")))))</f>
        <v/>
      </c>
    </row>
    <row r="71">
      <c r="A71" s="22" t="n"/>
      <c r="B71" s="23" t="n"/>
      <c r="C71" s="23" t="n"/>
      <c r="D71" s="23" t="n"/>
      <c r="E71" s="23" t="n"/>
      <c r="F71" s="23" t="n"/>
      <c r="G71" s="24" t="n"/>
      <c r="H71" s="24" t="n"/>
      <c r="I71" s="23" t="n"/>
      <c r="J71" s="24" t="n"/>
      <c r="K71" s="24" t="n"/>
      <c r="L71" s="24" t="n"/>
      <c r="M71" s="23" t="n"/>
      <c r="N71" s="23" t="n"/>
      <c r="O71" s="25" t="n"/>
      <c r="P71" s="23" t="n"/>
      <c r="Q71" s="24" t="n"/>
      <c r="R71" s="26">
        <f>IF(OR(B71="",O71=""),"",IF(OR(P71="Implementada",P71="Verificada",P71="Descartada"),"",O71-$B$3))</f>
        <v/>
      </c>
      <c r="S71" s="27">
        <f>IF(B71="","",IF(OR(P71="Implementada",P71="Verificada",P71="Descartada"),"Cerrada",IF(R71="","Sin fecha",IF(R71&lt;0,"Vencida",IF(R71&lt;=15,"Por vencer","En plazo")))))</f>
        <v/>
      </c>
    </row>
    <row r="72">
      <c r="A72" s="22" t="n"/>
      <c r="B72" s="23" t="n"/>
      <c r="C72" s="23" t="n"/>
      <c r="D72" s="23" t="n"/>
      <c r="E72" s="23" t="n"/>
      <c r="F72" s="23" t="n"/>
      <c r="G72" s="24" t="n"/>
      <c r="H72" s="24" t="n"/>
      <c r="I72" s="23" t="n"/>
      <c r="J72" s="24" t="n"/>
      <c r="K72" s="24" t="n"/>
      <c r="L72" s="24" t="n"/>
      <c r="M72" s="23" t="n"/>
      <c r="N72" s="23" t="n"/>
      <c r="O72" s="25" t="n"/>
      <c r="P72" s="23" t="n"/>
      <c r="Q72" s="24" t="n"/>
      <c r="R72" s="26">
        <f>IF(OR(B72="",O72=""),"",IF(OR(P72="Implementada",P72="Verificada",P72="Descartada"),"",O72-$B$3))</f>
        <v/>
      </c>
      <c r="S72" s="27">
        <f>IF(B72="","",IF(OR(P72="Implementada",P72="Verificada",P72="Descartada"),"Cerrada",IF(R72="","Sin fecha",IF(R72&lt;0,"Vencida",IF(R72&lt;=15,"Por vencer","En plazo")))))</f>
        <v/>
      </c>
    </row>
    <row r="73">
      <c r="A73" s="22" t="n"/>
      <c r="B73" s="23" t="n"/>
      <c r="C73" s="23" t="n"/>
      <c r="D73" s="23" t="n"/>
      <c r="E73" s="23" t="n"/>
      <c r="F73" s="23" t="n"/>
      <c r="G73" s="24" t="n"/>
      <c r="H73" s="24" t="n"/>
      <c r="I73" s="23" t="n"/>
      <c r="J73" s="24" t="n"/>
      <c r="K73" s="24" t="n"/>
      <c r="L73" s="24" t="n"/>
      <c r="M73" s="23" t="n"/>
      <c r="N73" s="23" t="n"/>
      <c r="O73" s="25" t="n"/>
      <c r="P73" s="23" t="n"/>
      <c r="Q73" s="24" t="n"/>
      <c r="R73" s="26">
        <f>IF(OR(B73="",O73=""),"",IF(OR(P73="Implementada",P73="Verificada",P73="Descartada"),"",O73-$B$3))</f>
        <v/>
      </c>
      <c r="S73" s="27">
        <f>IF(B73="","",IF(OR(P73="Implementada",P73="Verificada",P73="Descartada"),"Cerrada",IF(R73="","Sin fecha",IF(R73&lt;0,"Vencida",IF(R73&lt;=15,"Por vencer","En plazo")))))</f>
        <v/>
      </c>
    </row>
    <row r="74">
      <c r="A74" s="22" t="n"/>
      <c r="B74" s="23" t="n"/>
      <c r="C74" s="23" t="n"/>
      <c r="D74" s="23" t="n"/>
      <c r="E74" s="23" t="n"/>
      <c r="F74" s="23" t="n"/>
      <c r="G74" s="24" t="n"/>
      <c r="H74" s="24" t="n"/>
      <c r="I74" s="23" t="n"/>
      <c r="J74" s="24" t="n"/>
      <c r="K74" s="24" t="n"/>
      <c r="L74" s="24" t="n"/>
      <c r="M74" s="23" t="n"/>
      <c r="N74" s="23" t="n"/>
      <c r="O74" s="25" t="n"/>
      <c r="P74" s="23" t="n"/>
      <c r="Q74" s="24" t="n"/>
      <c r="R74" s="26">
        <f>IF(OR(B74="",O74=""),"",IF(OR(P74="Implementada",P74="Verificada",P74="Descartada"),"",O74-$B$3))</f>
        <v/>
      </c>
      <c r="S74" s="27">
        <f>IF(B74="","",IF(OR(P74="Implementada",P74="Verificada",P74="Descartada"),"Cerrada",IF(R74="","Sin fecha",IF(R74&lt;0,"Vencida",IF(R74&lt;=15,"Por vencer","En plazo")))))</f>
        <v/>
      </c>
    </row>
    <row r="75">
      <c r="A75" s="22" t="n"/>
      <c r="B75" s="23" t="n"/>
      <c r="C75" s="23" t="n"/>
      <c r="D75" s="23" t="n"/>
      <c r="E75" s="23" t="n"/>
      <c r="F75" s="23" t="n"/>
      <c r="G75" s="24" t="n"/>
      <c r="H75" s="24" t="n"/>
      <c r="I75" s="23" t="n"/>
      <c r="J75" s="24" t="n"/>
      <c r="K75" s="24" t="n"/>
      <c r="L75" s="24" t="n"/>
      <c r="M75" s="23" t="n"/>
      <c r="N75" s="23" t="n"/>
      <c r="O75" s="25" t="n"/>
      <c r="P75" s="23" t="n"/>
      <c r="Q75" s="24" t="n"/>
      <c r="R75" s="26">
        <f>IF(OR(B75="",O75=""),"",IF(OR(P75="Implementada",P75="Verificada",P75="Descartada"),"",O75-$B$3))</f>
        <v/>
      </c>
      <c r="S75" s="27">
        <f>IF(B75="","",IF(OR(P75="Implementada",P75="Verificada",P75="Descartada"),"Cerrada",IF(R75="","Sin fecha",IF(R75&lt;0,"Vencida",IF(R75&lt;=15,"Por vencer","En plazo")))))</f>
        <v/>
      </c>
    </row>
    <row r="76">
      <c r="A76" s="22" t="n"/>
      <c r="B76" s="23" t="n"/>
      <c r="C76" s="23" t="n"/>
      <c r="D76" s="23" t="n"/>
      <c r="E76" s="23" t="n"/>
      <c r="F76" s="23" t="n"/>
      <c r="G76" s="24" t="n"/>
      <c r="H76" s="24" t="n"/>
      <c r="I76" s="23" t="n"/>
      <c r="J76" s="24" t="n"/>
      <c r="K76" s="24" t="n"/>
      <c r="L76" s="24" t="n"/>
      <c r="M76" s="23" t="n"/>
      <c r="N76" s="23" t="n"/>
      <c r="O76" s="25" t="n"/>
      <c r="P76" s="23" t="n"/>
      <c r="Q76" s="24" t="n"/>
      <c r="R76" s="26">
        <f>IF(OR(B76="",O76=""),"",IF(OR(P76="Implementada",P76="Verificada",P76="Descartada"),"",O76-$B$3))</f>
        <v/>
      </c>
      <c r="S76" s="27">
        <f>IF(B76="","",IF(OR(P76="Implementada",P76="Verificada",P76="Descartada"),"Cerrada",IF(R76="","Sin fecha",IF(R76&lt;0,"Vencida",IF(R76&lt;=15,"Por vencer","En plazo")))))</f>
        <v/>
      </c>
    </row>
    <row r="77">
      <c r="A77" s="22" t="n"/>
      <c r="B77" s="23" t="n"/>
      <c r="C77" s="23" t="n"/>
      <c r="D77" s="23" t="n"/>
      <c r="E77" s="23" t="n"/>
      <c r="F77" s="23" t="n"/>
      <c r="G77" s="24" t="n"/>
      <c r="H77" s="24" t="n"/>
      <c r="I77" s="23" t="n"/>
      <c r="J77" s="24" t="n"/>
      <c r="K77" s="24" t="n"/>
      <c r="L77" s="24" t="n"/>
      <c r="M77" s="23" t="n"/>
      <c r="N77" s="23" t="n"/>
      <c r="O77" s="25" t="n"/>
      <c r="P77" s="23" t="n"/>
      <c r="Q77" s="24" t="n"/>
      <c r="R77" s="26">
        <f>IF(OR(B77="",O77=""),"",IF(OR(P77="Implementada",P77="Verificada",P77="Descartada"),"",O77-$B$3))</f>
        <v/>
      </c>
      <c r="S77" s="27">
        <f>IF(B77="","",IF(OR(P77="Implementada",P77="Verificada",P77="Descartada"),"Cerrada",IF(R77="","Sin fecha",IF(R77&lt;0,"Vencida",IF(R77&lt;=15,"Por vencer","En plazo")))))</f>
        <v/>
      </c>
    </row>
    <row r="78">
      <c r="A78" s="22" t="n"/>
      <c r="B78" s="23" t="n"/>
      <c r="C78" s="23" t="n"/>
      <c r="D78" s="23" t="n"/>
      <c r="E78" s="23" t="n"/>
      <c r="F78" s="23" t="n"/>
      <c r="G78" s="24" t="n"/>
      <c r="H78" s="24" t="n"/>
      <c r="I78" s="23" t="n"/>
      <c r="J78" s="24" t="n"/>
      <c r="K78" s="24" t="n"/>
      <c r="L78" s="24" t="n"/>
      <c r="M78" s="23" t="n"/>
      <c r="N78" s="23" t="n"/>
      <c r="O78" s="25" t="n"/>
      <c r="P78" s="23" t="n"/>
      <c r="Q78" s="24" t="n"/>
      <c r="R78" s="26">
        <f>IF(OR(B78="",O78=""),"",IF(OR(P78="Implementada",P78="Verificada",P78="Descartada"),"",O78-$B$3))</f>
        <v/>
      </c>
      <c r="S78" s="27">
        <f>IF(B78="","",IF(OR(P78="Implementada",P78="Verificada",P78="Descartada"),"Cerrada",IF(R78="","Sin fecha",IF(R78&lt;0,"Vencida",IF(R78&lt;=15,"Por vencer","En plazo")))))</f>
        <v/>
      </c>
    </row>
    <row r="79">
      <c r="A79" s="22" t="n"/>
      <c r="B79" s="23" t="n"/>
      <c r="C79" s="23" t="n"/>
      <c r="D79" s="23" t="n"/>
      <c r="E79" s="23" t="n"/>
      <c r="F79" s="23" t="n"/>
      <c r="G79" s="24" t="n"/>
      <c r="H79" s="24" t="n"/>
      <c r="I79" s="23" t="n"/>
      <c r="J79" s="24" t="n"/>
      <c r="K79" s="24" t="n"/>
      <c r="L79" s="24" t="n"/>
      <c r="M79" s="23" t="n"/>
      <c r="N79" s="23" t="n"/>
      <c r="O79" s="25" t="n"/>
      <c r="P79" s="23" t="n"/>
      <c r="Q79" s="24" t="n"/>
      <c r="R79" s="26">
        <f>IF(OR(B79="",O79=""),"",IF(OR(P79="Implementada",P79="Verificada",P79="Descartada"),"",O79-$B$3))</f>
        <v/>
      </c>
      <c r="S79" s="27">
        <f>IF(B79="","",IF(OR(P79="Implementada",P79="Verificada",P79="Descartada"),"Cerrada",IF(R79="","Sin fecha",IF(R79&lt;0,"Vencida",IF(R79&lt;=15,"Por vencer","En plazo")))))</f>
        <v/>
      </c>
    </row>
    <row r="80">
      <c r="A80" s="22" t="n"/>
      <c r="B80" s="23" t="n"/>
      <c r="C80" s="23" t="n"/>
      <c r="D80" s="23" t="n"/>
      <c r="E80" s="23" t="n"/>
      <c r="F80" s="23" t="n"/>
      <c r="G80" s="24" t="n"/>
      <c r="H80" s="24" t="n"/>
      <c r="I80" s="23" t="n"/>
      <c r="J80" s="24" t="n"/>
      <c r="K80" s="24" t="n"/>
      <c r="L80" s="24" t="n"/>
      <c r="M80" s="23" t="n"/>
      <c r="N80" s="23" t="n"/>
      <c r="O80" s="25" t="n"/>
      <c r="P80" s="23" t="n"/>
      <c r="Q80" s="24" t="n"/>
      <c r="R80" s="26">
        <f>IF(OR(B80="",O80=""),"",IF(OR(P80="Implementada",P80="Verificada",P80="Descartada"),"",O80-$B$3))</f>
        <v/>
      </c>
      <c r="S80" s="27">
        <f>IF(B80="","",IF(OR(P80="Implementada",P80="Verificada",P80="Descartada"),"Cerrada",IF(R80="","Sin fecha",IF(R80&lt;0,"Vencida",IF(R80&lt;=15,"Por vencer","En plazo")))))</f>
        <v/>
      </c>
    </row>
    <row r="81">
      <c r="A81" s="22" t="n"/>
      <c r="B81" s="23" t="n"/>
      <c r="C81" s="23" t="n"/>
      <c r="D81" s="23" t="n"/>
      <c r="E81" s="23" t="n"/>
      <c r="F81" s="23" t="n"/>
      <c r="G81" s="24" t="n"/>
      <c r="H81" s="24" t="n"/>
      <c r="I81" s="23" t="n"/>
      <c r="J81" s="24" t="n"/>
      <c r="K81" s="24" t="n"/>
      <c r="L81" s="24" t="n"/>
      <c r="M81" s="23" t="n"/>
      <c r="N81" s="23" t="n"/>
      <c r="O81" s="25" t="n"/>
      <c r="P81" s="23" t="n"/>
      <c r="Q81" s="24" t="n"/>
      <c r="R81" s="26">
        <f>IF(OR(B81="",O81=""),"",IF(OR(P81="Implementada",P81="Verificada",P81="Descartada"),"",O81-$B$3))</f>
        <v/>
      </c>
      <c r="S81" s="27">
        <f>IF(B81="","",IF(OR(P81="Implementada",P81="Verificada",P81="Descartada"),"Cerrada",IF(R81="","Sin fecha",IF(R81&lt;0,"Vencida",IF(R81&lt;=15,"Por vencer","En plazo")))))</f>
        <v/>
      </c>
    </row>
    <row r="82">
      <c r="A82" s="22" t="n"/>
      <c r="B82" s="23" t="n"/>
      <c r="C82" s="23" t="n"/>
      <c r="D82" s="23" t="n"/>
      <c r="E82" s="23" t="n"/>
      <c r="F82" s="23" t="n"/>
      <c r="G82" s="24" t="n"/>
      <c r="H82" s="24" t="n"/>
      <c r="I82" s="23" t="n"/>
      <c r="J82" s="24" t="n"/>
      <c r="K82" s="24" t="n"/>
      <c r="L82" s="24" t="n"/>
      <c r="M82" s="23" t="n"/>
      <c r="N82" s="23" t="n"/>
      <c r="O82" s="25" t="n"/>
      <c r="P82" s="23" t="n"/>
      <c r="Q82" s="24" t="n"/>
      <c r="R82" s="26">
        <f>IF(OR(B82="",O82=""),"",IF(OR(P82="Implementada",P82="Verificada",P82="Descartada"),"",O82-$B$3))</f>
        <v/>
      </c>
      <c r="S82" s="27">
        <f>IF(B82="","",IF(OR(P82="Implementada",P82="Verificada",P82="Descartada"),"Cerrada",IF(R82="","Sin fecha",IF(R82&lt;0,"Vencida",IF(R82&lt;=15,"Por vencer","En plazo")))))</f>
        <v/>
      </c>
    </row>
    <row r="83">
      <c r="A83" s="22" t="n"/>
      <c r="B83" s="23" t="n"/>
      <c r="C83" s="23" t="n"/>
      <c r="D83" s="23" t="n"/>
      <c r="E83" s="23" t="n"/>
      <c r="F83" s="23" t="n"/>
      <c r="G83" s="24" t="n"/>
      <c r="H83" s="24" t="n"/>
      <c r="I83" s="23" t="n"/>
      <c r="J83" s="24" t="n"/>
      <c r="K83" s="24" t="n"/>
      <c r="L83" s="24" t="n"/>
      <c r="M83" s="23" t="n"/>
      <c r="N83" s="23" t="n"/>
      <c r="O83" s="25" t="n"/>
      <c r="P83" s="23" t="n"/>
      <c r="Q83" s="24" t="n"/>
      <c r="R83" s="26">
        <f>IF(OR(B83="",O83=""),"",IF(OR(P83="Implementada",P83="Verificada",P83="Descartada"),"",O83-$B$3))</f>
        <v/>
      </c>
      <c r="S83" s="27">
        <f>IF(B83="","",IF(OR(P83="Implementada",P83="Verificada",P83="Descartada"),"Cerrada",IF(R83="","Sin fecha",IF(R83&lt;0,"Vencida",IF(R83&lt;=15,"Por vencer","En plazo")))))</f>
        <v/>
      </c>
    </row>
    <row r="84">
      <c r="A84" s="22" t="n"/>
      <c r="B84" s="23" t="n"/>
      <c r="C84" s="23" t="n"/>
      <c r="D84" s="23" t="n"/>
      <c r="E84" s="23" t="n"/>
      <c r="F84" s="23" t="n"/>
      <c r="G84" s="24" t="n"/>
      <c r="H84" s="24" t="n"/>
      <c r="I84" s="23" t="n"/>
      <c r="J84" s="24" t="n"/>
      <c r="K84" s="24" t="n"/>
      <c r="L84" s="24" t="n"/>
      <c r="M84" s="23" t="n"/>
      <c r="N84" s="23" t="n"/>
      <c r="O84" s="25" t="n"/>
      <c r="P84" s="23" t="n"/>
      <c r="Q84" s="24" t="n"/>
      <c r="R84" s="26">
        <f>IF(OR(B84="",O84=""),"",IF(OR(P84="Implementada",P84="Verificada",P84="Descartada"),"",O84-$B$3))</f>
        <v/>
      </c>
      <c r="S84" s="27">
        <f>IF(B84="","",IF(OR(P84="Implementada",P84="Verificada",P84="Descartada"),"Cerrada",IF(R84="","Sin fecha",IF(R84&lt;0,"Vencida",IF(R84&lt;=15,"Por vencer","En plazo")))))</f>
        <v/>
      </c>
    </row>
    <row r="85">
      <c r="A85" s="22" t="n"/>
      <c r="B85" s="23" t="n"/>
      <c r="C85" s="23" t="n"/>
      <c r="D85" s="23" t="n"/>
      <c r="E85" s="23" t="n"/>
      <c r="F85" s="23" t="n"/>
      <c r="G85" s="24" t="n"/>
      <c r="H85" s="24" t="n"/>
      <c r="I85" s="23" t="n"/>
      <c r="J85" s="24" t="n"/>
      <c r="K85" s="24" t="n"/>
      <c r="L85" s="24" t="n"/>
      <c r="M85" s="23" t="n"/>
      <c r="N85" s="23" t="n"/>
      <c r="O85" s="25" t="n"/>
      <c r="P85" s="23" t="n"/>
      <c r="Q85" s="24" t="n"/>
      <c r="R85" s="26">
        <f>IF(OR(B85="",O85=""),"",IF(OR(P85="Implementada",P85="Verificada",P85="Descartada"),"",O85-$B$3))</f>
        <v/>
      </c>
      <c r="S85" s="27">
        <f>IF(B85="","",IF(OR(P85="Implementada",P85="Verificada",P85="Descartada"),"Cerrada",IF(R85="","Sin fecha",IF(R85&lt;0,"Vencida",IF(R85&lt;=15,"Por vencer","En plazo")))))</f>
        <v/>
      </c>
    </row>
    <row r="86">
      <c r="A86" s="22" t="n"/>
      <c r="B86" s="23" t="n"/>
      <c r="C86" s="23" t="n"/>
      <c r="D86" s="23" t="n"/>
      <c r="E86" s="23" t="n"/>
      <c r="F86" s="23" t="n"/>
      <c r="G86" s="24" t="n"/>
      <c r="H86" s="24" t="n"/>
      <c r="I86" s="23" t="n"/>
      <c r="J86" s="24" t="n"/>
      <c r="K86" s="24" t="n"/>
      <c r="L86" s="24" t="n"/>
      <c r="M86" s="23" t="n"/>
      <c r="N86" s="23" t="n"/>
      <c r="O86" s="25" t="n"/>
      <c r="P86" s="23" t="n"/>
      <c r="Q86" s="24" t="n"/>
      <c r="R86" s="26">
        <f>IF(OR(B86="",O86=""),"",IF(OR(P86="Implementada",P86="Verificada",P86="Descartada"),"",O86-$B$3))</f>
        <v/>
      </c>
      <c r="S86" s="27">
        <f>IF(B86="","",IF(OR(P86="Implementada",P86="Verificada",P86="Descartada"),"Cerrada",IF(R86="","Sin fecha",IF(R86&lt;0,"Vencida",IF(R86&lt;=15,"Por vencer","En plazo")))))</f>
        <v/>
      </c>
    </row>
    <row r="87">
      <c r="A87" s="22" t="n"/>
      <c r="B87" s="23" t="n"/>
      <c r="C87" s="23" t="n"/>
      <c r="D87" s="23" t="n"/>
      <c r="E87" s="23" t="n"/>
      <c r="F87" s="23" t="n"/>
      <c r="G87" s="24" t="n"/>
      <c r="H87" s="24" t="n"/>
      <c r="I87" s="23" t="n"/>
      <c r="J87" s="24" t="n"/>
      <c r="K87" s="24" t="n"/>
      <c r="L87" s="24" t="n"/>
      <c r="M87" s="23" t="n"/>
      <c r="N87" s="23" t="n"/>
      <c r="O87" s="25" t="n"/>
      <c r="P87" s="23" t="n"/>
      <c r="Q87" s="24" t="n"/>
      <c r="R87" s="26">
        <f>IF(OR(B87="",O87=""),"",IF(OR(P87="Implementada",P87="Verificada",P87="Descartada"),"",O87-$B$3))</f>
        <v/>
      </c>
      <c r="S87" s="27">
        <f>IF(B87="","",IF(OR(P87="Implementada",P87="Verificada",P87="Descartada"),"Cerrada",IF(R87="","Sin fecha",IF(R87&lt;0,"Vencida",IF(R87&lt;=15,"Por vencer","En plazo")))))</f>
        <v/>
      </c>
    </row>
    <row r="88">
      <c r="A88" s="22" t="n"/>
      <c r="B88" s="23" t="n"/>
      <c r="C88" s="23" t="n"/>
      <c r="D88" s="23" t="n"/>
      <c r="E88" s="23" t="n"/>
      <c r="F88" s="23" t="n"/>
      <c r="G88" s="24" t="n"/>
      <c r="H88" s="24" t="n"/>
      <c r="I88" s="23" t="n"/>
      <c r="J88" s="24" t="n"/>
      <c r="K88" s="24" t="n"/>
      <c r="L88" s="24" t="n"/>
      <c r="M88" s="23" t="n"/>
      <c r="N88" s="23" t="n"/>
      <c r="O88" s="25" t="n"/>
      <c r="P88" s="23" t="n"/>
      <c r="Q88" s="24" t="n"/>
      <c r="R88" s="26">
        <f>IF(OR(B88="",O88=""),"",IF(OR(P88="Implementada",P88="Verificada",P88="Descartada"),"",O88-$B$3))</f>
        <v/>
      </c>
      <c r="S88" s="27">
        <f>IF(B88="","",IF(OR(P88="Implementada",P88="Verificada",P88="Descartada"),"Cerrada",IF(R88="","Sin fecha",IF(R88&lt;0,"Vencida",IF(R88&lt;=15,"Por vencer","En plazo")))))</f>
        <v/>
      </c>
    </row>
    <row r="89">
      <c r="A89" s="22" t="n"/>
      <c r="B89" s="23" t="n"/>
      <c r="C89" s="23" t="n"/>
      <c r="D89" s="23" t="n"/>
      <c r="E89" s="23" t="n"/>
      <c r="F89" s="23" t="n"/>
      <c r="G89" s="24" t="n"/>
      <c r="H89" s="24" t="n"/>
      <c r="I89" s="23" t="n"/>
      <c r="J89" s="24" t="n"/>
      <c r="K89" s="24" t="n"/>
      <c r="L89" s="24" t="n"/>
      <c r="M89" s="23" t="n"/>
      <c r="N89" s="23" t="n"/>
      <c r="O89" s="25" t="n"/>
      <c r="P89" s="23" t="n"/>
      <c r="Q89" s="24" t="n"/>
      <c r="R89" s="26">
        <f>IF(OR(B89="",O89=""),"",IF(OR(P89="Implementada",P89="Verificada",P89="Descartada"),"",O89-$B$3))</f>
        <v/>
      </c>
      <c r="S89" s="27">
        <f>IF(B89="","",IF(OR(P89="Implementada",P89="Verificada",P89="Descartada"),"Cerrada",IF(R89="","Sin fecha",IF(R89&lt;0,"Vencida",IF(R89&lt;=15,"Por vencer","En plazo")))))</f>
        <v/>
      </c>
    </row>
    <row r="90">
      <c r="A90" s="22" t="n"/>
      <c r="B90" s="23" t="n"/>
      <c r="C90" s="23" t="n"/>
      <c r="D90" s="23" t="n"/>
      <c r="E90" s="23" t="n"/>
      <c r="F90" s="23" t="n"/>
      <c r="G90" s="24" t="n"/>
      <c r="H90" s="24" t="n"/>
      <c r="I90" s="23" t="n"/>
      <c r="J90" s="24" t="n"/>
      <c r="K90" s="24" t="n"/>
      <c r="L90" s="24" t="n"/>
      <c r="M90" s="23" t="n"/>
      <c r="N90" s="23" t="n"/>
      <c r="O90" s="25" t="n"/>
      <c r="P90" s="23" t="n"/>
      <c r="Q90" s="24" t="n"/>
      <c r="R90" s="26">
        <f>IF(OR(B90="",O90=""),"",IF(OR(P90="Implementada",P90="Verificada",P90="Descartada"),"",O90-$B$3))</f>
        <v/>
      </c>
      <c r="S90" s="27">
        <f>IF(B90="","",IF(OR(P90="Implementada",P90="Verificada",P90="Descartada"),"Cerrada",IF(R90="","Sin fecha",IF(R90&lt;0,"Vencida",IF(R90&lt;=15,"Por vencer","En plazo")))))</f>
        <v/>
      </c>
    </row>
    <row r="91">
      <c r="A91" s="22" t="n"/>
      <c r="B91" s="23" t="n"/>
      <c r="C91" s="23" t="n"/>
      <c r="D91" s="23" t="n"/>
      <c r="E91" s="23" t="n"/>
      <c r="F91" s="23" t="n"/>
      <c r="G91" s="24" t="n"/>
      <c r="H91" s="24" t="n"/>
      <c r="I91" s="23" t="n"/>
      <c r="J91" s="24" t="n"/>
      <c r="K91" s="24" t="n"/>
      <c r="L91" s="24" t="n"/>
      <c r="M91" s="23" t="n"/>
      <c r="N91" s="23" t="n"/>
      <c r="O91" s="25" t="n"/>
      <c r="P91" s="23" t="n"/>
      <c r="Q91" s="24" t="n"/>
      <c r="R91" s="26">
        <f>IF(OR(B91="",O91=""),"",IF(OR(P91="Implementada",P91="Verificada",P91="Descartada"),"",O91-$B$3))</f>
        <v/>
      </c>
      <c r="S91" s="27">
        <f>IF(B91="","",IF(OR(P91="Implementada",P91="Verificada",P91="Descartada"),"Cerrada",IF(R91="","Sin fecha",IF(R91&lt;0,"Vencida",IF(R91&lt;=15,"Por vencer","En plazo")))))</f>
        <v/>
      </c>
    </row>
    <row r="92">
      <c r="A92" s="22" t="n"/>
      <c r="B92" s="23" t="n"/>
      <c r="C92" s="23" t="n"/>
      <c r="D92" s="23" t="n"/>
      <c r="E92" s="23" t="n"/>
      <c r="F92" s="23" t="n"/>
      <c r="G92" s="24" t="n"/>
      <c r="H92" s="24" t="n"/>
      <c r="I92" s="23" t="n"/>
      <c r="J92" s="24" t="n"/>
      <c r="K92" s="24" t="n"/>
      <c r="L92" s="24" t="n"/>
      <c r="M92" s="23" t="n"/>
      <c r="N92" s="23" t="n"/>
      <c r="O92" s="25" t="n"/>
      <c r="P92" s="23" t="n"/>
      <c r="Q92" s="24" t="n"/>
      <c r="R92" s="26">
        <f>IF(OR(B92="",O92=""),"",IF(OR(P92="Implementada",P92="Verificada",P92="Descartada"),"",O92-$B$3))</f>
        <v/>
      </c>
      <c r="S92" s="27">
        <f>IF(B92="","",IF(OR(P92="Implementada",P92="Verificada",P92="Descartada"),"Cerrada",IF(R92="","Sin fecha",IF(R92&lt;0,"Vencida",IF(R92&lt;=15,"Por vencer","En plazo")))))</f>
        <v/>
      </c>
    </row>
    <row r="93">
      <c r="A93" s="22" t="n"/>
      <c r="B93" s="23" t="n"/>
      <c r="C93" s="23" t="n"/>
      <c r="D93" s="23" t="n"/>
      <c r="E93" s="23" t="n"/>
      <c r="F93" s="23" t="n"/>
      <c r="G93" s="24" t="n"/>
      <c r="H93" s="24" t="n"/>
      <c r="I93" s="23" t="n"/>
      <c r="J93" s="24" t="n"/>
      <c r="K93" s="24" t="n"/>
      <c r="L93" s="24" t="n"/>
      <c r="M93" s="23" t="n"/>
      <c r="N93" s="23" t="n"/>
      <c r="O93" s="25" t="n"/>
      <c r="P93" s="23" t="n"/>
      <c r="Q93" s="24" t="n"/>
      <c r="R93" s="26">
        <f>IF(OR(B93="",O93=""),"",IF(OR(P93="Implementada",P93="Verificada",P93="Descartada"),"",O93-$B$3))</f>
        <v/>
      </c>
      <c r="S93" s="27">
        <f>IF(B93="","",IF(OR(P93="Implementada",P93="Verificada",P93="Descartada"),"Cerrada",IF(R93="","Sin fecha",IF(R93&lt;0,"Vencida",IF(R93&lt;=15,"Por vencer","En plazo")))))</f>
        <v/>
      </c>
    </row>
    <row r="94">
      <c r="A94" s="22" t="n"/>
      <c r="B94" s="23" t="n"/>
      <c r="C94" s="23" t="n"/>
      <c r="D94" s="23" t="n"/>
      <c r="E94" s="23" t="n"/>
      <c r="F94" s="23" t="n"/>
      <c r="G94" s="24" t="n"/>
      <c r="H94" s="24" t="n"/>
      <c r="I94" s="23" t="n"/>
      <c r="J94" s="24" t="n"/>
      <c r="K94" s="24" t="n"/>
      <c r="L94" s="24" t="n"/>
      <c r="M94" s="23" t="n"/>
      <c r="N94" s="23" t="n"/>
      <c r="O94" s="25" t="n"/>
      <c r="P94" s="23" t="n"/>
      <c r="Q94" s="24" t="n"/>
      <c r="R94" s="26">
        <f>IF(OR(B94="",O94=""),"",IF(OR(P94="Implementada",P94="Verificada",P94="Descartada"),"",O94-$B$3))</f>
        <v/>
      </c>
      <c r="S94" s="27">
        <f>IF(B94="","",IF(OR(P94="Implementada",P94="Verificada",P94="Descartada"),"Cerrada",IF(R94="","Sin fecha",IF(R94&lt;0,"Vencida",IF(R94&lt;=15,"Por vencer","En plazo")))))</f>
        <v/>
      </c>
    </row>
    <row r="95">
      <c r="A95" s="22" t="n"/>
      <c r="B95" s="23" t="n"/>
      <c r="C95" s="23" t="n"/>
      <c r="D95" s="23" t="n"/>
      <c r="E95" s="23" t="n"/>
      <c r="F95" s="23" t="n"/>
      <c r="G95" s="24" t="n"/>
      <c r="H95" s="24" t="n"/>
      <c r="I95" s="23" t="n"/>
      <c r="J95" s="24" t="n"/>
      <c r="K95" s="24" t="n"/>
      <c r="L95" s="24" t="n"/>
      <c r="M95" s="23" t="n"/>
      <c r="N95" s="23" t="n"/>
      <c r="O95" s="25" t="n"/>
      <c r="P95" s="23" t="n"/>
      <c r="Q95" s="24" t="n"/>
      <c r="R95" s="26">
        <f>IF(OR(B95="",O95=""),"",IF(OR(P95="Implementada",P95="Verificada",P95="Descartada"),"",O95-$B$3))</f>
        <v/>
      </c>
      <c r="S95" s="27">
        <f>IF(B95="","",IF(OR(P95="Implementada",P95="Verificada",P95="Descartada"),"Cerrada",IF(R95="","Sin fecha",IF(R95&lt;0,"Vencida",IF(R95&lt;=15,"Por vencer","En plazo")))))</f>
        <v/>
      </c>
    </row>
    <row r="96">
      <c r="A96" s="22" t="n"/>
      <c r="B96" s="23" t="n"/>
      <c r="C96" s="23" t="n"/>
      <c r="D96" s="23" t="n"/>
      <c r="E96" s="23" t="n"/>
      <c r="F96" s="23" t="n"/>
      <c r="G96" s="24" t="n"/>
      <c r="H96" s="24" t="n"/>
      <c r="I96" s="23" t="n"/>
      <c r="J96" s="24" t="n"/>
      <c r="K96" s="24" t="n"/>
      <c r="L96" s="24" t="n"/>
      <c r="M96" s="23" t="n"/>
      <c r="N96" s="23" t="n"/>
      <c r="O96" s="25" t="n"/>
      <c r="P96" s="23" t="n"/>
      <c r="Q96" s="24" t="n"/>
      <c r="R96" s="26">
        <f>IF(OR(B96="",O96=""),"",IF(OR(P96="Implementada",P96="Verificada",P96="Descartada"),"",O96-$B$3))</f>
        <v/>
      </c>
      <c r="S96" s="27">
        <f>IF(B96="","",IF(OR(P96="Implementada",P96="Verificada",P96="Descartada"),"Cerrada",IF(R96="","Sin fecha",IF(R96&lt;0,"Vencida",IF(R96&lt;=15,"Por vencer","En plazo")))))</f>
        <v/>
      </c>
    </row>
    <row r="97">
      <c r="A97" s="22" t="n"/>
      <c r="B97" s="23" t="n"/>
      <c r="C97" s="23" t="n"/>
      <c r="D97" s="23" t="n"/>
      <c r="E97" s="23" t="n"/>
      <c r="F97" s="23" t="n"/>
      <c r="G97" s="24" t="n"/>
      <c r="H97" s="24" t="n"/>
      <c r="I97" s="23" t="n"/>
      <c r="J97" s="24" t="n"/>
      <c r="K97" s="24" t="n"/>
      <c r="L97" s="24" t="n"/>
      <c r="M97" s="23" t="n"/>
      <c r="N97" s="23" t="n"/>
      <c r="O97" s="25" t="n"/>
      <c r="P97" s="23" t="n"/>
      <c r="Q97" s="24" t="n"/>
      <c r="R97" s="26">
        <f>IF(OR(B97="",O97=""),"",IF(OR(P97="Implementada",P97="Verificada",P97="Descartada"),"",O97-$B$3))</f>
        <v/>
      </c>
      <c r="S97" s="27">
        <f>IF(B97="","",IF(OR(P97="Implementada",P97="Verificada",P97="Descartada"),"Cerrada",IF(R97="","Sin fecha",IF(R97&lt;0,"Vencida",IF(R97&lt;=15,"Por vencer","En plazo")))))</f>
        <v/>
      </c>
    </row>
    <row r="98">
      <c r="A98" s="22" t="n"/>
      <c r="B98" s="23" t="n"/>
      <c r="C98" s="23" t="n"/>
      <c r="D98" s="23" t="n"/>
      <c r="E98" s="23" t="n"/>
      <c r="F98" s="23" t="n"/>
      <c r="G98" s="24" t="n"/>
      <c r="H98" s="24" t="n"/>
      <c r="I98" s="23" t="n"/>
      <c r="J98" s="24" t="n"/>
      <c r="K98" s="24" t="n"/>
      <c r="L98" s="24" t="n"/>
      <c r="M98" s="23" t="n"/>
      <c r="N98" s="23" t="n"/>
      <c r="O98" s="25" t="n"/>
      <c r="P98" s="23" t="n"/>
      <c r="Q98" s="24" t="n"/>
      <c r="R98" s="26">
        <f>IF(OR(B98="",O98=""),"",IF(OR(P98="Implementada",P98="Verificada",P98="Descartada"),"",O98-$B$3))</f>
        <v/>
      </c>
      <c r="S98" s="27">
        <f>IF(B98="","",IF(OR(P98="Implementada",P98="Verificada",P98="Descartada"),"Cerrada",IF(R98="","Sin fecha",IF(R98&lt;0,"Vencida",IF(R98&lt;=15,"Por vencer","En plazo")))))</f>
        <v/>
      </c>
    </row>
    <row r="99">
      <c r="A99" s="22" t="n"/>
      <c r="B99" s="23" t="n"/>
      <c r="C99" s="23" t="n"/>
      <c r="D99" s="23" t="n"/>
      <c r="E99" s="23" t="n"/>
      <c r="F99" s="23" t="n"/>
      <c r="G99" s="24" t="n"/>
      <c r="H99" s="24" t="n"/>
      <c r="I99" s="23" t="n"/>
      <c r="J99" s="24" t="n"/>
      <c r="K99" s="24" t="n"/>
      <c r="L99" s="24" t="n"/>
      <c r="M99" s="23" t="n"/>
      <c r="N99" s="23" t="n"/>
      <c r="O99" s="25" t="n"/>
      <c r="P99" s="23" t="n"/>
      <c r="Q99" s="24" t="n"/>
      <c r="R99" s="26">
        <f>IF(OR(B99="",O99=""),"",IF(OR(P99="Implementada",P99="Verificada",P99="Descartada"),"",O99-$B$3))</f>
        <v/>
      </c>
      <c r="S99" s="27">
        <f>IF(B99="","",IF(OR(P99="Implementada",P99="Verificada",P99="Descartada"),"Cerrada",IF(R99="","Sin fecha",IF(R99&lt;0,"Vencida",IF(R99&lt;=15,"Por vencer","En plazo")))))</f>
        <v/>
      </c>
    </row>
    <row r="100">
      <c r="A100" s="22" t="n"/>
      <c r="B100" s="23" t="n"/>
      <c r="C100" s="23" t="n"/>
      <c r="D100" s="23" t="n"/>
      <c r="E100" s="23" t="n"/>
      <c r="F100" s="23" t="n"/>
      <c r="G100" s="24" t="n"/>
      <c r="H100" s="24" t="n"/>
      <c r="I100" s="23" t="n"/>
      <c r="J100" s="24" t="n"/>
      <c r="K100" s="24" t="n"/>
      <c r="L100" s="24" t="n"/>
      <c r="M100" s="23" t="n"/>
      <c r="N100" s="23" t="n"/>
      <c r="O100" s="25" t="n"/>
      <c r="P100" s="23" t="n"/>
      <c r="Q100" s="24" t="n"/>
      <c r="R100" s="26">
        <f>IF(OR(B100="",O100=""),"",IF(OR(P100="Implementada",P100="Verificada",P100="Descartada"),"",O100-$B$3))</f>
        <v/>
      </c>
      <c r="S100" s="27">
        <f>IF(B100="","",IF(OR(P100="Implementada",P100="Verificada",P100="Descartada"),"Cerrada",IF(R100="","Sin fecha",IF(R100&lt;0,"Vencida",IF(R100&lt;=15,"Por vencer","En plazo")))))</f>
        <v/>
      </c>
    </row>
    <row r="101">
      <c r="A101" s="22" t="n"/>
      <c r="B101" s="23" t="n"/>
      <c r="C101" s="23" t="n"/>
      <c r="D101" s="23" t="n"/>
      <c r="E101" s="23" t="n"/>
      <c r="F101" s="23" t="n"/>
      <c r="G101" s="24" t="n"/>
      <c r="H101" s="24" t="n"/>
      <c r="I101" s="23" t="n"/>
      <c r="J101" s="24" t="n"/>
      <c r="K101" s="24" t="n"/>
      <c r="L101" s="24" t="n"/>
      <c r="M101" s="23" t="n"/>
      <c r="N101" s="23" t="n"/>
      <c r="O101" s="25" t="n"/>
      <c r="P101" s="23" t="n"/>
      <c r="Q101" s="24" t="n"/>
      <c r="R101" s="26">
        <f>IF(OR(B101="",O101=""),"",IF(OR(P101="Implementada",P101="Verificada",P101="Descartada"),"",O101-$B$3))</f>
        <v/>
      </c>
      <c r="S101" s="27">
        <f>IF(B101="","",IF(OR(P101="Implementada",P101="Verificada",P101="Descartada"),"Cerrada",IF(R101="","Sin fecha",IF(R101&lt;0,"Vencida",IF(R101&lt;=15,"Por vencer","En plazo")))))</f>
        <v/>
      </c>
    </row>
    <row r="102">
      <c r="A102" s="22" t="n"/>
      <c r="B102" s="23" t="n"/>
      <c r="C102" s="23" t="n"/>
      <c r="D102" s="23" t="n"/>
      <c r="E102" s="23" t="n"/>
      <c r="F102" s="23" t="n"/>
      <c r="G102" s="24" t="n"/>
      <c r="H102" s="24" t="n"/>
      <c r="I102" s="23" t="n"/>
      <c r="J102" s="24" t="n"/>
      <c r="K102" s="24" t="n"/>
      <c r="L102" s="24" t="n"/>
      <c r="M102" s="23" t="n"/>
      <c r="N102" s="23" t="n"/>
      <c r="O102" s="25" t="n"/>
      <c r="P102" s="23" t="n"/>
      <c r="Q102" s="24" t="n"/>
      <c r="R102" s="26">
        <f>IF(OR(B102="",O102=""),"",IF(OR(P102="Implementada",P102="Verificada",P102="Descartada"),"",O102-$B$3))</f>
        <v/>
      </c>
      <c r="S102" s="27">
        <f>IF(B102="","",IF(OR(P102="Implementada",P102="Verificada",P102="Descartada"),"Cerrada",IF(R102="","Sin fecha",IF(R102&lt;0,"Vencida",IF(R102&lt;=15,"Por vencer","En plazo")))))</f>
        <v/>
      </c>
    </row>
    <row r="103">
      <c r="A103" s="22" t="n"/>
      <c r="B103" s="23" t="n"/>
      <c r="C103" s="23" t="n"/>
      <c r="D103" s="23" t="n"/>
      <c r="E103" s="23" t="n"/>
      <c r="F103" s="23" t="n"/>
      <c r="G103" s="24" t="n"/>
      <c r="H103" s="24" t="n"/>
      <c r="I103" s="23" t="n"/>
      <c r="J103" s="24" t="n"/>
      <c r="K103" s="24" t="n"/>
      <c r="L103" s="24" t="n"/>
      <c r="M103" s="23" t="n"/>
      <c r="N103" s="23" t="n"/>
      <c r="O103" s="25" t="n"/>
      <c r="P103" s="23" t="n"/>
      <c r="Q103" s="24" t="n"/>
      <c r="R103" s="26">
        <f>IF(OR(B103="",O103=""),"",IF(OR(P103="Implementada",P103="Verificada",P103="Descartada"),"",O103-$B$3))</f>
        <v/>
      </c>
      <c r="S103" s="27">
        <f>IF(B103="","",IF(OR(P103="Implementada",P103="Verificada",P103="Descartada"),"Cerrada",IF(R103="","Sin fecha",IF(R103&lt;0,"Vencida",IF(R103&lt;=15,"Por vencer","En plazo")))))</f>
        <v/>
      </c>
    </row>
    <row r="104">
      <c r="A104" s="22" t="n"/>
      <c r="B104" s="23" t="n"/>
      <c r="C104" s="23" t="n"/>
      <c r="D104" s="23" t="n"/>
      <c r="E104" s="23" t="n"/>
      <c r="F104" s="23" t="n"/>
      <c r="G104" s="24" t="n"/>
      <c r="H104" s="24" t="n"/>
      <c r="I104" s="23" t="n"/>
      <c r="J104" s="24" t="n"/>
      <c r="K104" s="24" t="n"/>
      <c r="L104" s="24" t="n"/>
      <c r="M104" s="23" t="n"/>
      <c r="N104" s="23" t="n"/>
      <c r="O104" s="25" t="n"/>
      <c r="P104" s="23" t="n"/>
      <c r="Q104" s="24" t="n"/>
      <c r="R104" s="26">
        <f>IF(OR(B104="",O104=""),"",IF(OR(P104="Implementada",P104="Verificada",P104="Descartada"),"",O104-$B$3))</f>
        <v/>
      </c>
      <c r="S104" s="27">
        <f>IF(B104="","",IF(OR(P104="Implementada",P104="Verificada",P104="Descartada"),"Cerrada",IF(R104="","Sin fecha",IF(R104&lt;0,"Vencida",IF(R104&lt;=15,"Por vencer","En plazo")))))</f>
        <v/>
      </c>
    </row>
    <row r="105">
      <c r="A105" s="22" t="n"/>
      <c r="B105" s="23" t="n"/>
      <c r="C105" s="23" t="n"/>
      <c r="D105" s="23" t="n"/>
      <c r="E105" s="23" t="n"/>
      <c r="F105" s="23" t="n"/>
      <c r="G105" s="24" t="n"/>
      <c r="H105" s="24" t="n"/>
      <c r="I105" s="23" t="n"/>
      <c r="J105" s="24" t="n"/>
      <c r="K105" s="24" t="n"/>
      <c r="L105" s="24" t="n"/>
      <c r="M105" s="23" t="n"/>
      <c r="N105" s="23" t="n"/>
      <c r="O105" s="25" t="n"/>
      <c r="P105" s="23" t="n"/>
      <c r="Q105" s="24" t="n"/>
      <c r="R105" s="26">
        <f>IF(OR(B105="",O105=""),"",IF(OR(P105="Implementada",P105="Verificada",P105="Descartada"),"",O105-$B$3))</f>
        <v/>
      </c>
      <c r="S105" s="27">
        <f>IF(B105="","",IF(OR(P105="Implementada",P105="Verificada",P105="Descartada"),"Cerrada",IF(R105="","Sin fecha",IF(R105&lt;0,"Vencida",IF(R105&lt;=15,"Por vencer","En plazo")))))</f>
        <v/>
      </c>
    </row>
    <row r="106">
      <c r="A106" s="22" t="n"/>
      <c r="B106" s="23" t="n"/>
      <c r="C106" s="23" t="n"/>
      <c r="D106" s="23" t="n"/>
      <c r="E106" s="23" t="n"/>
      <c r="F106" s="23" t="n"/>
      <c r="G106" s="24" t="n"/>
      <c r="H106" s="24" t="n"/>
      <c r="I106" s="23" t="n"/>
      <c r="J106" s="24" t="n"/>
      <c r="K106" s="24" t="n"/>
      <c r="L106" s="24" t="n"/>
      <c r="M106" s="23" t="n"/>
      <c r="N106" s="23" t="n"/>
      <c r="O106" s="25" t="n"/>
      <c r="P106" s="23" t="n"/>
      <c r="Q106" s="24" t="n"/>
      <c r="R106" s="26">
        <f>IF(OR(B106="",O106=""),"",IF(OR(P106="Implementada",P106="Verificada",P106="Descartada"),"",O106-$B$3))</f>
        <v/>
      </c>
      <c r="S106" s="27">
        <f>IF(B106="","",IF(OR(P106="Implementada",P106="Verificada",P106="Descartada"),"Cerrada",IF(R106="","Sin fecha",IF(R106&lt;0,"Vencida",IF(R106&lt;=15,"Por vencer","En plazo")))))</f>
        <v/>
      </c>
    </row>
    <row r="107">
      <c r="A107" s="22" t="n"/>
      <c r="B107" s="23" t="n"/>
      <c r="C107" s="23" t="n"/>
      <c r="D107" s="23" t="n"/>
      <c r="E107" s="23" t="n"/>
      <c r="F107" s="23" t="n"/>
      <c r="G107" s="24" t="n"/>
      <c r="H107" s="24" t="n"/>
      <c r="I107" s="23" t="n"/>
      <c r="J107" s="24" t="n"/>
      <c r="K107" s="24" t="n"/>
      <c r="L107" s="24" t="n"/>
      <c r="M107" s="23" t="n"/>
      <c r="N107" s="23" t="n"/>
      <c r="O107" s="25" t="n"/>
      <c r="P107" s="23" t="n"/>
      <c r="Q107" s="24" t="n"/>
      <c r="R107" s="26">
        <f>IF(OR(B107="",O107=""),"",IF(OR(P107="Implementada",P107="Verificada",P107="Descartada"),"",O107-$B$3))</f>
        <v/>
      </c>
      <c r="S107" s="27">
        <f>IF(B107="","",IF(OR(P107="Implementada",P107="Verificada",P107="Descartada"),"Cerrada",IF(R107="","Sin fecha",IF(R107&lt;0,"Vencida",IF(R107&lt;=15,"Por vencer","En plazo")))))</f>
        <v/>
      </c>
    </row>
    <row r="108">
      <c r="A108" s="22" t="n"/>
      <c r="B108" s="23" t="n"/>
      <c r="C108" s="23" t="n"/>
      <c r="D108" s="23" t="n"/>
      <c r="E108" s="23" t="n"/>
      <c r="F108" s="23" t="n"/>
      <c r="G108" s="24" t="n"/>
      <c r="H108" s="24" t="n"/>
      <c r="I108" s="23" t="n"/>
      <c r="J108" s="24" t="n"/>
      <c r="K108" s="24" t="n"/>
      <c r="L108" s="24" t="n"/>
      <c r="M108" s="23" t="n"/>
      <c r="N108" s="23" t="n"/>
      <c r="O108" s="25" t="n"/>
      <c r="P108" s="23" t="n"/>
      <c r="Q108" s="24" t="n"/>
      <c r="R108" s="26">
        <f>IF(OR(B108="",O108=""),"",IF(OR(P108="Implementada",P108="Verificada",P108="Descartada"),"",O108-$B$3))</f>
        <v/>
      </c>
      <c r="S108" s="27">
        <f>IF(B108="","",IF(OR(P108="Implementada",P108="Verificada",P108="Descartada"),"Cerrada",IF(R108="","Sin fecha",IF(R108&lt;0,"Vencida",IF(R108&lt;=15,"Por vencer","En plazo")))))</f>
        <v/>
      </c>
    </row>
    <row r="109">
      <c r="A109" s="22" t="n"/>
      <c r="B109" s="23" t="n"/>
      <c r="C109" s="23" t="n"/>
      <c r="D109" s="23" t="n"/>
      <c r="E109" s="23" t="n"/>
      <c r="F109" s="23" t="n"/>
      <c r="G109" s="24" t="n"/>
      <c r="H109" s="24" t="n"/>
      <c r="I109" s="23" t="n"/>
      <c r="J109" s="24" t="n"/>
      <c r="K109" s="24" t="n"/>
      <c r="L109" s="24" t="n"/>
      <c r="M109" s="23" t="n"/>
      <c r="N109" s="23" t="n"/>
      <c r="O109" s="25" t="n"/>
      <c r="P109" s="23" t="n"/>
      <c r="Q109" s="24" t="n"/>
      <c r="R109" s="26">
        <f>IF(OR(B109="",O109=""),"",IF(OR(P109="Implementada",P109="Verificada",P109="Descartada"),"",O109-$B$3))</f>
        <v/>
      </c>
      <c r="S109" s="27">
        <f>IF(B109="","",IF(OR(P109="Implementada",P109="Verificada",P109="Descartada"),"Cerrada",IF(R109="","Sin fecha",IF(R109&lt;0,"Vencida",IF(R109&lt;=15,"Por vencer","En plazo")))))</f>
        <v/>
      </c>
    </row>
    <row r="110">
      <c r="A110" s="22" t="n"/>
      <c r="B110" s="23" t="n"/>
      <c r="C110" s="23" t="n"/>
      <c r="D110" s="23" t="n"/>
      <c r="E110" s="23" t="n"/>
      <c r="F110" s="23" t="n"/>
      <c r="G110" s="24" t="n"/>
      <c r="H110" s="24" t="n"/>
      <c r="I110" s="23" t="n"/>
      <c r="J110" s="24" t="n"/>
      <c r="K110" s="24" t="n"/>
      <c r="L110" s="24" t="n"/>
      <c r="M110" s="23" t="n"/>
      <c r="N110" s="23" t="n"/>
      <c r="O110" s="25" t="n"/>
      <c r="P110" s="23" t="n"/>
      <c r="Q110" s="24" t="n"/>
      <c r="R110" s="26">
        <f>IF(OR(B110="",O110=""),"",IF(OR(P110="Implementada",P110="Verificada",P110="Descartada"),"",O110-$B$3))</f>
        <v/>
      </c>
      <c r="S110" s="27">
        <f>IF(B110="","",IF(OR(P110="Implementada",P110="Verificada",P110="Descartada"),"Cerrada",IF(R110="","Sin fecha",IF(R110&lt;0,"Vencida",IF(R110&lt;=15,"Por vencer","En plazo")))))</f>
        <v/>
      </c>
    </row>
    <row r="111">
      <c r="A111" s="22" t="n"/>
      <c r="B111" s="23" t="n"/>
      <c r="C111" s="23" t="n"/>
      <c r="D111" s="23" t="n"/>
      <c r="E111" s="23" t="n"/>
      <c r="F111" s="23" t="n"/>
      <c r="G111" s="24" t="n"/>
      <c r="H111" s="24" t="n"/>
      <c r="I111" s="23" t="n"/>
      <c r="J111" s="24" t="n"/>
      <c r="K111" s="24" t="n"/>
      <c r="L111" s="24" t="n"/>
      <c r="M111" s="23" t="n"/>
      <c r="N111" s="23" t="n"/>
      <c r="O111" s="25" t="n"/>
      <c r="P111" s="23" t="n"/>
      <c r="Q111" s="24" t="n"/>
      <c r="R111" s="26">
        <f>IF(OR(B111="",O111=""),"",IF(OR(P111="Implementada",P111="Verificada",P111="Descartada"),"",O111-$B$3))</f>
        <v/>
      </c>
      <c r="S111" s="27">
        <f>IF(B111="","",IF(OR(P111="Implementada",P111="Verificada",P111="Descartada"),"Cerrada",IF(R111="","Sin fecha",IF(R111&lt;0,"Vencida",IF(R111&lt;=15,"Por vencer","En plazo")))))</f>
        <v/>
      </c>
    </row>
    <row r="112">
      <c r="A112" s="22" t="n"/>
      <c r="B112" s="23" t="n"/>
      <c r="C112" s="23" t="n"/>
      <c r="D112" s="23" t="n"/>
      <c r="E112" s="23" t="n"/>
      <c r="F112" s="23" t="n"/>
      <c r="G112" s="24" t="n"/>
      <c r="H112" s="24" t="n"/>
      <c r="I112" s="23" t="n"/>
      <c r="J112" s="24" t="n"/>
      <c r="K112" s="24" t="n"/>
      <c r="L112" s="24" t="n"/>
      <c r="M112" s="23" t="n"/>
      <c r="N112" s="23" t="n"/>
      <c r="O112" s="25" t="n"/>
      <c r="P112" s="23" t="n"/>
      <c r="Q112" s="24" t="n"/>
      <c r="R112" s="26">
        <f>IF(OR(B112="",O112=""),"",IF(OR(P112="Implementada",P112="Verificada",P112="Descartada"),"",O112-$B$3))</f>
        <v/>
      </c>
      <c r="S112" s="27">
        <f>IF(B112="","",IF(OR(P112="Implementada",P112="Verificada",P112="Descartada"),"Cerrada",IF(R112="","Sin fecha",IF(R112&lt;0,"Vencida",IF(R112&lt;=15,"Por vencer","En plazo")))))</f>
        <v/>
      </c>
    </row>
    <row r="113">
      <c r="A113" s="22" t="n"/>
      <c r="B113" s="23" t="n"/>
      <c r="C113" s="23" t="n"/>
      <c r="D113" s="23" t="n"/>
      <c r="E113" s="23" t="n"/>
      <c r="F113" s="23" t="n"/>
      <c r="G113" s="24" t="n"/>
      <c r="H113" s="24" t="n"/>
      <c r="I113" s="23" t="n"/>
      <c r="J113" s="24" t="n"/>
      <c r="K113" s="24" t="n"/>
      <c r="L113" s="24" t="n"/>
      <c r="M113" s="23" t="n"/>
      <c r="N113" s="23" t="n"/>
      <c r="O113" s="25" t="n"/>
      <c r="P113" s="23" t="n"/>
      <c r="Q113" s="24" t="n"/>
      <c r="R113" s="26">
        <f>IF(OR(B113="",O113=""),"",IF(OR(P113="Implementada",P113="Verificada",P113="Descartada"),"",O113-$B$3))</f>
        <v/>
      </c>
      <c r="S113" s="27">
        <f>IF(B113="","",IF(OR(P113="Implementada",P113="Verificada",P113="Descartada"),"Cerrada",IF(R113="","Sin fecha",IF(R113&lt;0,"Vencida",IF(R113&lt;=15,"Por vencer","En plazo")))))</f>
        <v/>
      </c>
    </row>
    <row r="114">
      <c r="A114" s="22" t="n"/>
      <c r="B114" s="23" t="n"/>
      <c r="C114" s="23" t="n"/>
      <c r="D114" s="23" t="n"/>
      <c r="E114" s="23" t="n"/>
      <c r="F114" s="23" t="n"/>
      <c r="G114" s="24" t="n"/>
      <c r="H114" s="24" t="n"/>
      <c r="I114" s="23" t="n"/>
      <c r="J114" s="24" t="n"/>
      <c r="K114" s="24" t="n"/>
      <c r="L114" s="24" t="n"/>
      <c r="M114" s="23" t="n"/>
      <c r="N114" s="23" t="n"/>
      <c r="O114" s="25" t="n"/>
      <c r="P114" s="23" t="n"/>
      <c r="Q114" s="24" t="n"/>
      <c r="R114" s="26">
        <f>IF(OR(B114="",O114=""),"",IF(OR(P114="Implementada",P114="Verificada",P114="Descartada"),"",O114-$B$3))</f>
        <v/>
      </c>
      <c r="S114" s="27">
        <f>IF(B114="","",IF(OR(P114="Implementada",P114="Verificada",P114="Descartada"),"Cerrada",IF(R114="","Sin fecha",IF(R114&lt;0,"Vencida",IF(R114&lt;=15,"Por vencer","En plazo")))))</f>
        <v/>
      </c>
    </row>
    <row r="115">
      <c r="A115" s="22" t="n"/>
      <c r="B115" s="23" t="n"/>
      <c r="C115" s="23" t="n"/>
      <c r="D115" s="23" t="n"/>
      <c r="E115" s="23" t="n"/>
      <c r="F115" s="23" t="n"/>
      <c r="G115" s="24" t="n"/>
      <c r="H115" s="24" t="n"/>
      <c r="I115" s="23" t="n"/>
      <c r="J115" s="24" t="n"/>
      <c r="K115" s="24" t="n"/>
      <c r="L115" s="24" t="n"/>
      <c r="M115" s="23" t="n"/>
      <c r="N115" s="23" t="n"/>
      <c r="O115" s="25" t="n"/>
      <c r="P115" s="23" t="n"/>
      <c r="Q115" s="24" t="n"/>
      <c r="R115" s="26">
        <f>IF(OR(B115="",O115=""),"",IF(OR(P115="Implementada",P115="Verificada",P115="Descartada"),"",O115-$B$3))</f>
        <v/>
      </c>
      <c r="S115" s="27">
        <f>IF(B115="","",IF(OR(P115="Implementada",P115="Verificada",P115="Descartada"),"Cerrada",IF(R115="","Sin fecha",IF(R115&lt;0,"Vencida",IF(R115&lt;=15,"Por vencer","En plazo")))))</f>
        <v/>
      </c>
    </row>
    <row r="116">
      <c r="A116" s="22" t="n"/>
      <c r="B116" s="23" t="n"/>
      <c r="C116" s="23" t="n"/>
      <c r="D116" s="23" t="n"/>
      <c r="E116" s="23" t="n"/>
      <c r="F116" s="23" t="n"/>
      <c r="G116" s="24" t="n"/>
      <c r="H116" s="24" t="n"/>
      <c r="I116" s="23" t="n"/>
      <c r="J116" s="24" t="n"/>
      <c r="K116" s="24" t="n"/>
      <c r="L116" s="24" t="n"/>
      <c r="M116" s="23" t="n"/>
      <c r="N116" s="23" t="n"/>
      <c r="O116" s="25" t="n"/>
      <c r="P116" s="23" t="n"/>
      <c r="Q116" s="24" t="n"/>
      <c r="R116" s="26">
        <f>IF(OR(B116="",O116=""),"",IF(OR(P116="Implementada",P116="Verificada",P116="Descartada"),"",O116-$B$3))</f>
        <v/>
      </c>
      <c r="S116" s="27">
        <f>IF(B116="","",IF(OR(P116="Implementada",P116="Verificada",P116="Descartada"),"Cerrada",IF(R116="","Sin fecha",IF(R116&lt;0,"Vencida",IF(R116&lt;=15,"Por vencer","En plazo")))))</f>
        <v/>
      </c>
    </row>
    <row r="117">
      <c r="A117" s="22" t="n"/>
      <c r="B117" s="23" t="n"/>
      <c r="C117" s="23" t="n"/>
      <c r="D117" s="23" t="n"/>
      <c r="E117" s="23" t="n"/>
      <c r="F117" s="23" t="n"/>
      <c r="G117" s="24" t="n"/>
      <c r="H117" s="24" t="n"/>
      <c r="I117" s="23" t="n"/>
      <c r="J117" s="24" t="n"/>
      <c r="K117" s="24" t="n"/>
      <c r="L117" s="24" t="n"/>
      <c r="M117" s="23" t="n"/>
      <c r="N117" s="23" t="n"/>
      <c r="O117" s="25" t="n"/>
      <c r="P117" s="23" t="n"/>
      <c r="Q117" s="24" t="n"/>
      <c r="R117" s="26">
        <f>IF(OR(B117="",O117=""),"",IF(OR(P117="Implementada",P117="Verificada",P117="Descartada"),"",O117-$B$3))</f>
        <v/>
      </c>
      <c r="S117" s="27">
        <f>IF(B117="","",IF(OR(P117="Implementada",P117="Verificada",P117="Descartada"),"Cerrada",IF(R117="","Sin fecha",IF(R117&lt;0,"Vencida",IF(R117&lt;=15,"Por vencer","En plazo")))))</f>
        <v/>
      </c>
    </row>
    <row r="118">
      <c r="A118" s="22" t="n"/>
      <c r="B118" s="23" t="n"/>
      <c r="C118" s="23" t="n"/>
      <c r="D118" s="23" t="n"/>
      <c r="E118" s="23" t="n"/>
      <c r="F118" s="23" t="n"/>
      <c r="G118" s="24" t="n"/>
      <c r="H118" s="24" t="n"/>
      <c r="I118" s="23" t="n"/>
      <c r="J118" s="24" t="n"/>
      <c r="K118" s="24" t="n"/>
      <c r="L118" s="24" t="n"/>
      <c r="M118" s="23" t="n"/>
      <c r="N118" s="23" t="n"/>
      <c r="O118" s="25" t="n"/>
      <c r="P118" s="23" t="n"/>
      <c r="Q118" s="24" t="n"/>
      <c r="R118" s="26">
        <f>IF(OR(B118="",O118=""),"",IF(OR(P118="Implementada",P118="Verificada",P118="Descartada"),"",O118-$B$3))</f>
        <v/>
      </c>
      <c r="S118" s="27">
        <f>IF(B118="","",IF(OR(P118="Implementada",P118="Verificada",P118="Descartada"),"Cerrada",IF(R118="","Sin fecha",IF(R118&lt;0,"Vencida",IF(R118&lt;=15,"Por vencer","En plazo")))))</f>
        <v/>
      </c>
    </row>
    <row r="119">
      <c r="A119" s="22" t="n"/>
      <c r="B119" s="23" t="n"/>
      <c r="C119" s="23" t="n"/>
      <c r="D119" s="23" t="n"/>
      <c r="E119" s="23" t="n"/>
      <c r="F119" s="23" t="n"/>
      <c r="G119" s="24" t="n"/>
      <c r="H119" s="24" t="n"/>
      <c r="I119" s="23" t="n"/>
      <c r="J119" s="24" t="n"/>
      <c r="K119" s="24" t="n"/>
      <c r="L119" s="24" t="n"/>
      <c r="M119" s="23" t="n"/>
      <c r="N119" s="23" t="n"/>
      <c r="O119" s="25" t="n"/>
      <c r="P119" s="23" t="n"/>
      <c r="Q119" s="24" t="n"/>
      <c r="R119" s="26">
        <f>IF(OR(B119="",O119=""),"",IF(OR(P119="Implementada",P119="Verificada",P119="Descartada"),"",O119-$B$3))</f>
        <v/>
      </c>
      <c r="S119" s="27">
        <f>IF(B119="","",IF(OR(P119="Implementada",P119="Verificada",P119="Descartada"),"Cerrada",IF(R119="","Sin fecha",IF(R119&lt;0,"Vencida",IF(R119&lt;=15,"Por vencer","En plazo")))))</f>
        <v/>
      </c>
    </row>
    <row r="120">
      <c r="A120" s="22" t="n"/>
      <c r="B120" s="23" t="n"/>
      <c r="C120" s="23" t="n"/>
      <c r="D120" s="23" t="n"/>
      <c r="E120" s="23" t="n"/>
      <c r="F120" s="23" t="n"/>
      <c r="G120" s="24" t="n"/>
      <c r="H120" s="24" t="n"/>
      <c r="I120" s="23" t="n"/>
      <c r="J120" s="24" t="n"/>
      <c r="K120" s="24" t="n"/>
      <c r="L120" s="24" t="n"/>
      <c r="M120" s="23" t="n"/>
      <c r="N120" s="23" t="n"/>
      <c r="O120" s="25" t="n"/>
      <c r="P120" s="23" t="n"/>
      <c r="Q120" s="24" t="n"/>
      <c r="R120" s="26">
        <f>IF(OR(B120="",O120=""),"",IF(OR(P120="Implementada",P120="Verificada",P120="Descartada"),"",O120-$B$3))</f>
        <v/>
      </c>
      <c r="S120" s="27">
        <f>IF(B120="","",IF(OR(P120="Implementada",P120="Verificada",P120="Descartada"),"Cerrada",IF(R120="","Sin fecha",IF(R120&lt;0,"Vencida",IF(R120&lt;=15,"Por vencer","En plazo")))))</f>
        <v/>
      </c>
    </row>
    <row r="121">
      <c r="A121" s="22" t="n"/>
      <c r="B121" s="23" t="n"/>
      <c r="C121" s="23" t="n"/>
      <c r="D121" s="23" t="n"/>
      <c r="E121" s="23" t="n"/>
      <c r="F121" s="23" t="n"/>
      <c r="G121" s="24" t="n"/>
      <c r="H121" s="24" t="n"/>
      <c r="I121" s="23" t="n"/>
      <c r="J121" s="24" t="n"/>
      <c r="K121" s="24" t="n"/>
      <c r="L121" s="24" t="n"/>
      <c r="M121" s="23" t="n"/>
      <c r="N121" s="23" t="n"/>
      <c r="O121" s="25" t="n"/>
      <c r="P121" s="23" t="n"/>
      <c r="Q121" s="24" t="n"/>
      <c r="R121" s="26">
        <f>IF(OR(B121="",O121=""),"",IF(OR(P121="Implementada",P121="Verificada",P121="Descartada"),"",O121-$B$3))</f>
        <v/>
      </c>
      <c r="S121" s="27">
        <f>IF(B121="","",IF(OR(P121="Implementada",P121="Verificada",P121="Descartada"),"Cerrada",IF(R121="","Sin fecha",IF(R121&lt;0,"Vencida",IF(R121&lt;=15,"Por vencer","En plazo")))))</f>
        <v/>
      </c>
    </row>
    <row r="122">
      <c r="A122" s="22" t="n"/>
      <c r="B122" s="23" t="n"/>
      <c r="C122" s="23" t="n"/>
      <c r="D122" s="23" t="n"/>
      <c r="E122" s="23" t="n"/>
      <c r="F122" s="23" t="n"/>
      <c r="G122" s="24" t="n"/>
      <c r="H122" s="24" t="n"/>
      <c r="I122" s="23" t="n"/>
      <c r="J122" s="24" t="n"/>
      <c r="K122" s="24" t="n"/>
      <c r="L122" s="24" t="n"/>
      <c r="M122" s="23" t="n"/>
      <c r="N122" s="23" t="n"/>
      <c r="O122" s="25" t="n"/>
      <c r="P122" s="23" t="n"/>
      <c r="Q122" s="24" t="n"/>
      <c r="R122" s="26">
        <f>IF(OR(B122="",O122=""),"",IF(OR(P122="Implementada",P122="Verificada",P122="Descartada"),"",O122-$B$3))</f>
        <v/>
      </c>
      <c r="S122" s="27">
        <f>IF(B122="","",IF(OR(P122="Implementada",P122="Verificada",P122="Descartada"),"Cerrada",IF(R122="","Sin fecha",IF(R122&lt;0,"Vencida",IF(R122&lt;=15,"Por vencer","En plazo")))))</f>
        <v/>
      </c>
    </row>
    <row r="123">
      <c r="A123" s="22" t="n"/>
      <c r="B123" s="23" t="n"/>
      <c r="C123" s="23" t="n"/>
      <c r="D123" s="23" t="n"/>
      <c r="E123" s="23" t="n"/>
      <c r="F123" s="23" t="n"/>
      <c r="G123" s="24" t="n"/>
      <c r="H123" s="24" t="n"/>
      <c r="I123" s="23" t="n"/>
      <c r="J123" s="24" t="n"/>
      <c r="K123" s="24" t="n"/>
      <c r="L123" s="24" t="n"/>
      <c r="M123" s="23" t="n"/>
      <c r="N123" s="23" t="n"/>
      <c r="O123" s="25" t="n"/>
      <c r="P123" s="23" t="n"/>
      <c r="Q123" s="24" t="n"/>
      <c r="R123" s="26">
        <f>IF(OR(B123="",O123=""),"",IF(OR(P123="Implementada",P123="Verificada",P123="Descartada"),"",O123-$B$3))</f>
        <v/>
      </c>
      <c r="S123" s="27">
        <f>IF(B123="","",IF(OR(P123="Implementada",P123="Verificada",P123="Descartada"),"Cerrada",IF(R123="","Sin fecha",IF(R123&lt;0,"Vencida",IF(R123&lt;=15,"Por vencer","En plazo")))))</f>
        <v/>
      </c>
    </row>
    <row r="124">
      <c r="A124" s="22" t="n"/>
      <c r="B124" s="23" t="n"/>
      <c r="C124" s="23" t="n"/>
      <c r="D124" s="23" t="n"/>
      <c r="E124" s="23" t="n"/>
      <c r="F124" s="23" t="n"/>
      <c r="G124" s="24" t="n"/>
      <c r="H124" s="24" t="n"/>
      <c r="I124" s="23" t="n"/>
      <c r="J124" s="24" t="n"/>
      <c r="K124" s="24" t="n"/>
      <c r="L124" s="24" t="n"/>
      <c r="M124" s="23" t="n"/>
      <c r="N124" s="23" t="n"/>
      <c r="O124" s="25" t="n"/>
      <c r="P124" s="23" t="n"/>
      <c r="Q124" s="24" t="n"/>
      <c r="R124" s="26">
        <f>IF(OR(B124="",O124=""),"",IF(OR(P124="Implementada",P124="Verificada",P124="Descartada"),"",O124-$B$3))</f>
        <v/>
      </c>
      <c r="S124" s="27">
        <f>IF(B124="","",IF(OR(P124="Implementada",P124="Verificada",P124="Descartada"),"Cerrada",IF(R124="","Sin fecha",IF(R124&lt;0,"Vencida",IF(R124&lt;=15,"Por vencer","En plazo")))))</f>
        <v/>
      </c>
    </row>
    <row r="125">
      <c r="A125" s="22" t="n"/>
      <c r="B125" s="23" t="n"/>
      <c r="C125" s="23" t="n"/>
      <c r="D125" s="23" t="n"/>
      <c r="E125" s="23" t="n"/>
      <c r="F125" s="23" t="n"/>
      <c r="G125" s="24" t="n"/>
      <c r="H125" s="24" t="n"/>
      <c r="I125" s="23" t="n"/>
      <c r="J125" s="24" t="n"/>
      <c r="K125" s="24" t="n"/>
      <c r="L125" s="24" t="n"/>
      <c r="M125" s="23" t="n"/>
      <c r="N125" s="23" t="n"/>
      <c r="O125" s="25" t="n"/>
      <c r="P125" s="23" t="n"/>
      <c r="Q125" s="24" t="n"/>
      <c r="R125" s="26">
        <f>IF(OR(B125="",O125=""),"",IF(OR(P125="Implementada",P125="Verificada",P125="Descartada"),"",O125-$B$3))</f>
        <v/>
      </c>
      <c r="S125" s="27">
        <f>IF(B125="","",IF(OR(P125="Implementada",P125="Verificada",P125="Descartada"),"Cerrada",IF(R125="","Sin fecha",IF(R125&lt;0,"Vencida",IF(R125&lt;=15,"Por vencer","En plazo")))))</f>
        <v/>
      </c>
    </row>
    <row r="126">
      <c r="A126" s="22" t="n"/>
      <c r="B126" s="23" t="n"/>
      <c r="C126" s="23" t="n"/>
      <c r="D126" s="23" t="n"/>
      <c r="E126" s="23" t="n"/>
      <c r="F126" s="23" t="n"/>
      <c r="G126" s="24" t="n"/>
      <c r="H126" s="24" t="n"/>
      <c r="I126" s="23" t="n"/>
      <c r="J126" s="24" t="n"/>
      <c r="K126" s="24" t="n"/>
      <c r="L126" s="24" t="n"/>
      <c r="M126" s="23" t="n"/>
      <c r="N126" s="23" t="n"/>
      <c r="O126" s="25" t="n"/>
      <c r="P126" s="23" t="n"/>
      <c r="Q126" s="24" t="n"/>
      <c r="R126" s="26">
        <f>IF(OR(B126="",O126=""),"",IF(OR(P126="Implementada",P126="Verificada",P126="Descartada"),"",O126-$B$3))</f>
        <v/>
      </c>
      <c r="S126" s="27">
        <f>IF(B126="","",IF(OR(P126="Implementada",P126="Verificada",P126="Descartada"),"Cerrada",IF(R126="","Sin fecha",IF(R126&lt;0,"Vencida",IF(R126&lt;=15,"Por vencer","En plazo")))))</f>
        <v/>
      </c>
    </row>
    <row r="127">
      <c r="A127" s="22" t="n"/>
      <c r="B127" s="23" t="n"/>
      <c r="C127" s="23" t="n"/>
      <c r="D127" s="23" t="n"/>
      <c r="E127" s="23" t="n"/>
      <c r="F127" s="23" t="n"/>
      <c r="G127" s="24" t="n"/>
      <c r="H127" s="24" t="n"/>
      <c r="I127" s="23" t="n"/>
      <c r="J127" s="24" t="n"/>
      <c r="K127" s="24" t="n"/>
      <c r="L127" s="24" t="n"/>
      <c r="M127" s="23" t="n"/>
      <c r="N127" s="23" t="n"/>
      <c r="O127" s="25" t="n"/>
      <c r="P127" s="23" t="n"/>
      <c r="Q127" s="24" t="n"/>
      <c r="R127" s="26">
        <f>IF(OR(B127="",O127=""),"",IF(OR(P127="Implementada",P127="Verificada",P127="Descartada"),"",O127-$B$3))</f>
        <v/>
      </c>
      <c r="S127" s="27">
        <f>IF(B127="","",IF(OR(P127="Implementada",P127="Verificada",P127="Descartada"),"Cerrada",IF(R127="","Sin fecha",IF(R127&lt;0,"Vencida",IF(R127&lt;=15,"Por vencer","En plazo")))))</f>
        <v/>
      </c>
    </row>
    <row r="128">
      <c r="A128" s="22" t="n"/>
      <c r="B128" s="23" t="n"/>
      <c r="C128" s="23" t="n"/>
      <c r="D128" s="23" t="n"/>
      <c r="E128" s="23" t="n"/>
      <c r="F128" s="23" t="n"/>
      <c r="G128" s="24" t="n"/>
      <c r="H128" s="24" t="n"/>
      <c r="I128" s="23" t="n"/>
      <c r="J128" s="24" t="n"/>
      <c r="K128" s="24" t="n"/>
      <c r="L128" s="24" t="n"/>
      <c r="M128" s="23" t="n"/>
      <c r="N128" s="23" t="n"/>
      <c r="O128" s="25" t="n"/>
      <c r="P128" s="23" t="n"/>
      <c r="Q128" s="24" t="n"/>
      <c r="R128" s="26">
        <f>IF(OR(B128="",O128=""),"",IF(OR(P128="Implementada",P128="Verificada",P128="Descartada"),"",O128-$B$3))</f>
        <v/>
      </c>
      <c r="S128" s="27">
        <f>IF(B128="","",IF(OR(P128="Implementada",P128="Verificada",P128="Descartada"),"Cerrada",IF(R128="","Sin fecha",IF(R128&lt;0,"Vencida",IF(R128&lt;=15,"Por vencer","En plazo")))))</f>
        <v/>
      </c>
    </row>
    <row r="129">
      <c r="A129" s="22" t="n"/>
      <c r="B129" s="23" t="n"/>
      <c r="C129" s="23" t="n"/>
      <c r="D129" s="23" t="n"/>
      <c r="E129" s="23" t="n"/>
      <c r="F129" s="23" t="n"/>
      <c r="G129" s="24" t="n"/>
      <c r="H129" s="24" t="n"/>
      <c r="I129" s="23" t="n"/>
      <c r="J129" s="24" t="n"/>
      <c r="K129" s="24" t="n"/>
      <c r="L129" s="24" t="n"/>
      <c r="M129" s="23" t="n"/>
      <c r="N129" s="23" t="n"/>
      <c r="O129" s="25" t="n"/>
      <c r="P129" s="23" t="n"/>
      <c r="Q129" s="24" t="n"/>
      <c r="R129" s="26">
        <f>IF(OR(B129="",O129=""),"",IF(OR(P129="Implementada",P129="Verificada",P129="Descartada"),"",O129-$B$3))</f>
        <v/>
      </c>
      <c r="S129" s="27">
        <f>IF(B129="","",IF(OR(P129="Implementada",P129="Verificada",P129="Descartada"),"Cerrada",IF(R129="","Sin fecha",IF(R129&lt;0,"Vencida",IF(R129&lt;=15,"Por vencer","En plazo")))))</f>
        <v/>
      </c>
    </row>
    <row r="130">
      <c r="A130" s="22" t="n"/>
      <c r="B130" s="23" t="n"/>
      <c r="C130" s="23" t="n"/>
      <c r="D130" s="23" t="n"/>
      <c r="E130" s="23" t="n"/>
      <c r="F130" s="23" t="n"/>
      <c r="G130" s="24" t="n"/>
      <c r="H130" s="24" t="n"/>
      <c r="I130" s="23" t="n"/>
      <c r="J130" s="24" t="n"/>
      <c r="K130" s="24" t="n"/>
      <c r="L130" s="24" t="n"/>
      <c r="M130" s="23" t="n"/>
      <c r="N130" s="23" t="n"/>
      <c r="O130" s="25" t="n"/>
      <c r="P130" s="23" t="n"/>
      <c r="Q130" s="24" t="n"/>
      <c r="R130" s="26">
        <f>IF(OR(B130="",O130=""),"",IF(OR(P130="Implementada",P130="Verificada",P130="Descartada"),"",O130-$B$3))</f>
        <v/>
      </c>
      <c r="S130" s="27">
        <f>IF(B130="","",IF(OR(P130="Implementada",P130="Verificada",P130="Descartada"),"Cerrada",IF(R130="","Sin fecha",IF(R130&lt;0,"Vencida",IF(R130&lt;=15,"Por vencer","En plazo")))))</f>
        <v/>
      </c>
    </row>
    <row r="131">
      <c r="A131" s="22" t="n"/>
      <c r="B131" s="23" t="n"/>
      <c r="C131" s="23" t="n"/>
      <c r="D131" s="23" t="n"/>
      <c r="E131" s="23" t="n"/>
      <c r="F131" s="23" t="n"/>
      <c r="G131" s="24" t="n"/>
      <c r="H131" s="24" t="n"/>
      <c r="I131" s="23" t="n"/>
      <c r="J131" s="24" t="n"/>
      <c r="K131" s="24" t="n"/>
      <c r="L131" s="24" t="n"/>
      <c r="M131" s="23" t="n"/>
      <c r="N131" s="23" t="n"/>
      <c r="O131" s="25" t="n"/>
      <c r="P131" s="23" t="n"/>
      <c r="Q131" s="24" t="n"/>
      <c r="R131" s="26">
        <f>IF(OR(B131="",O131=""),"",IF(OR(P131="Implementada",P131="Verificada",P131="Descartada"),"",O131-$B$3))</f>
        <v/>
      </c>
      <c r="S131" s="27">
        <f>IF(B131="","",IF(OR(P131="Implementada",P131="Verificada",P131="Descartada"),"Cerrada",IF(R131="","Sin fecha",IF(R131&lt;0,"Vencida",IF(R131&lt;=15,"Por vencer","En plazo")))))</f>
        <v/>
      </c>
    </row>
    <row r="132">
      <c r="A132" s="22" t="n"/>
      <c r="B132" s="23" t="n"/>
      <c r="C132" s="23" t="n"/>
      <c r="D132" s="23" t="n"/>
      <c r="E132" s="23" t="n"/>
      <c r="F132" s="23" t="n"/>
      <c r="G132" s="24" t="n"/>
      <c r="H132" s="24" t="n"/>
      <c r="I132" s="23" t="n"/>
      <c r="J132" s="24" t="n"/>
      <c r="K132" s="24" t="n"/>
      <c r="L132" s="24" t="n"/>
      <c r="M132" s="23" t="n"/>
      <c r="N132" s="23" t="n"/>
      <c r="O132" s="25" t="n"/>
      <c r="P132" s="23" t="n"/>
      <c r="Q132" s="24" t="n"/>
      <c r="R132" s="26">
        <f>IF(OR(B132="",O132=""),"",IF(OR(P132="Implementada",P132="Verificada",P132="Descartada"),"",O132-$B$3))</f>
        <v/>
      </c>
      <c r="S132" s="27">
        <f>IF(B132="","",IF(OR(P132="Implementada",P132="Verificada",P132="Descartada"),"Cerrada",IF(R132="","Sin fecha",IF(R132&lt;0,"Vencida",IF(R132&lt;=15,"Por vencer","En plazo")))))</f>
        <v/>
      </c>
    </row>
    <row r="133">
      <c r="A133" s="22" t="n"/>
      <c r="B133" s="23" t="n"/>
      <c r="C133" s="23" t="n"/>
      <c r="D133" s="23" t="n"/>
      <c r="E133" s="23" t="n"/>
      <c r="F133" s="23" t="n"/>
      <c r="G133" s="24" t="n"/>
      <c r="H133" s="24" t="n"/>
      <c r="I133" s="23" t="n"/>
      <c r="J133" s="24" t="n"/>
      <c r="K133" s="24" t="n"/>
      <c r="L133" s="24" t="n"/>
      <c r="M133" s="23" t="n"/>
      <c r="N133" s="23" t="n"/>
      <c r="O133" s="25" t="n"/>
      <c r="P133" s="23" t="n"/>
      <c r="Q133" s="24" t="n"/>
      <c r="R133" s="26">
        <f>IF(OR(B133="",O133=""),"",IF(OR(P133="Implementada",P133="Verificada",P133="Descartada"),"",O133-$B$3))</f>
        <v/>
      </c>
      <c r="S133" s="27">
        <f>IF(B133="","",IF(OR(P133="Implementada",P133="Verificada",P133="Descartada"),"Cerrada",IF(R133="","Sin fecha",IF(R133&lt;0,"Vencida",IF(R133&lt;=15,"Por vencer","En plazo")))))</f>
        <v/>
      </c>
    </row>
    <row r="134">
      <c r="A134" s="22" t="n"/>
      <c r="B134" s="23" t="n"/>
      <c r="C134" s="23" t="n"/>
      <c r="D134" s="23" t="n"/>
      <c r="E134" s="23" t="n"/>
      <c r="F134" s="23" t="n"/>
      <c r="G134" s="24" t="n"/>
      <c r="H134" s="24" t="n"/>
      <c r="I134" s="23" t="n"/>
      <c r="J134" s="24" t="n"/>
      <c r="K134" s="24" t="n"/>
      <c r="L134" s="24" t="n"/>
      <c r="M134" s="23" t="n"/>
      <c r="N134" s="23" t="n"/>
      <c r="O134" s="25" t="n"/>
      <c r="P134" s="23" t="n"/>
      <c r="Q134" s="24" t="n"/>
      <c r="R134" s="26">
        <f>IF(OR(B134="",O134=""),"",IF(OR(P134="Implementada",P134="Verificada",P134="Descartada"),"",O134-$B$3))</f>
        <v/>
      </c>
      <c r="S134" s="27">
        <f>IF(B134="","",IF(OR(P134="Implementada",P134="Verificada",P134="Descartada"),"Cerrada",IF(R134="","Sin fecha",IF(R134&lt;0,"Vencida",IF(R134&lt;=15,"Por vencer","En plazo")))))</f>
        <v/>
      </c>
    </row>
    <row r="135">
      <c r="A135" s="22" t="n"/>
      <c r="B135" s="23" t="n"/>
      <c r="C135" s="23" t="n"/>
      <c r="D135" s="23" t="n"/>
      <c r="E135" s="23" t="n"/>
      <c r="F135" s="23" t="n"/>
      <c r="G135" s="24" t="n"/>
      <c r="H135" s="24" t="n"/>
      <c r="I135" s="23" t="n"/>
      <c r="J135" s="24" t="n"/>
      <c r="K135" s="24" t="n"/>
      <c r="L135" s="24" t="n"/>
      <c r="M135" s="23" t="n"/>
      <c r="N135" s="23" t="n"/>
      <c r="O135" s="25" t="n"/>
      <c r="P135" s="23" t="n"/>
      <c r="Q135" s="24" t="n"/>
      <c r="R135" s="26">
        <f>IF(OR(B135="",O135=""),"",IF(OR(P135="Implementada",P135="Verificada",P135="Descartada"),"",O135-$B$3))</f>
        <v/>
      </c>
      <c r="S135" s="27">
        <f>IF(B135="","",IF(OR(P135="Implementada",P135="Verificada",P135="Descartada"),"Cerrada",IF(R135="","Sin fecha",IF(R135&lt;0,"Vencida",IF(R135&lt;=15,"Por vencer","En plazo")))))</f>
        <v/>
      </c>
    </row>
    <row r="136">
      <c r="A136" s="22" t="n"/>
      <c r="B136" s="23" t="n"/>
      <c r="C136" s="23" t="n"/>
      <c r="D136" s="23" t="n"/>
      <c r="E136" s="23" t="n"/>
      <c r="F136" s="23" t="n"/>
      <c r="G136" s="24" t="n"/>
      <c r="H136" s="24" t="n"/>
      <c r="I136" s="23" t="n"/>
      <c r="J136" s="24" t="n"/>
      <c r="K136" s="24" t="n"/>
      <c r="L136" s="24" t="n"/>
      <c r="M136" s="23" t="n"/>
      <c r="N136" s="23" t="n"/>
      <c r="O136" s="25" t="n"/>
      <c r="P136" s="23" t="n"/>
      <c r="Q136" s="24" t="n"/>
      <c r="R136" s="26">
        <f>IF(OR(B136="",O136=""),"",IF(OR(P136="Implementada",P136="Verificada",P136="Descartada"),"",O136-$B$3))</f>
        <v/>
      </c>
      <c r="S136" s="27">
        <f>IF(B136="","",IF(OR(P136="Implementada",P136="Verificada",P136="Descartada"),"Cerrada",IF(R136="","Sin fecha",IF(R136&lt;0,"Vencida",IF(R136&lt;=15,"Por vencer","En plazo")))))</f>
        <v/>
      </c>
    </row>
    <row r="137">
      <c r="A137" s="22" t="n"/>
      <c r="B137" s="23" t="n"/>
      <c r="C137" s="23" t="n"/>
      <c r="D137" s="23" t="n"/>
      <c r="E137" s="23" t="n"/>
      <c r="F137" s="23" t="n"/>
      <c r="G137" s="24" t="n"/>
      <c r="H137" s="24" t="n"/>
      <c r="I137" s="23" t="n"/>
      <c r="J137" s="24" t="n"/>
      <c r="K137" s="24" t="n"/>
      <c r="L137" s="24" t="n"/>
      <c r="M137" s="23" t="n"/>
      <c r="N137" s="23" t="n"/>
      <c r="O137" s="25" t="n"/>
      <c r="P137" s="23" t="n"/>
      <c r="Q137" s="24" t="n"/>
      <c r="R137" s="26">
        <f>IF(OR(B137="",O137=""),"",IF(OR(P137="Implementada",P137="Verificada",P137="Descartada"),"",O137-$B$3))</f>
        <v/>
      </c>
      <c r="S137" s="27">
        <f>IF(B137="","",IF(OR(P137="Implementada",P137="Verificada",P137="Descartada"),"Cerrada",IF(R137="","Sin fecha",IF(R137&lt;0,"Vencida",IF(R137&lt;=15,"Por vencer","En plazo")))))</f>
        <v/>
      </c>
    </row>
    <row r="138">
      <c r="A138" s="22" t="n"/>
      <c r="B138" s="23" t="n"/>
      <c r="C138" s="23" t="n"/>
      <c r="D138" s="23" t="n"/>
      <c r="E138" s="23" t="n"/>
      <c r="F138" s="23" t="n"/>
      <c r="G138" s="24" t="n"/>
      <c r="H138" s="24" t="n"/>
      <c r="I138" s="23" t="n"/>
      <c r="J138" s="24" t="n"/>
      <c r="K138" s="24" t="n"/>
      <c r="L138" s="24" t="n"/>
      <c r="M138" s="23" t="n"/>
      <c r="N138" s="23" t="n"/>
      <c r="O138" s="25" t="n"/>
      <c r="P138" s="23" t="n"/>
      <c r="Q138" s="24" t="n"/>
      <c r="R138" s="26">
        <f>IF(OR(B138="",O138=""),"",IF(OR(P138="Implementada",P138="Verificada",P138="Descartada"),"",O138-$B$3))</f>
        <v/>
      </c>
      <c r="S138" s="27">
        <f>IF(B138="","",IF(OR(P138="Implementada",P138="Verificada",P138="Descartada"),"Cerrada",IF(R138="","Sin fecha",IF(R138&lt;0,"Vencida",IF(R138&lt;=15,"Por vencer","En plazo")))))</f>
        <v/>
      </c>
    </row>
    <row r="139">
      <c r="A139" s="22" t="n"/>
      <c r="B139" s="23" t="n"/>
      <c r="C139" s="23" t="n"/>
      <c r="D139" s="23" t="n"/>
      <c r="E139" s="23" t="n"/>
      <c r="F139" s="23" t="n"/>
      <c r="G139" s="24" t="n"/>
      <c r="H139" s="24" t="n"/>
      <c r="I139" s="23" t="n"/>
      <c r="J139" s="24" t="n"/>
      <c r="K139" s="24" t="n"/>
      <c r="L139" s="24" t="n"/>
      <c r="M139" s="23" t="n"/>
      <c r="N139" s="23" t="n"/>
      <c r="O139" s="25" t="n"/>
      <c r="P139" s="23" t="n"/>
      <c r="Q139" s="24" t="n"/>
      <c r="R139" s="26">
        <f>IF(OR(B139="",O139=""),"",IF(OR(P139="Implementada",P139="Verificada",P139="Descartada"),"",O139-$B$3))</f>
        <v/>
      </c>
      <c r="S139" s="27">
        <f>IF(B139="","",IF(OR(P139="Implementada",P139="Verificada",P139="Descartada"),"Cerrada",IF(R139="","Sin fecha",IF(R139&lt;0,"Vencida",IF(R139&lt;=15,"Por vencer","En plazo")))))</f>
        <v/>
      </c>
    </row>
    <row r="140">
      <c r="A140" s="22" t="n"/>
      <c r="B140" s="23" t="n"/>
      <c r="C140" s="23" t="n"/>
      <c r="D140" s="23" t="n"/>
      <c r="E140" s="23" t="n"/>
      <c r="F140" s="23" t="n"/>
      <c r="G140" s="24" t="n"/>
      <c r="H140" s="24" t="n"/>
      <c r="I140" s="23" t="n"/>
      <c r="J140" s="24" t="n"/>
      <c r="K140" s="24" t="n"/>
      <c r="L140" s="24" t="n"/>
      <c r="M140" s="23" t="n"/>
      <c r="N140" s="23" t="n"/>
      <c r="O140" s="25" t="n"/>
      <c r="P140" s="23" t="n"/>
      <c r="Q140" s="24" t="n"/>
      <c r="R140" s="26">
        <f>IF(OR(B140="",O140=""),"",IF(OR(P140="Implementada",P140="Verificada",P140="Descartada"),"",O140-$B$3))</f>
        <v/>
      </c>
      <c r="S140" s="27">
        <f>IF(B140="","",IF(OR(P140="Implementada",P140="Verificada",P140="Descartada"),"Cerrada",IF(R140="","Sin fecha",IF(R140&lt;0,"Vencida",IF(R140&lt;=15,"Por vencer","En plazo")))))</f>
        <v/>
      </c>
    </row>
    <row r="141">
      <c r="A141" s="22" t="n"/>
      <c r="B141" s="23" t="n"/>
      <c r="C141" s="23" t="n"/>
      <c r="D141" s="23" t="n"/>
      <c r="E141" s="23" t="n"/>
      <c r="F141" s="23" t="n"/>
      <c r="G141" s="24" t="n"/>
      <c r="H141" s="24" t="n"/>
      <c r="I141" s="23" t="n"/>
      <c r="J141" s="24" t="n"/>
      <c r="K141" s="24" t="n"/>
      <c r="L141" s="24" t="n"/>
      <c r="M141" s="23" t="n"/>
      <c r="N141" s="23" t="n"/>
      <c r="O141" s="25" t="n"/>
      <c r="P141" s="23" t="n"/>
      <c r="Q141" s="24" t="n"/>
      <c r="R141" s="26">
        <f>IF(OR(B141="",O141=""),"",IF(OR(P141="Implementada",P141="Verificada",P141="Descartada"),"",O141-$B$3))</f>
        <v/>
      </c>
      <c r="S141" s="27">
        <f>IF(B141="","",IF(OR(P141="Implementada",P141="Verificada",P141="Descartada"),"Cerrada",IF(R141="","Sin fecha",IF(R141&lt;0,"Vencida",IF(R141&lt;=15,"Por vencer","En plazo")))))</f>
        <v/>
      </c>
    </row>
    <row r="142">
      <c r="A142" s="22" t="n"/>
      <c r="B142" s="23" t="n"/>
      <c r="C142" s="23" t="n"/>
      <c r="D142" s="23" t="n"/>
      <c r="E142" s="23" t="n"/>
      <c r="F142" s="23" t="n"/>
      <c r="G142" s="24" t="n"/>
      <c r="H142" s="24" t="n"/>
      <c r="I142" s="23" t="n"/>
      <c r="J142" s="24" t="n"/>
      <c r="K142" s="24" t="n"/>
      <c r="L142" s="24" t="n"/>
      <c r="M142" s="23" t="n"/>
      <c r="N142" s="23" t="n"/>
      <c r="O142" s="25" t="n"/>
      <c r="P142" s="23" t="n"/>
      <c r="Q142" s="24" t="n"/>
      <c r="R142" s="26">
        <f>IF(OR(B142="",O142=""),"",IF(OR(P142="Implementada",P142="Verificada",P142="Descartada"),"",O142-$B$3))</f>
        <v/>
      </c>
      <c r="S142" s="27">
        <f>IF(B142="","",IF(OR(P142="Implementada",P142="Verificada",P142="Descartada"),"Cerrada",IF(R142="","Sin fecha",IF(R142&lt;0,"Vencida",IF(R142&lt;=15,"Por vencer","En plazo")))))</f>
        <v/>
      </c>
    </row>
    <row r="143">
      <c r="A143" s="22" t="n"/>
      <c r="B143" s="23" t="n"/>
      <c r="C143" s="23" t="n"/>
      <c r="D143" s="23" t="n"/>
      <c r="E143" s="23" t="n"/>
      <c r="F143" s="23" t="n"/>
      <c r="G143" s="24" t="n"/>
      <c r="H143" s="24" t="n"/>
      <c r="I143" s="23" t="n"/>
      <c r="J143" s="24" t="n"/>
      <c r="K143" s="24" t="n"/>
      <c r="L143" s="24" t="n"/>
      <c r="M143" s="23" t="n"/>
      <c r="N143" s="23" t="n"/>
      <c r="O143" s="25" t="n"/>
      <c r="P143" s="23" t="n"/>
      <c r="Q143" s="24" t="n"/>
      <c r="R143" s="26">
        <f>IF(OR(B143="",O143=""),"",IF(OR(P143="Implementada",P143="Verificada",P143="Descartada"),"",O143-$B$3))</f>
        <v/>
      </c>
      <c r="S143" s="27">
        <f>IF(B143="","",IF(OR(P143="Implementada",P143="Verificada",P143="Descartada"),"Cerrada",IF(R143="","Sin fecha",IF(R143&lt;0,"Vencida",IF(R143&lt;=15,"Por vencer","En plazo")))))</f>
        <v/>
      </c>
    </row>
    <row r="144">
      <c r="A144" s="22" t="n"/>
      <c r="B144" s="23" t="n"/>
      <c r="C144" s="23" t="n"/>
      <c r="D144" s="23" t="n"/>
      <c r="E144" s="23" t="n"/>
      <c r="F144" s="23" t="n"/>
      <c r="G144" s="24" t="n"/>
      <c r="H144" s="24" t="n"/>
      <c r="I144" s="23" t="n"/>
      <c r="J144" s="24" t="n"/>
      <c r="K144" s="24" t="n"/>
      <c r="L144" s="24" t="n"/>
      <c r="M144" s="23" t="n"/>
      <c r="N144" s="23" t="n"/>
      <c r="O144" s="25" t="n"/>
      <c r="P144" s="23" t="n"/>
      <c r="Q144" s="24" t="n"/>
      <c r="R144" s="26">
        <f>IF(OR(B144="",O144=""),"",IF(OR(P144="Implementada",P144="Verificada",P144="Descartada"),"",O144-$B$3))</f>
        <v/>
      </c>
      <c r="S144" s="27">
        <f>IF(B144="","",IF(OR(P144="Implementada",P144="Verificada",P144="Descartada"),"Cerrada",IF(R144="","Sin fecha",IF(R144&lt;0,"Vencida",IF(R144&lt;=15,"Por vencer","En plazo")))))</f>
        <v/>
      </c>
    </row>
    <row r="145">
      <c r="A145" s="22" t="n"/>
      <c r="B145" s="23" t="n"/>
      <c r="C145" s="23" t="n"/>
      <c r="D145" s="23" t="n"/>
      <c r="E145" s="23" t="n"/>
      <c r="F145" s="23" t="n"/>
      <c r="G145" s="24" t="n"/>
      <c r="H145" s="24" t="n"/>
      <c r="I145" s="23" t="n"/>
      <c r="J145" s="24" t="n"/>
      <c r="K145" s="24" t="n"/>
      <c r="L145" s="24" t="n"/>
      <c r="M145" s="23" t="n"/>
      <c r="N145" s="23" t="n"/>
      <c r="O145" s="25" t="n"/>
      <c r="P145" s="23" t="n"/>
      <c r="Q145" s="24" t="n"/>
      <c r="R145" s="26">
        <f>IF(OR(B145="",O145=""),"",IF(OR(P145="Implementada",P145="Verificada",P145="Descartada"),"",O145-$B$3))</f>
        <v/>
      </c>
      <c r="S145" s="27">
        <f>IF(B145="","",IF(OR(P145="Implementada",P145="Verificada",P145="Descartada"),"Cerrada",IF(R145="","Sin fecha",IF(R145&lt;0,"Vencida",IF(R145&lt;=15,"Por vencer","En plazo")))))</f>
        <v/>
      </c>
    </row>
    <row r="146">
      <c r="A146" s="22" t="n"/>
      <c r="B146" s="23" t="n"/>
      <c r="C146" s="23" t="n"/>
      <c r="D146" s="23" t="n"/>
      <c r="E146" s="23" t="n"/>
      <c r="F146" s="23" t="n"/>
      <c r="G146" s="24" t="n"/>
      <c r="H146" s="24" t="n"/>
      <c r="I146" s="23" t="n"/>
      <c r="J146" s="24" t="n"/>
      <c r="K146" s="24" t="n"/>
      <c r="L146" s="24" t="n"/>
      <c r="M146" s="23" t="n"/>
      <c r="N146" s="23" t="n"/>
      <c r="O146" s="25" t="n"/>
      <c r="P146" s="23" t="n"/>
      <c r="Q146" s="24" t="n"/>
      <c r="R146" s="26">
        <f>IF(OR(B146="",O146=""),"",IF(OR(P146="Implementada",P146="Verificada",P146="Descartada"),"",O146-$B$3))</f>
        <v/>
      </c>
      <c r="S146" s="27">
        <f>IF(B146="","",IF(OR(P146="Implementada",P146="Verificada",P146="Descartada"),"Cerrada",IF(R146="","Sin fecha",IF(R146&lt;0,"Vencida",IF(R146&lt;=15,"Por vencer","En plazo")))))</f>
        <v/>
      </c>
    </row>
    <row r="147">
      <c r="A147" s="22" t="n"/>
      <c r="B147" s="23" t="n"/>
      <c r="C147" s="23" t="n"/>
      <c r="D147" s="23" t="n"/>
      <c r="E147" s="23" t="n"/>
      <c r="F147" s="23" t="n"/>
      <c r="G147" s="24" t="n"/>
      <c r="H147" s="24" t="n"/>
      <c r="I147" s="23" t="n"/>
      <c r="J147" s="24" t="n"/>
      <c r="K147" s="24" t="n"/>
      <c r="L147" s="24" t="n"/>
      <c r="M147" s="23" t="n"/>
      <c r="N147" s="23" t="n"/>
      <c r="O147" s="25" t="n"/>
      <c r="P147" s="23" t="n"/>
      <c r="Q147" s="24" t="n"/>
      <c r="R147" s="26">
        <f>IF(OR(B147="",O147=""),"",IF(OR(P147="Implementada",P147="Verificada",P147="Descartada"),"",O147-$B$3))</f>
        <v/>
      </c>
      <c r="S147" s="27">
        <f>IF(B147="","",IF(OR(P147="Implementada",P147="Verificada",P147="Descartada"),"Cerrada",IF(R147="","Sin fecha",IF(R147&lt;0,"Vencida",IF(R147&lt;=15,"Por vencer","En plazo")))))</f>
        <v/>
      </c>
    </row>
    <row r="148">
      <c r="A148" s="22" t="n"/>
      <c r="B148" s="23" t="n"/>
      <c r="C148" s="23" t="n"/>
      <c r="D148" s="23" t="n"/>
      <c r="E148" s="23" t="n"/>
      <c r="F148" s="23" t="n"/>
      <c r="G148" s="24" t="n"/>
      <c r="H148" s="24" t="n"/>
      <c r="I148" s="23" t="n"/>
      <c r="J148" s="24" t="n"/>
      <c r="K148" s="24" t="n"/>
      <c r="L148" s="24" t="n"/>
      <c r="M148" s="23" t="n"/>
      <c r="N148" s="23" t="n"/>
      <c r="O148" s="25" t="n"/>
      <c r="P148" s="23" t="n"/>
      <c r="Q148" s="24" t="n"/>
      <c r="R148" s="26">
        <f>IF(OR(B148="",O148=""),"",IF(OR(P148="Implementada",P148="Verificada",P148="Descartada"),"",O148-$B$3))</f>
        <v/>
      </c>
      <c r="S148" s="27">
        <f>IF(B148="","",IF(OR(P148="Implementada",P148="Verificada",P148="Descartada"),"Cerrada",IF(R148="","Sin fecha",IF(R148&lt;0,"Vencida",IF(R148&lt;=15,"Por vencer","En plazo")))))</f>
        <v/>
      </c>
    </row>
    <row r="149">
      <c r="A149" s="22" t="n"/>
      <c r="B149" s="23" t="n"/>
      <c r="C149" s="23" t="n"/>
      <c r="D149" s="23" t="n"/>
      <c r="E149" s="23" t="n"/>
      <c r="F149" s="23" t="n"/>
      <c r="G149" s="24" t="n"/>
      <c r="H149" s="24" t="n"/>
      <c r="I149" s="23" t="n"/>
      <c r="J149" s="24" t="n"/>
      <c r="K149" s="24" t="n"/>
      <c r="L149" s="24" t="n"/>
      <c r="M149" s="23" t="n"/>
      <c r="N149" s="23" t="n"/>
      <c r="O149" s="25" t="n"/>
      <c r="P149" s="23" t="n"/>
      <c r="Q149" s="24" t="n"/>
      <c r="R149" s="26">
        <f>IF(OR(B149="",O149=""),"",IF(OR(P149="Implementada",P149="Verificada",P149="Descartada"),"",O149-$B$3))</f>
        <v/>
      </c>
      <c r="S149" s="27">
        <f>IF(B149="","",IF(OR(P149="Implementada",P149="Verificada",P149="Descartada"),"Cerrada",IF(R149="","Sin fecha",IF(R149&lt;0,"Vencida",IF(R149&lt;=15,"Por vencer","En plazo")))))</f>
        <v/>
      </c>
    </row>
    <row r="150">
      <c r="A150" s="22" t="n"/>
      <c r="B150" s="23" t="n"/>
      <c r="C150" s="23" t="n"/>
      <c r="D150" s="23" t="n"/>
      <c r="E150" s="23" t="n"/>
      <c r="F150" s="23" t="n"/>
      <c r="G150" s="24" t="n"/>
      <c r="H150" s="24" t="n"/>
      <c r="I150" s="23" t="n"/>
      <c r="J150" s="24" t="n"/>
      <c r="K150" s="24" t="n"/>
      <c r="L150" s="24" t="n"/>
      <c r="M150" s="23" t="n"/>
      <c r="N150" s="23" t="n"/>
      <c r="O150" s="25" t="n"/>
      <c r="P150" s="23" t="n"/>
      <c r="Q150" s="24" t="n"/>
      <c r="R150" s="26">
        <f>IF(OR(B150="",O150=""),"",IF(OR(P150="Implementada",P150="Verificada",P150="Descartada"),"",O150-$B$3))</f>
        <v/>
      </c>
      <c r="S150" s="27">
        <f>IF(B150="","",IF(OR(P150="Implementada",P150="Verificada",P150="Descartada"),"Cerrada",IF(R150="","Sin fecha",IF(R150&lt;0,"Vencida",IF(R150&lt;=15,"Por vencer","En plazo")))))</f>
        <v/>
      </c>
    </row>
    <row r="151">
      <c r="A151" s="22" t="n"/>
      <c r="B151" s="23" t="n"/>
      <c r="C151" s="23" t="n"/>
      <c r="D151" s="23" t="n"/>
      <c r="E151" s="23" t="n"/>
      <c r="F151" s="23" t="n"/>
      <c r="G151" s="24" t="n"/>
      <c r="H151" s="24" t="n"/>
      <c r="I151" s="23" t="n"/>
      <c r="J151" s="24" t="n"/>
      <c r="K151" s="24" t="n"/>
      <c r="L151" s="24" t="n"/>
      <c r="M151" s="23" t="n"/>
      <c r="N151" s="23" t="n"/>
      <c r="O151" s="25" t="n"/>
      <c r="P151" s="23" t="n"/>
      <c r="Q151" s="24" t="n"/>
      <c r="R151" s="26">
        <f>IF(OR(B151="",O151=""),"",IF(OR(P151="Implementada",P151="Verificada",P151="Descartada"),"",O151-$B$3))</f>
        <v/>
      </c>
      <c r="S151" s="27">
        <f>IF(B151="","",IF(OR(P151="Implementada",P151="Verificada",P151="Descartada"),"Cerrada",IF(R151="","Sin fecha",IF(R151&lt;0,"Vencida",IF(R151&lt;=15,"Por vencer","En plazo")))))</f>
        <v/>
      </c>
    </row>
    <row r="152">
      <c r="A152" s="22" t="n"/>
      <c r="B152" s="23" t="n"/>
      <c r="C152" s="23" t="n"/>
      <c r="D152" s="23" t="n"/>
      <c r="E152" s="23" t="n"/>
      <c r="F152" s="23" t="n"/>
      <c r="G152" s="24" t="n"/>
      <c r="H152" s="24" t="n"/>
      <c r="I152" s="23" t="n"/>
      <c r="J152" s="24" t="n"/>
      <c r="K152" s="24" t="n"/>
      <c r="L152" s="24" t="n"/>
      <c r="M152" s="23" t="n"/>
      <c r="N152" s="23" t="n"/>
      <c r="O152" s="25" t="n"/>
      <c r="P152" s="23" t="n"/>
      <c r="Q152" s="24" t="n"/>
      <c r="R152" s="26">
        <f>IF(OR(B152="",O152=""),"",IF(OR(P152="Implementada",P152="Verificada",P152="Descartada"),"",O152-$B$3))</f>
        <v/>
      </c>
      <c r="S152" s="27">
        <f>IF(B152="","",IF(OR(P152="Implementada",P152="Verificada",P152="Descartada"),"Cerrada",IF(R152="","Sin fecha",IF(R152&lt;0,"Vencida",IF(R152&lt;=15,"Por vencer","En plazo")))))</f>
        <v/>
      </c>
    </row>
    <row r="153">
      <c r="A153" s="22" t="n"/>
      <c r="B153" s="23" t="n"/>
      <c r="C153" s="23" t="n"/>
      <c r="D153" s="23" t="n"/>
      <c r="E153" s="23" t="n"/>
      <c r="F153" s="23" t="n"/>
      <c r="G153" s="24" t="n"/>
      <c r="H153" s="24" t="n"/>
      <c r="I153" s="23" t="n"/>
      <c r="J153" s="24" t="n"/>
      <c r="K153" s="24" t="n"/>
      <c r="L153" s="24" t="n"/>
      <c r="M153" s="23" t="n"/>
      <c r="N153" s="23" t="n"/>
      <c r="O153" s="25" t="n"/>
      <c r="P153" s="23" t="n"/>
      <c r="Q153" s="24" t="n"/>
      <c r="R153" s="26">
        <f>IF(OR(B153="",O153=""),"",IF(OR(P153="Implementada",P153="Verificada",P153="Descartada"),"",O153-$B$3))</f>
        <v/>
      </c>
      <c r="S153" s="27">
        <f>IF(B153="","",IF(OR(P153="Implementada",P153="Verificada",P153="Descartada"),"Cerrada",IF(R153="","Sin fecha",IF(R153&lt;0,"Vencida",IF(R153&lt;=15,"Por vencer","En plazo")))))</f>
        <v/>
      </c>
    </row>
    <row r="154">
      <c r="A154" s="22" t="n"/>
      <c r="B154" s="23" t="n"/>
      <c r="C154" s="23" t="n"/>
      <c r="D154" s="23" t="n"/>
      <c r="E154" s="23" t="n"/>
      <c r="F154" s="23" t="n"/>
      <c r="G154" s="24" t="n"/>
      <c r="H154" s="24" t="n"/>
      <c r="I154" s="23" t="n"/>
      <c r="J154" s="24" t="n"/>
      <c r="K154" s="24" t="n"/>
      <c r="L154" s="24" t="n"/>
      <c r="M154" s="23" t="n"/>
      <c r="N154" s="23" t="n"/>
      <c r="O154" s="25" t="n"/>
      <c r="P154" s="23" t="n"/>
      <c r="Q154" s="24" t="n"/>
      <c r="R154" s="26">
        <f>IF(OR(B154="",O154=""),"",IF(OR(P154="Implementada",P154="Verificada",P154="Descartada"),"",O154-$B$3))</f>
        <v/>
      </c>
      <c r="S154" s="27">
        <f>IF(B154="","",IF(OR(P154="Implementada",P154="Verificada",P154="Descartada"),"Cerrada",IF(R154="","Sin fecha",IF(R154&lt;0,"Vencida",IF(R154&lt;=15,"Por vencer","En plazo")))))</f>
        <v/>
      </c>
    </row>
    <row r="155">
      <c r="A155" s="22" t="n"/>
      <c r="B155" s="23" t="n"/>
      <c r="C155" s="23" t="n"/>
      <c r="D155" s="23" t="n"/>
      <c r="E155" s="23" t="n"/>
      <c r="F155" s="23" t="n"/>
      <c r="G155" s="24" t="n"/>
      <c r="H155" s="24" t="n"/>
      <c r="I155" s="23" t="n"/>
      <c r="J155" s="24" t="n"/>
      <c r="K155" s="24" t="n"/>
      <c r="L155" s="24" t="n"/>
      <c r="M155" s="23" t="n"/>
      <c r="N155" s="23" t="n"/>
      <c r="O155" s="25" t="n"/>
      <c r="P155" s="23" t="n"/>
      <c r="Q155" s="24" t="n"/>
      <c r="R155" s="26">
        <f>IF(OR(B155="",O155=""),"",IF(OR(P155="Implementada",P155="Verificada",P155="Descartada"),"",O155-$B$3))</f>
        <v/>
      </c>
      <c r="S155" s="27">
        <f>IF(B155="","",IF(OR(P155="Implementada",P155="Verificada",P155="Descartada"),"Cerrada",IF(R155="","Sin fecha",IF(R155&lt;0,"Vencida",IF(R155&lt;=15,"Por vencer","En plazo")))))</f>
        <v/>
      </c>
    </row>
    <row r="156">
      <c r="A156" s="22" t="n"/>
      <c r="B156" s="23" t="n"/>
      <c r="C156" s="23" t="n"/>
      <c r="D156" s="23" t="n"/>
      <c r="E156" s="23" t="n"/>
      <c r="F156" s="23" t="n"/>
      <c r="G156" s="24" t="n"/>
      <c r="H156" s="24" t="n"/>
      <c r="I156" s="23" t="n"/>
      <c r="J156" s="24" t="n"/>
      <c r="K156" s="24" t="n"/>
      <c r="L156" s="24" t="n"/>
      <c r="M156" s="23" t="n"/>
      <c r="N156" s="23" t="n"/>
      <c r="O156" s="25" t="n"/>
      <c r="P156" s="23" t="n"/>
      <c r="Q156" s="24" t="n"/>
      <c r="R156" s="26">
        <f>IF(OR(B156="",O156=""),"",IF(OR(P156="Implementada",P156="Verificada",P156="Descartada"),"",O156-$B$3))</f>
        <v/>
      </c>
      <c r="S156" s="27">
        <f>IF(B156="","",IF(OR(P156="Implementada",P156="Verificada",P156="Descartada"),"Cerrada",IF(R156="","Sin fecha",IF(R156&lt;0,"Vencida",IF(R156&lt;=15,"Por vencer","En plazo")))))</f>
        <v/>
      </c>
    </row>
    <row r="157">
      <c r="A157" s="22" t="n"/>
      <c r="B157" s="23" t="n"/>
      <c r="C157" s="23" t="n"/>
      <c r="D157" s="23" t="n"/>
      <c r="E157" s="23" t="n"/>
      <c r="F157" s="23" t="n"/>
      <c r="G157" s="24" t="n"/>
      <c r="H157" s="24" t="n"/>
      <c r="I157" s="23" t="n"/>
      <c r="J157" s="24" t="n"/>
      <c r="K157" s="24" t="n"/>
      <c r="L157" s="24" t="n"/>
      <c r="M157" s="23" t="n"/>
      <c r="N157" s="23" t="n"/>
      <c r="O157" s="25" t="n"/>
      <c r="P157" s="23" t="n"/>
      <c r="Q157" s="24" t="n"/>
      <c r="R157" s="26">
        <f>IF(OR(B157="",O157=""),"",IF(OR(P157="Implementada",P157="Verificada",P157="Descartada"),"",O157-$B$3))</f>
        <v/>
      </c>
      <c r="S157" s="27">
        <f>IF(B157="","",IF(OR(P157="Implementada",P157="Verificada",P157="Descartada"),"Cerrada",IF(R157="","Sin fecha",IF(R157&lt;0,"Vencida",IF(R157&lt;=15,"Por vencer","En plazo")))))</f>
        <v/>
      </c>
    </row>
    <row r="158">
      <c r="A158" s="22" t="n"/>
      <c r="B158" s="23" t="n"/>
      <c r="C158" s="23" t="n"/>
      <c r="D158" s="23" t="n"/>
      <c r="E158" s="23" t="n"/>
      <c r="F158" s="23" t="n"/>
      <c r="G158" s="24" t="n"/>
      <c r="H158" s="24" t="n"/>
      <c r="I158" s="23" t="n"/>
      <c r="J158" s="24" t="n"/>
      <c r="K158" s="24" t="n"/>
      <c r="L158" s="24" t="n"/>
      <c r="M158" s="23" t="n"/>
      <c r="N158" s="23" t="n"/>
      <c r="O158" s="25" t="n"/>
      <c r="P158" s="23" t="n"/>
      <c r="Q158" s="24" t="n"/>
      <c r="R158" s="26">
        <f>IF(OR(B158="",O158=""),"",IF(OR(P158="Implementada",P158="Verificada",P158="Descartada"),"",O158-$B$3))</f>
        <v/>
      </c>
      <c r="S158" s="27">
        <f>IF(B158="","",IF(OR(P158="Implementada",P158="Verificada",P158="Descartada"),"Cerrada",IF(R158="","Sin fecha",IF(R158&lt;0,"Vencida",IF(R158&lt;=15,"Por vencer","En plazo")))))</f>
        <v/>
      </c>
    </row>
    <row r="159">
      <c r="A159" s="22" t="n"/>
      <c r="B159" s="23" t="n"/>
      <c r="C159" s="23" t="n"/>
      <c r="D159" s="23" t="n"/>
      <c r="E159" s="23" t="n"/>
      <c r="F159" s="23" t="n"/>
      <c r="G159" s="24" t="n"/>
      <c r="H159" s="24" t="n"/>
      <c r="I159" s="23" t="n"/>
      <c r="J159" s="24" t="n"/>
      <c r="K159" s="24" t="n"/>
      <c r="L159" s="24" t="n"/>
      <c r="M159" s="23" t="n"/>
      <c r="N159" s="23" t="n"/>
      <c r="O159" s="25" t="n"/>
      <c r="P159" s="23" t="n"/>
      <c r="Q159" s="24" t="n"/>
      <c r="R159" s="26">
        <f>IF(OR(B159="",O159=""),"",IF(OR(P159="Implementada",P159="Verificada",P159="Descartada"),"",O159-$B$3))</f>
        <v/>
      </c>
      <c r="S159" s="27">
        <f>IF(B159="","",IF(OR(P159="Implementada",P159="Verificada",P159="Descartada"),"Cerrada",IF(R159="","Sin fecha",IF(R159&lt;0,"Vencida",IF(R159&lt;=15,"Por vencer","En plazo")))))</f>
        <v/>
      </c>
    </row>
    <row r="160">
      <c r="A160" s="22" t="n"/>
      <c r="B160" s="23" t="n"/>
      <c r="C160" s="23" t="n"/>
      <c r="D160" s="23" t="n"/>
      <c r="E160" s="23" t="n"/>
      <c r="F160" s="23" t="n"/>
      <c r="G160" s="24" t="n"/>
      <c r="H160" s="24" t="n"/>
      <c r="I160" s="23" t="n"/>
      <c r="J160" s="24" t="n"/>
      <c r="K160" s="24" t="n"/>
      <c r="L160" s="24" t="n"/>
      <c r="M160" s="23" t="n"/>
      <c r="N160" s="23" t="n"/>
      <c r="O160" s="25" t="n"/>
      <c r="P160" s="23" t="n"/>
      <c r="Q160" s="24" t="n"/>
      <c r="R160" s="26">
        <f>IF(OR(B160="",O160=""),"",IF(OR(P160="Implementada",P160="Verificada",P160="Descartada"),"",O160-$B$3))</f>
        <v/>
      </c>
      <c r="S160" s="27">
        <f>IF(B160="","",IF(OR(P160="Implementada",P160="Verificada",P160="Descartada"),"Cerrada",IF(R160="","Sin fecha",IF(R160&lt;0,"Vencida",IF(R160&lt;=15,"Por vencer","En plazo")))))</f>
        <v/>
      </c>
    </row>
    <row r="161">
      <c r="A161" s="22" t="n"/>
      <c r="B161" s="23" t="n"/>
      <c r="C161" s="23" t="n"/>
      <c r="D161" s="23" t="n"/>
      <c r="E161" s="23" t="n"/>
      <c r="F161" s="23" t="n"/>
      <c r="G161" s="24" t="n"/>
      <c r="H161" s="24" t="n"/>
      <c r="I161" s="23" t="n"/>
      <c r="J161" s="24" t="n"/>
      <c r="K161" s="24" t="n"/>
      <c r="L161" s="24" t="n"/>
      <c r="M161" s="23" t="n"/>
      <c r="N161" s="23" t="n"/>
      <c r="O161" s="25" t="n"/>
      <c r="P161" s="23" t="n"/>
      <c r="Q161" s="24" t="n"/>
      <c r="R161" s="26">
        <f>IF(OR(B161="",O161=""),"",IF(OR(P161="Implementada",P161="Verificada",P161="Descartada"),"",O161-$B$3))</f>
        <v/>
      </c>
      <c r="S161" s="27">
        <f>IF(B161="","",IF(OR(P161="Implementada",P161="Verificada",P161="Descartada"),"Cerrada",IF(R161="","Sin fecha",IF(R161&lt;0,"Vencida",IF(R161&lt;=15,"Por vencer","En plazo")))))</f>
        <v/>
      </c>
    </row>
    <row r="162">
      <c r="A162" s="22" t="n"/>
      <c r="B162" s="23" t="n"/>
      <c r="C162" s="23" t="n"/>
      <c r="D162" s="23" t="n"/>
      <c r="E162" s="23" t="n"/>
      <c r="F162" s="23" t="n"/>
      <c r="G162" s="24" t="n"/>
      <c r="H162" s="24" t="n"/>
      <c r="I162" s="23" t="n"/>
      <c r="J162" s="24" t="n"/>
      <c r="K162" s="24" t="n"/>
      <c r="L162" s="24" t="n"/>
      <c r="M162" s="23" t="n"/>
      <c r="N162" s="23" t="n"/>
      <c r="O162" s="25" t="n"/>
      <c r="P162" s="23" t="n"/>
      <c r="Q162" s="24" t="n"/>
      <c r="R162" s="26">
        <f>IF(OR(B162="",O162=""),"",IF(OR(P162="Implementada",P162="Verificada",P162="Descartada"),"",O162-$B$3))</f>
        <v/>
      </c>
      <c r="S162" s="27">
        <f>IF(B162="","",IF(OR(P162="Implementada",P162="Verificada",P162="Descartada"),"Cerrada",IF(R162="","Sin fecha",IF(R162&lt;0,"Vencida",IF(R162&lt;=15,"Por vencer","En plazo")))))</f>
        <v/>
      </c>
    </row>
    <row r="163">
      <c r="A163" s="22" t="n"/>
      <c r="B163" s="23" t="n"/>
      <c r="C163" s="23" t="n"/>
      <c r="D163" s="23" t="n"/>
      <c r="E163" s="23" t="n"/>
      <c r="F163" s="23" t="n"/>
      <c r="G163" s="24" t="n"/>
      <c r="H163" s="24" t="n"/>
      <c r="I163" s="23" t="n"/>
      <c r="J163" s="24" t="n"/>
      <c r="K163" s="24" t="n"/>
      <c r="L163" s="24" t="n"/>
      <c r="M163" s="23" t="n"/>
      <c r="N163" s="23" t="n"/>
      <c r="O163" s="25" t="n"/>
      <c r="P163" s="23" t="n"/>
      <c r="Q163" s="24" t="n"/>
      <c r="R163" s="26">
        <f>IF(OR(B163="",O163=""),"",IF(OR(P163="Implementada",P163="Verificada",P163="Descartada"),"",O163-$B$3))</f>
        <v/>
      </c>
      <c r="S163" s="27">
        <f>IF(B163="","",IF(OR(P163="Implementada",P163="Verificada",P163="Descartada"),"Cerrada",IF(R163="","Sin fecha",IF(R163&lt;0,"Vencida",IF(R163&lt;=15,"Por vencer","En plazo")))))</f>
        <v/>
      </c>
    </row>
    <row r="164">
      <c r="A164" s="22" t="n"/>
      <c r="B164" s="23" t="n"/>
      <c r="C164" s="23" t="n"/>
      <c r="D164" s="23" t="n"/>
      <c r="E164" s="23" t="n"/>
      <c r="F164" s="23" t="n"/>
      <c r="G164" s="24" t="n"/>
      <c r="H164" s="24" t="n"/>
      <c r="I164" s="23" t="n"/>
      <c r="J164" s="24" t="n"/>
      <c r="K164" s="24" t="n"/>
      <c r="L164" s="24" t="n"/>
      <c r="M164" s="23" t="n"/>
      <c r="N164" s="23" t="n"/>
      <c r="O164" s="25" t="n"/>
      <c r="P164" s="23" t="n"/>
      <c r="Q164" s="24" t="n"/>
      <c r="R164" s="26">
        <f>IF(OR(B164="",O164=""),"",IF(OR(P164="Implementada",P164="Verificada",P164="Descartada"),"",O164-$B$3))</f>
        <v/>
      </c>
      <c r="S164" s="27">
        <f>IF(B164="","",IF(OR(P164="Implementada",P164="Verificada",P164="Descartada"),"Cerrada",IF(R164="","Sin fecha",IF(R164&lt;0,"Vencida",IF(R164&lt;=15,"Por vencer","En plazo")))))</f>
        <v/>
      </c>
    </row>
    <row r="165">
      <c r="A165" s="22" t="n"/>
      <c r="B165" s="23" t="n"/>
      <c r="C165" s="23" t="n"/>
      <c r="D165" s="23" t="n"/>
      <c r="E165" s="23" t="n"/>
      <c r="F165" s="23" t="n"/>
      <c r="G165" s="24" t="n"/>
      <c r="H165" s="24" t="n"/>
      <c r="I165" s="23" t="n"/>
      <c r="J165" s="24" t="n"/>
      <c r="K165" s="24" t="n"/>
      <c r="L165" s="24" t="n"/>
      <c r="M165" s="23" t="n"/>
      <c r="N165" s="23" t="n"/>
      <c r="O165" s="25" t="n"/>
      <c r="P165" s="23" t="n"/>
      <c r="Q165" s="24" t="n"/>
      <c r="R165" s="26">
        <f>IF(OR(B165="",O165=""),"",IF(OR(P165="Implementada",P165="Verificada",P165="Descartada"),"",O165-$B$3))</f>
        <v/>
      </c>
      <c r="S165" s="27">
        <f>IF(B165="","",IF(OR(P165="Implementada",P165="Verificada",P165="Descartada"),"Cerrada",IF(R165="","Sin fecha",IF(R165&lt;0,"Vencida",IF(R165&lt;=15,"Por vencer","En plazo")))))</f>
        <v/>
      </c>
    </row>
    <row r="166">
      <c r="A166" s="22" t="n"/>
      <c r="B166" s="23" t="n"/>
      <c r="C166" s="23" t="n"/>
      <c r="D166" s="23" t="n"/>
      <c r="E166" s="23" t="n"/>
      <c r="F166" s="23" t="n"/>
      <c r="G166" s="24" t="n"/>
      <c r="H166" s="24" t="n"/>
      <c r="I166" s="23" t="n"/>
      <c r="J166" s="24" t="n"/>
      <c r="K166" s="24" t="n"/>
      <c r="L166" s="24" t="n"/>
      <c r="M166" s="23" t="n"/>
      <c r="N166" s="23" t="n"/>
      <c r="O166" s="25" t="n"/>
      <c r="P166" s="23" t="n"/>
      <c r="Q166" s="24" t="n"/>
      <c r="R166" s="26">
        <f>IF(OR(B166="",O166=""),"",IF(OR(P166="Implementada",P166="Verificada",P166="Descartada"),"",O166-$B$3))</f>
        <v/>
      </c>
      <c r="S166" s="27">
        <f>IF(B166="","",IF(OR(P166="Implementada",P166="Verificada",P166="Descartada"),"Cerrada",IF(R166="","Sin fecha",IF(R166&lt;0,"Vencida",IF(R166&lt;=15,"Por vencer","En plazo")))))</f>
        <v/>
      </c>
    </row>
    <row r="167">
      <c r="A167" s="22" t="n"/>
      <c r="B167" s="23" t="n"/>
      <c r="C167" s="23" t="n"/>
      <c r="D167" s="23" t="n"/>
      <c r="E167" s="23" t="n"/>
      <c r="F167" s="23" t="n"/>
      <c r="G167" s="24" t="n"/>
      <c r="H167" s="24" t="n"/>
      <c r="I167" s="23" t="n"/>
      <c r="J167" s="24" t="n"/>
      <c r="K167" s="24" t="n"/>
      <c r="L167" s="24" t="n"/>
      <c r="M167" s="23" t="n"/>
      <c r="N167" s="23" t="n"/>
      <c r="O167" s="25" t="n"/>
      <c r="P167" s="23" t="n"/>
      <c r="Q167" s="24" t="n"/>
      <c r="R167" s="26">
        <f>IF(OR(B167="",O167=""),"",IF(OR(P167="Implementada",P167="Verificada",P167="Descartada"),"",O167-$B$3))</f>
        <v/>
      </c>
      <c r="S167" s="27">
        <f>IF(B167="","",IF(OR(P167="Implementada",P167="Verificada",P167="Descartada"),"Cerrada",IF(R167="","Sin fecha",IF(R167&lt;0,"Vencida",IF(R167&lt;=15,"Por vencer","En plazo")))))</f>
        <v/>
      </c>
    </row>
    <row r="168">
      <c r="A168" s="22" t="n"/>
      <c r="B168" s="23" t="n"/>
      <c r="C168" s="23" t="n"/>
      <c r="D168" s="23" t="n"/>
      <c r="E168" s="23" t="n"/>
      <c r="F168" s="23" t="n"/>
      <c r="G168" s="24" t="n"/>
      <c r="H168" s="24" t="n"/>
      <c r="I168" s="23" t="n"/>
      <c r="J168" s="24" t="n"/>
      <c r="K168" s="24" t="n"/>
      <c r="L168" s="24" t="n"/>
      <c r="M168" s="23" t="n"/>
      <c r="N168" s="23" t="n"/>
      <c r="O168" s="25" t="n"/>
      <c r="P168" s="23" t="n"/>
      <c r="Q168" s="24" t="n"/>
      <c r="R168" s="26">
        <f>IF(OR(B168="",O168=""),"",IF(OR(P168="Implementada",P168="Verificada",P168="Descartada"),"",O168-$B$3))</f>
        <v/>
      </c>
      <c r="S168" s="27">
        <f>IF(B168="","",IF(OR(P168="Implementada",P168="Verificada",P168="Descartada"),"Cerrada",IF(R168="","Sin fecha",IF(R168&lt;0,"Vencida",IF(R168&lt;=15,"Por vencer","En plazo")))))</f>
        <v/>
      </c>
    </row>
    <row r="169">
      <c r="A169" s="22" t="n"/>
      <c r="B169" s="23" t="n"/>
      <c r="C169" s="23" t="n"/>
      <c r="D169" s="23" t="n"/>
      <c r="E169" s="23" t="n"/>
      <c r="F169" s="23" t="n"/>
      <c r="G169" s="24" t="n"/>
      <c r="H169" s="24" t="n"/>
      <c r="I169" s="23" t="n"/>
      <c r="J169" s="24" t="n"/>
      <c r="K169" s="24" t="n"/>
      <c r="L169" s="24" t="n"/>
      <c r="M169" s="23" t="n"/>
      <c r="N169" s="23" t="n"/>
      <c r="O169" s="25" t="n"/>
      <c r="P169" s="23" t="n"/>
      <c r="Q169" s="24" t="n"/>
      <c r="R169" s="26">
        <f>IF(OR(B169="",O169=""),"",IF(OR(P169="Implementada",P169="Verificada",P169="Descartada"),"",O169-$B$3))</f>
        <v/>
      </c>
      <c r="S169" s="27">
        <f>IF(B169="","",IF(OR(P169="Implementada",P169="Verificada",P169="Descartada"),"Cerrada",IF(R169="","Sin fecha",IF(R169&lt;0,"Vencida",IF(R169&lt;=15,"Por vencer","En plazo")))))</f>
        <v/>
      </c>
    </row>
    <row r="170">
      <c r="A170" s="22" t="n"/>
      <c r="B170" s="23" t="n"/>
      <c r="C170" s="23" t="n"/>
      <c r="D170" s="23" t="n"/>
      <c r="E170" s="23" t="n"/>
      <c r="F170" s="23" t="n"/>
      <c r="G170" s="24" t="n"/>
      <c r="H170" s="24" t="n"/>
      <c r="I170" s="23" t="n"/>
      <c r="J170" s="24" t="n"/>
      <c r="K170" s="24" t="n"/>
      <c r="L170" s="24" t="n"/>
      <c r="M170" s="23" t="n"/>
      <c r="N170" s="23" t="n"/>
      <c r="O170" s="25" t="n"/>
      <c r="P170" s="23" t="n"/>
      <c r="Q170" s="24" t="n"/>
      <c r="R170" s="26">
        <f>IF(OR(B170="",O170=""),"",IF(OR(P170="Implementada",P170="Verificada",P170="Descartada"),"",O170-$B$3))</f>
        <v/>
      </c>
      <c r="S170" s="27">
        <f>IF(B170="","",IF(OR(P170="Implementada",P170="Verificada",P170="Descartada"),"Cerrada",IF(R170="","Sin fecha",IF(R170&lt;0,"Vencida",IF(R170&lt;=15,"Por vencer","En plazo")))))</f>
        <v/>
      </c>
    </row>
    <row r="171">
      <c r="A171" s="22" t="n"/>
      <c r="B171" s="23" t="n"/>
      <c r="C171" s="23" t="n"/>
      <c r="D171" s="23" t="n"/>
      <c r="E171" s="23" t="n"/>
      <c r="F171" s="23" t="n"/>
      <c r="G171" s="24" t="n"/>
      <c r="H171" s="24" t="n"/>
      <c r="I171" s="23" t="n"/>
      <c r="J171" s="24" t="n"/>
      <c r="K171" s="24" t="n"/>
      <c r="L171" s="24" t="n"/>
      <c r="M171" s="23" t="n"/>
      <c r="N171" s="23" t="n"/>
      <c r="O171" s="25" t="n"/>
      <c r="P171" s="23" t="n"/>
      <c r="Q171" s="24" t="n"/>
      <c r="R171" s="26">
        <f>IF(OR(B171="",O171=""),"",IF(OR(P171="Implementada",P171="Verificada",P171="Descartada"),"",O171-$B$3))</f>
        <v/>
      </c>
      <c r="S171" s="27">
        <f>IF(B171="","",IF(OR(P171="Implementada",P171="Verificada",P171="Descartada"),"Cerrada",IF(R171="","Sin fecha",IF(R171&lt;0,"Vencida",IF(R171&lt;=15,"Por vencer","En plazo")))))</f>
        <v/>
      </c>
    </row>
    <row r="172">
      <c r="A172" s="22" t="n"/>
      <c r="B172" s="23" t="n"/>
      <c r="C172" s="23" t="n"/>
      <c r="D172" s="23" t="n"/>
      <c r="E172" s="23" t="n"/>
      <c r="F172" s="23" t="n"/>
      <c r="G172" s="24" t="n"/>
      <c r="H172" s="24" t="n"/>
      <c r="I172" s="23" t="n"/>
      <c r="J172" s="24" t="n"/>
      <c r="K172" s="24" t="n"/>
      <c r="L172" s="24" t="n"/>
      <c r="M172" s="23" t="n"/>
      <c r="N172" s="23" t="n"/>
      <c r="O172" s="25" t="n"/>
      <c r="P172" s="23" t="n"/>
      <c r="Q172" s="24" t="n"/>
      <c r="R172" s="26">
        <f>IF(OR(B172="",O172=""),"",IF(OR(P172="Implementada",P172="Verificada",P172="Descartada"),"",O172-$B$3))</f>
        <v/>
      </c>
      <c r="S172" s="27">
        <f>IF(B172="","",IF(OR(P172="Implementada",P172="Verificada",P172="Descartada"),"Cerrada",IF(R172="","Sin fecha",IF(R172&lt;0,"Vencida",IF(R172&lt;=15,"Por vencer","En plazo")))))</f>
        <v/>
      </c>
    </row>
    <row r="173">
      <c r="A173" s="22" t="n"/>
      <c r="B173" s="23" t="n"/>
      <c r="C173" s="23" t="n"/>
      <c r="D173" s="23" t="n"/>
      <c r="E173" s="23" t="n"/>
      <c r="F173" s="23" t="n"/>
      <c r="G173" s="24" t="n"/>
      <c r="H173" s="24" t="n"/>
      <c r="I173" s="23" t="n"/>
      <c r="J173" s="24" t="n"/>
      <c r="K173" s="24" t="n"/>
      <c r="L173" s="24" t="n"/>
      <c r="M173" s="23" t="n"/>
      <c r="N173" s="23" t="n"/>
      <c r="O173" s="25" t="n"/>
      <c r="P173" s="23" t="n"/>
      <c r="Q173" s="24" t="n"/>
      <c r="R173" s="26">
        <f>IF(OR(B173="",O173=""),"",IF(OR(P173="Implementada",P173="Verificada",P173="Descartada"),"",O173-$B$3))</f>
        <v/>
      </c>
      <c r="S173" s="27">
        <f>IF(B173="","",IF(OR(P173="Implementada",P173="Verificada",P173="Descartada"),"Cerrada",IF(R173="","Sin fecha",IF(R173&lt;0,"Vencida",IF(R173&lt;=15,"Por vencer","En plazo")))))</f>
        <v/>
      </c>
    </row>
    <row r="174">
      <c r="A174" s="22" t="n"/>
      <c r="B174" s="23" t="n"/>
      <c r="C174" s="23" t="n"/>
      <c r="D174" s="23" t="n"/>
      <c r="E174" s="23" t="n"/>
      <c r="F174" s="23" t="n"/>
      <c r="G174" s="24" t="n"/>
      <c r="H174" s="24" t="n"/>
      <c r="I174" s="23" t="n"/>
      <c r="J174" s="24" t="n"/>
      <c r="K174" s="24" t="n"/>
      <c r="L174" s="24" t="n"/>
      <c r="M174" s="23" t="n"/>
      <c r="N174" s="23" t="n"/>
      <c r="O174" s="25" t="n"/>
      <c r="P174" s="23" t="n"/>
      <c r="Q174" s="24" t="n"/>
      <c r="R174" s="26">
        <f>IF(OR(B174="",O174=""),"",IF(OR(P174="Implementada",P174="Verificada",P174="Descartada"),"",O174-$B$3))</f>
        <v/>
      </c>
      <c r="S174" s="27">
        <f>IF(B174="","",IF(OR(P174="Implementada",P174="Verificada",P174="Descartada"),"Cerrada",IF(R174="","Sin fecha",IF(R174&lt;0,"Vencida",IF(R174&lt;=15,"Por vencer","En plazo")))))</f>
        <v/>
      </c>
    </row>
    <row r="175">
      <c r="A175" s="22" t="n"/>
      <c r="B175" s="23" t="n"/>
      <c r="C175" s="23" t="n"/>
      <c r="D175" s="23" t="n"/>
      <c r="E175" s="23" t="n"/>
      <c r="F175" s="23" t="n"/>
      <c r="G175" s="24" t="n"/>
      <c r="H175" s="24" t="n"/>
      <c r="I175" s="23" t="n"/>
      <c r="J175" s="24" t="n"/>
      <c r="K175" s="24" t="n"/>
      <c r="L175" s="24" t="n"/>
      <c r="M175" s="23" t="n"/>
      <c r="N175" s="23" t="n"/>
      <c r="O175" s="25" t="n"/>
      <c r="P175" s="23" t="n"/>
      <c r="Q175" s="24" t="n"/>
      <c r="R175" s="26">
        <f>IF(OR(B175="",O175=""),"",IF(OR(P175="Implementada",P175="Verificada",P175="Descartada"),"",O175-$B$3))</f>
        <v/>
      </c>
      <c r="S175" s="27">
        <f>IF(B175="","",IF(OR(P175="Implementada",P175="Verificada",P175="Descartada"),"Cerrada",IF(R175="","Sin fecha",IF(R175&lt;0,"Vencida",IF(R175&lt;=15,"Por vencer","En plazo")))))</f>
        <v/>
      </c>
    </row>
    <row r="176">
      <c r="A176" s="22" t="n"/>
      <c r="B176" s="23" t="n"/>
      <c r="C176" s="23" t="n"/>
      <c r="D176" s="23" t="n"/>
      <c r="E176" s="23" t="n"/>
      <c r="F176" s="23" t="n"/>
      <c r="G176" s="24" t="n"/>
      <c r="H176" s="24" t="n"/>
      <c r="I176" s="23" t="n"/>
      <c r="J176" s="24" t="n"/>
      <c r="K176" s="24" t="n"/>
      <c r="L176" s="24" t="n"/>
      <c r="M176" s="23" t="n"/>
      <c r="N176" s="23" t="n"/>
      <c r="O176" s="25" t="n"/>
      <c r="P176" s="23" t="n"/>
      <c r="Q176" s="24" t="n"/>
      <c r="R176" s="26">
        <f>IF(OR(B176="",O176=""),"",IF(OR(P176="Implementada",P176="Verificada",P176="Descartada"),"",O176-$B$3))</f>
        <v/>
      </c>
      <c r="S176" s="27">
        <f>IF(B176="","",IF(OR(P176="Implementada",P176="Verificada",P176="Descartada"),"Cerrada",IF(R176="","Sin fecha",IF(R176&lt;0,"Vencida",IF(R176&lt;=15,"Por vencer","En plazo")))))</f>
        <v/>
      </c>
    </row>
    <row r="177">
      <c r="A177" s="22" t="n"/>
      <c r="B177" s="23" t="n"/>
      <c r="C177" s="23" t="n"/>
      <c r="D177" s="23" t="n"/>
      <c r="E177" s="23" t="n"/>
      <c r="F177" s="23" t="n"/>
      <c r="G177" s="24" t="n"/>
      <c r="H177" s="24" t="n"/>
      <c r="I177" s="23" t="n"/>
      <c r="J177" s="24" t="n"/>
      <c r="K177" s="24" t="n"/>
      <c r="L177" s="24" t="n"/>
      <c r="M177" s="23" t="n"/>
      <c r="N177" s="23" t="n"/>
      <c r="O177" s="25" t="n"/>
      <c r="P177" s="23" t="n"/>
      <c r="Q177" s="24" t="n"/>
      <c r="R177" s="26">
        <f>IF(OR(B177="",O177=""),"",IF(OR(P177="Implementada",P177="Verificada",P177="Descartada"),"",O177-$B$3))</f>
        <v/>
      </c>
      <c r="S177" s="27">
        <f>IF(B177="","",IF(OR(P177="Implementada",P177="Verificada",P177="Descartada"),"Cerrada",IF(R177="","Sin fecha",IF(R177&lt;0,"Vencida",IF(R177&lt;=15,"Por vencer","En plazo")))))</f>
        <v/>
      </c>
    </row>
    <row r="178">
      <c r="A178" s="22" t="n"/>
      <c r="B178" s="23" t="n"/>
      <c r="C178" s="23" t="n"/>
      <c r="D178" s="23" t="n"/>
      <c r="E178" s="23" t="n"/>
      <c r="F178" s="23" t="n"/>
      <c r="G178" s="24" t="n"/>
      <c r="H178" s="24" t="n"/>
      <c r="I178" s="23" t="n"/>
      <c r="J178" s="24" t="n"/>
      <c r="K178" s="24" t="n"/>
      <c r="L178" s="24" t="n"/>
      <c r="M178" s="23" t="n"/>
      <c r="N178" s="23" t="n"/>
      <c r="O178" s="25" t="n"/>
      <c r="P178" s="23" t="n"/>
      <c r="Q178" s="24" t="n"/>
      <c r="R178" s="26">
        <f>IF(OR(B178="",O178=""),"",IF(OR(P178="Implementada",P178="Verificada",P178="Descartada"),"",O178-$B$3))</f>
        <v/>
      </c>
      <c r="S178" s="27">
        <f>IF(B178="","",IF(OR(P178="Implementada",P178="Verificada",P178="Descartada"),"Cerrada",IF(R178="","Sin fecha",IF(R178&lt;0,"Vencida",IF(R178&lt;=15,"Por vencer","En plazo")))))</f>
        <v/>
      </c>
    </row>
    <row r="179">
      <c r="A179" s="22" t="n"/>
      <c r="B179" s="23" t="n"/>
      <c r="C179" s="23" t="n"/>
      <c r="D179" s="23" t="n"/>
      <c r="E179" s="23" t="n"/>
      <c r="F179" s="23" t="n"/>
      <c r="G179" s="24" t="n"/>
      <c r="H179" s="24" t="n"/>
      <c r="I179" s="23" t="n"/>
      <c r="J179" s="24" t="n"/>
      <c r="K179" s="24" t="n"/>
      <c r="L179" s="24" t="n"/>
      <c r="M179" s="23" t="n"/>
      <c r="N179" s="23" t="n"/>
      <c r="O179" s="25" t="n"/>
      <c r="P179" s="23" t="n"/>
      <c r="Q179" s="24" t="n"/>
      <c r="R179" s="26">
        <f>IF(OR(B179="",O179=""),"",IF(OR(P179="Implementada",P179="Verificada",P179="Descartada"),"",O179-$B$3))</f>
        <v/>
      </c>
      <c r="S179" s="27">
        <f>IF(B179="","",IF(OR(P179="Implementada",P179="Verificada",P179="Descartada"),"Cerrada",IF(R179="","Sin fecha",IF(R179&lt;0,"Vencida",IF(R179&lt;=15,"Por vencer","En plazo")))))</f>
        <v/>
      </c>
    </row>
    <row r="180">
      <c r="A180" s="22" t="n"/>
      <c r="B180" s="23" t="n"/>
      <c r="C180" s="23" t="n"/>
      <c r="D180" s="23" t="n"/>
      <c r="E180" s="23" t="n"/>
      <c r="F180" s="23" t="n"/>
      <c r="G180" s="24" t="n"/>
      <c r="H180" s="24" t="n"/>
      <c r="I180" s="23" t="n"/>
      <c r="J180" s="24" t="n"/>
      <c r="K180" s="24" t="n"/>
      <c r="L180" s="24" t="n"/>
      <c r="M180" s="23" t="n"/>
      <c r="N180" s="23" t="n"/>
      <c r="O180" s="25" t="n"/>
      <c r="P180" s="23" t="n"/>
      <c r="Q180" s="24" t="n"/>
      <c r="R180" s="26">
        <f>IF(OR(B180="",O180=""),"",IF(OR(P180="Implementada",P180="Verificada",P180="Descartada"),"",O180-$B$3))</f>
        <v/>
      </c>
      <c r="S180" s="27">
        <f>IF(B180="","",IF(OR(P180="Implementada",P180="Verificada",P180="Descartada"),"Cerrada",IF(R180="","Sin fecha",IF(R180&lt;0,"Vencida",IF(R180&lt;=15,"Por vencer","En plazo")))))</f>
        <v/>
      </c>
    </row>
    <row r="181">
      <c r="A181" s="22" t="n"/>
      <c r="B181" s="23" t="n"/>
      <c r="C181" s="23" t="n"/>
      <c r="D181" s="23" t="n"/>
      <c r="E181" s="23" t="n"/>
      <c r="F181" s="23" t="n"/>
      <c r="G181" s="24" t="n"/>
      <c r="H181" s="24" t="n"/>
      <c r="I181" s="23" t="n"/>
      <c r="J181" s="24" t="n"/>
      <c r="K181" s="24" t="n"/>
      <c r="L181" s="24" t="n"/>
      <c r="M181" s="23" t="n"/>
      <c r="N181" s="23" t="n"/>
      <c r="O181" s="25" t="n"/>
      <c r="P181" s="23" t="n"/>
      <c r="Q181" s="24" t="n"/>
      <c r="R181" s="26">
        <f>IF(OR(B181="",O181=""),"",IF(OR(P181="Implementada",P181="Verificada",P181="Descartada"),"",O181-$B$3))</f>
        <v/>
      </c>
      <c r="S181" s="27">
        <f>IF(B181="","",IF(OR(P181="Implementada",P181="Verificada",P181="Descartada"),"Cerrada",IF(R181="","Sin fecha",IF(R181&lt;0,"Vencida",IF(R181&lt;=15,"Por vencer","En plazo")))))</f>
        <v/>
      </c>
    </row>
    <row r="182">
      <c r="A182" s="22" t="n"/>
      <c r="B182" s="23" t="n"/>
      <c r="C182" s="23" t="n"/>
      <c r="D182" s="23" t="n"/>
      <c r="E182" s="23" t="n"/>
      <c r="F182" s="23" t="n"/>
      <c r="G182" s="24" t="n"/>
      <c r="H182" s="24" t="n"/>
      <c r="I182" s="23" t="n"/>
      <c r="J182" s="24" t="n"/>
      <c r="K182" s="24" t="n"/>
      <c r="L182" s="24" t="n"/>
      <c r="M182" s="23" t="n"/>
      <c r="N182" s="23" t="n"/>
      <c r="O182" s="25" t="n"/>
      <c r="P182" s="23" t="n"/>
      <c r="Q182" s="24" t="n"/>
      <c r="R182" s="26">
        <f>IF(OR(B182="",O182=""),"",IF(OR(P182="Implementada",P182="Verificada",P182="Descartada"),"",O182-$B$3))</f>
        <v/>
      </c>
      <c r="S182" s="27">
        <f>IF(B182="","",IF(OR(P182="Implementada",P182="Verificada",P182="Descartada"),"Cerrada",IF(R182="","Sin fecha",IF(R182&lt;0,"Vencida",IF(R182&lt;=15,"Por vencer","En plazo")))))</f>
        <v/>
      </c>
    </row>
    <row r="183">
      <c r="A183" s="22" t="n"/>
      <c r="B183" s="23" t="n"/>
      <c r="C183" s="23" t="n"/>
      <c r="D183" s="23" t="n"/>
      <c r="E183" s="23" t="n"/>
      <c r="F183" s="23" t="n"/>
      <c r="G183" s="24" t="n"/>
      <c r="H183" s="24" t="n"/>
      <c r="I183" s="23" t="n"/>
      <c r="J183" s="24" t="n"/>
      <c r="K183" s="24" t="n"/>
      <c r="L183" s="24" t="n"/>
      <c r="M183" s="23" t="n"/>
      <c r="N183" s="23" t="n"/>
      <c r="O183" s="25" t="n"/>
      <c r="P183" s="23" t="n"/>
      <c r="Q183" s="24" t="n"/>
      <c r="R183" s="26">
        <f>IF(OR(B183="",O183=""),"",IF(OR(P183="Implementada",P183="Verificada",P183="Descartada"),"",O183-$B$3))</f>
        <v/>
      </c>
      <c r="S183" s="27">
        <f>IF(B183="","",IF(OR(P183="Implementada",P183="Verificada",P183="Descartada"),"Cerrada",IF(R183="","Sin fecha",IF(R183&lt;0,"Vencida",IF(R183&lt;=15,"Por vencer","En plazo")))))</f>
        <v/>
      </c>
    </row>
    <row r="184">
      <c r="A184" s="22" t="n"/>
      <c r="B184" s="23" t="n"/>
      <c r="C184" s="23" t="n"/>
      <c r="D184" s="23" t="n"/>
      <c r="E184" s="23" t="n"/>
      <c r="F184" s="23" t="n"/>
      <c r="G184" s="24" t="n"/>
      <c r="H184" s="24" t="n"/>
      <c r="I184" s="23" t="n"/>
      <c r="J184" s="24" t="n"/>
      <c r="K184" s="24" t="n"/>
      <c r="L184" s="24" t="n"/>
      <c r="M184" s="23" t="n"/>
      <c r="N184" s="23" t="n"/>
      <c r="O184" s="25" t="n"/>
      <c r="P184" s="23" t="n"/>
      <c r="Q184" s="24" t="n"/>
      <c r="R184" s="26">
        <f>IF(OR(B184="",O184=""),"",IF(OR(P184="Implementada",P184="Verificada",P184="Descartada"),"",O184-$B$3))</f>
        <v/>
      </c>
      <c r="S184" s="27">
        <f>IF(B184="","",IF(OR(P184="Implementada",P184="Verificada",P184="Descartada"),"Cerrada",IF(R184="","Sin fecha",IF(R184&lt;0,"Vencida",IF(R184&lt;=15,"Por vencer","En plazo")))))</f>
        <v/>
      </c>
    </row>
    <row r="185">
      <c r="A185" s="22" t="n"/>
      <c r="B185" s="23" t="n"/>
      <c r="C185" s="23" t="n"/>
      <c r="D185" s="23" t="n"/>
      <c r="E185" s="23" t="n"/>
      <c r="F185" s="23" t="n"/>
      <c r="G185" s="24" t="n"/>
      <c r="H185" s="24" t="n"/>
      <c r="I185" s="23" t="n"/>
      <c r="J185" s="24" t="n"/>
      <c r="K185" s="24" t="n"/>
      <c r="L185" s="24" t="n"/>
      <c r="M185" s="23" t="n"/>
      <c r="N185" s="23" t="n"/>
      <c r="O185" s="25" t="n"/>
      <c r="P185" s="23" t="n"/>
      <c r="Q185" s="24" t="n"/>
      <c r="R185" s="26">
        <f>IF(OR(B185="",O185=""),"",IF(OR(P185="Implementada",P185="Verificada",P185="Descartada"),"",O185-$B$3))</f>
        <v/>
      </c>
      <c r="S185" s="27">
        <f>IF(B185="","",IF(OR(P185="Implementada",P185="Verificada",P185="Descartada"),"Cerrada",IF(R185="","Sin fecha",IF(R185&lt;0,"Vencida",IF(R185&lt;=15,"Por vencer","En plazo")))))</f>
        <v/>
      </c>
    </row>
    <row r="186">
      <c r="A186" s="22" t="n"/>
      <c r="B186" s="23" t="n"/>
      <c r="C186" s="23" t="n"/>
      <c r="D186" s="23" t="n"/>
      <c r="E186" s="23" t="n"/>
      <c r="F186" s="23" t="n"/>
      <c r="G186" s="24" t="n"/>
      <c r="H186" s="24" t="n"/>
      <c r="I186" s="23" t="n"/>
      <c r="J186" s="24" t="n"/>
      <c r="K186" s="24" t="n"/>
      <c r="L186" s="24" t="n"/>
      <c r="M186" s="23" t="n"/>
      <c r="N186" s="23" t="n"/>
      <c r="O186" s="25" t="n"/>
      <c r="P186" s="23" t="n"/>
      <c r="Q186" s="24" t="n"/>
      <c r="R186" s="26">
        <f>IF(OR(B186="",O186=""),"",IF(OR(P186="Implementada",P186="Verificada",P186="Descartada"),"",O186-$B$3))</f>
        <v/>
      </c>
      <c r="S186" s="27">
        <f>IF(B186="","",IF(OR(P186="Implementada",P186="Verificada",P186="Descartada"),"Cerrada",IF(R186="","Sin fecha",IF(R186&lt;0,"Vencida",IF(R186&lt;=15,"Por vencer","En plazo")))))</f>
        <v/>
      </c>
    </row>
    <row r="187">
      <c r="A187" s="22" t="n"/>
      <c r="B187" s="23" t="n"/>
      <c r="C187" s="23" t="n"/>
      <c r="D187" s="23" t="n"/>
      <c r="E187" s="23" t="n"/>
      <c r="F187" s="23" t="n"/>
      <c r="G187" s="24" t="n"/>
      <c r="H187" s="24" t="n"/>
      <c r="I187" s="23" t="n"/>
      <c r="J187" s="24" t="n"/>
      <c r="K187" s="24" t="n"/>
      <c r="L187" s="24" t="n"/>
      <c r="M187" s="23" t="n"/>
      <c r="N187" s="23" t="n"/>
      <c r="O187" s="25" t="n"/>
      <c r="P187" s="23" t="n"/>
      <c r="Q187" s="24" t="n"/>
      <c r="R187" s="26">
        <f>IF(OR(B187="",O187=""),"",IF(OR(P187="Implementada",P187="Verificada",P187="Descartada"),"",O187-$B$3))</f>
        <v/>
      </c>
      <c r="S187" s="27">
        <f>IF(B187="","",IF(OR(P187="Implementada",P187="Verificada",P187="Descartada"),"Cerrada",IF(R187="","Sin fecha",IF(R187&lt;0,"Vencida",IF(R187&lt;=15,"Por vencer","En plazo")))))</f>
        <v/>
      </c>
    </row>
    <row r="188">
      <c r="A188" s="22" t="n"/>
      <c r="B188" s="23" t="n"/>
      <c r="C188" s="23" t="n"/>
      <c r="D188" s="23" t="n"/>
      <c r="E188" s="23" t="n"/>
      <c r="F188" s="23" t="n"/>
      <c r="G188" s="24" t="n"/>
      <c r="H188" s="24" t="n"/>
      <c r="I188" s="23" t="n"/>
      <c r="J188" s="24" t="n"/>
      <c r="K188" s="24" t="n"/>
      <c r="L188" s="24" t="n"/>
      <c r="M188" s="23" t="n"/>
      <c r="N188" s="23" t="n"/>
      <c r="O188" s="25" t="n"/>
      <c r="P188" s="23" t="n"/>
      <c r="Q188" s="24" t="n"/>
      <c r="R188" s="26">
        <f>IF(OR(B188="",O188=""),"",IF(OR(P188="Implementada",P188="Verificada",P188="Descartada"),"",O188-$B$3))</f>
        <v/>
      </c>
      <c r="S188" s="27">
        <f>IF(B188="","",IF(OR(P188="Implementada",P188="Verificada",P188="Descartada"),"Cerrada",IF(R188="","Sin fecha",IF(R188&lt;0,"Vencida",IF(R188&lt;=15,"Por vencer","En plazo")))))</f>
        <v/>
      </c>
    </row>
    <row r="189">
      <c r="A189" s="22" t="n"/>
      <c r="B189" s="23" t="n"/>
      <c r="C189" s="23" t="n"/>
      <c r="D189" s="23" t="n"/>
      <c r="E189" s="23" t="n"/>
      <c r="F189" s="23" t="n"/>
      <c r="G189" s="24" t="n"/>
      <c r="H189" s="24" t="n"/>
      <c r="I189" s="23" t="n"/>
      <c r="J189" s="24" t="n"/>
      <c r="K189" s="24" t="n"/>
      <c r="L189" s="24" t="n"/>
      <c r="M189" s="23" t="n"/>
      <c r="N189" s="23" t="n"/>
      <c r="O189" s="25" t="n"/>
      <c r="P189" s="23" t="n"/>
      <c r="Q189" s="24" t="n"/>
      <c r="R189" s="26">
        <f>IF(OR(B189="",O189=""),"",IF(OR(P189="Implementada",P189="Verificada",P189="Descartada"),"",O189-$B$3))</f>
        <v/>
      </c>
      <c r="S189" s="27">
        <f>IF(B189="","",IF(OR(P189="Implementada",P189="Verificada",P189="Descartada"),"Cerrada",IF(R189="","Sin fecha",IF(R189&lt;0,"Vencida",IF(R189&lt;=15,"Por vencer","En plazo")))))</f>
        <v/>
      </c>
    </row>
    <row r="190">
      <c r="A190" s="22" t="n"/>
      <c r="B190" s="23" t="n"/>
      <c r="C190" s="23" t="n"/>
      <c r="D190" s="23" t="n"/>
      <c r="E190" s="23" t="n"/>
      <c r="F190" s="23" t="n"/>
      <c r="G190" s="24" t="n"/>
      <c r="H190" s="24" t="n"/>
      <c r="I190" s="23" t="n"/>
      <c r="J190" s="24" t="n"/>
      <c r="K190" s="24" t="n"/>
      <c r="L190" s="24" t="n"/>
      <c r="M190" s="23" t="n"/>
      <c r="N190" s="23" t="n"/>
      <c r="O190" s="25" t="n"/>
      <c r="P190" s="23" t="n"/>
      <c r="Q190" s="24" t="n"/>
      <c r="R190" s="26">
        <f>IF(OR(B190="",O190=""),"",IF(OR(P190="Implementada",P190="Verificada",P190="Descartada"),"",O190-$B$3))</f>
        <v/>
      </c>
      <c r="S190" s="27">
        <f>IF(B190="","",IF(OR(P190="Implementada",P190="Verificada",P190="Descartada"),"Cerrada",IF(R190="","Sin fecha",IF(R190&lt;0,"Vencida",IF(R190&lt;=15,"Por vencer","En plazo")))))</f>
        <v/>
      </c>
    </row>
    <row r="191">
      <c r="A191" s="22" t="n"/>
      <c r="B191" s="23" t="n"/>
      <c r="C191" s="23" t="n"/>
      <c r="D191" s="23" t="n"/>
      <c r="E191" s="23" t="n"/>
      <c r="F191" s="23" t="n"/>
      <c r="G191" s="24" t="n"/>
      <c r="H191" s="24" t="n"/>
      <c r="I191" s="23" t="n"/>
      <c r="J191" s="24" t="n"/>
      <c r="K191" s="24" t="n"/>
      <c r="L191" s="24" t="n"/>
      <c r="M191" s="23" t="n"/>
      <c r="N191" s="23" t="n"/>
      <c r="O191" s="25" t="n"/>
      <c r="P191" s="23" t="n"/>
      <c r="Q191" s="24" t="n"/>
      <c r="R191" s="26">
        <f>IF(OR(B191="",O191=""),"",IF(OR(P191="Implementada",P191="Verificada",P191="Descartada"),"",O191-$B$3))</f>
        <v/>
      </c>
      <c r="S191" s="27">
        <f>IF(B191="","",IF(OR(P191="Implementada",P191="Verificada",P191="Descartada"),"Cerrada",IF(R191="","Sin fecha",IF(R191&lt;0,"Vencida",IF(R191&lt;=15,"Por vencer","En plazo")))))</f>
        <v/>
      </c>
    </row>
    <row r="192">
      <c r="A192" s="22" t="n"/>
      <c r="B192" s="23" t="n"/>
      <c r="C192" s="23" t="n"/>
      <c r="D192" s="23" t="n"/>
      <c r="E192" s="23" t="n"/>
      <c r="F192" s="23" t="n"/>
      <c r="G192" s="24" t="n"/>
      <c r="H192" s="24" t="n"/>
      <c r="I192" s="23" t="n"/>
      <c r="J192" s="24" t="n"/>
      <c r="K192" s="24" t="n"/>
      <c r="L192" s="24" t="n"/>
      <c r="M192" s="23" t="n"/>
      <c r="N192" s="23" t="n"/>
      <c r="O192" s="25" t="n"/>
      <c r="P192" s="23" t="n"/>
      <c r="Q192" s="24" t="n"/>
      <c r="R192" s="26">
        <f>IF(OR(B192="",O192=""),"",IF(OR(P192="Implementada",P192="Verificada",P192="Descartada"),"",O192-$B$3))</f>
        <v/>
      </c>
      <c r="S192" s="27">
        <f>IF(B192="","",IF(OR(P192="Implementada",P192="Verificada",P192="Descartada"),"Cerrada",IF(R192="","Sin fecha",IF(R192&lt;0,"Vencida",IF(R192&lt;=15,"Por vencer","En plazo")))))</f>
        <v/>
      </c>
    </row>
    <row r="193">
      <c r="A193" s="22" t="n"/>
      <c r="B193" s="23" t="n"/>
      <c r="C193" s="23" t="n"/>
      <c r="D193" s="23" t="n"/>
      <c r="E193" s="23" t="n"/>
      <c r="F193" s="23" t="n"/>
      <c r="G193" s="24" t="n"/>
      <c r="H193" s="24" t="n"/>
      <c r="I193" s="23" t="n"/>
      <c r="J193" s="24" t="n"/>
      <c r="K193" s="24" t="n"/>
      <c r="L193" s="24" t="n"/>
      <c r="M193" s="23" t="n"/>
      <c r="N193" s="23" t="n"/>
      <c r="O193" s="25" t="n"/>
      <c r="P193" s="23" t="n"/>
      <c r="Q193" s="24" t="n"/>
      <c r="R193" s="26">
        <f>IF(OR(B193="",O193=""),"",IF(OR(P193="Implementada",P193="Verificada",P193="Descartada"),"",O193-$B$3))</f>
        <v/>
      </c>
      <c r="S193" s="27">
        <f>IF(B193="","",IF(OR(P193="Implementada",P193="Verificada",P193="Descartada"),"Cerrada",IF(R193="","Sin fecha",IF(R193&lt;0,"Vencida",IF(R193&lt;=15,"Por vencer","En plazo")))))</f>
        <v/>
      </c>
    </row>
    <row r="194">
      <c r="A194" s="22" t="n"/>
      <c r="B194" s="23" t="n"/>
      <c r="C194" s="23" t="n"/>
      <c r="D194" s="23" t="n"/>
      <c r="E194" s="23" t="n"/>
      <c r="F194" s="23" t="n"/>
      <c r="G194" s="24" t="n"/>
      <c r="H194" s="24" t="n"/>
      <c r="I194" s="23" t="n"/>
      <c r="J194" s="24" t="n"/>
      <c r="K194" s="24" t="n"/>
      <c r="L194" s="24" t="n"/>
      <c r="M194" s="23" t="n"/>
      <c r="N194" s="23" t="n"/>
      <c r="O194" s="25" t="n"/>
      <c r="P194" s="23" t="n"/>
      <c r="Q194" s="24" t="n"/>
      <c r="R194" s="26">
        <f>IF(OR(B194="",O194=""),"",IF(OR(P194="Implementada",P194="Verificada",P194="Descartada"),"",O194-$B$3))</f>
        <v/>
      </c>
      <c r="S194" s="27">
        <f>IF(B194="","",IF(OR(P194="Implementada",P194="Verificada",P194="Descartada"),"Cerrada",IF(R194="","Sin fecha",IF(R194&lt;0,"Vencida",IF(R194&lt;=15,"Por vencer","En plazo")))))</f>
        <v/>
      </c>
    </row>
    <row r="195">
      <c r="A195" s="22" t="n"/>
      <c r="B195" s="23" t="n"/>
      <c r="C195" s="23" t="n"/>
      <c r="D195" s="23" t="n"/>
      <c r="E195" s="23" t="n"/>
      <c r="F195" s="23" t="n"/>
      <c r="G195" s="24" t="n"/>
      <c r="H195" s="24" t="n"/>
      <c r="I195" s="23" t="n"/>
      <c r="J195" s="24" t="n"/>
      <c r="K195" s="24" t="n"/>
      <c r="L195" s="24" t="n"/>
      <c r="M195" s="23" t="n"/>
      <c r="N195" s="23" t="n"/>
      <c r="O195" s="25" t="n"/>
      <c r="P195" s="23" t="n"/>
      <c r="Q195" s="24" t="n"/>
      <c r="R195" s="26">
        <f>IF(OR(B195="",O195=""),"",IF(OR(P195="Implementada",P195="Verificada",P195="Descartada"),"",O195-$B$3))</f>
        <v/>
      </c>
      <c r="S195" s="27">
        <f>IF(B195="","",IF(OR(P195="Implementada",P195="Verificada",P195="Descartada"),"Cerrada",IF(R195="","Sin fecha",IF(R195&lt;0,"Vencida",IF(R195&lt;=15,"Por vencer","En plazo")))))</f>
        <v/>
      </c>
    </row>
    <row r="196">
      <c r="A196" s="22" t="n"/>
      <c r="B196" s="23" t="n"/>
      <c r="C196" s="23" t="n"/>
      <c r="D196" s="23" t="n"/>
      <c r="E196" s="23" t="n"/>
      <c r="F196" s="23" t="n"/>
      <c r="G196" s="24" t="n"/>
      <c r="H196" s="24" t="n"/>
      <c r="I196" s="23" t="n"/>
      <c r="J196" s="24" t="n"/>
      <c r="K196" s="24" t="n"/>
      <c r="L196" s="24" t="n"/>
      <c r="M196" s="23" t="n"/>
      <c r="N196" s="23" t="n"/>
      <c r="O196" s="25" t="n"/>
      <c r="P196" s="23" t="n"/>
      <c r="Q196" s="24" t="n"/>
      <c r="R196" s="26">
        <f>IF(OR(B196="",O196=""),"",IF(OR(P196="Implementada",P196="Verificada",P196="Descartada"),"",O196-$B$3))</f>
        <v/>
      </c>
      <c r="S196" s="27">
        <f>IF(B196="","",IF(OR(P196="Implementada",P196="Verificada",P196="Descartada"),"Cerrada",IF(R196="","Sin fecha",IF(R196&lt;0,"Vencida",IF(R196&lt;=15,"Por vencer","En plazo")))))</f>
        <v/>
      </c>
    </row>
    <row r="197">
      <c r="A197" s="22" t="n"/>
      <c r="B197" s="23" t="n"/>
      <c r="C197" s="23" t="n"/>
      <c r="D197" s="23" t="n"/>
      <c r="E197" s="23" t="n"/>
      <c r="F197" s="23" t="n"/>
      <c r="G197" s="24" t="n"/>
      <c r="H197" s="24" t="n"/>
      <c r="I197" s="23" t="n"/>
      <c r="J197" s="24" t="n"/>
      <c r="K197" s="24" t="n"/>
      <c r="L197" s="24" t="n"/>
      <c r="M197" s="23" t="n"/>
      <c r="N197" s="23" t="n"/>
      <c r="O197" s="25" t="n"/>
      <c r="P197" s="23" t="n"/>
      <c r="Q197" s="24" t="n"/>
      <c r="R197" s="26">
        <f>IF(OR(B197="",O197=""),"",IF(OR(P197="Implementada",P197="Verificada",P197="Descartada"),"",O197-$B$3))</f>
        <v/>
      </c>
      <c r="S197" s="27">
        <f>IF(B197="","",IF(OR(P197="Implementada",P197="Verificada",P197="Descartada"),"Cerrada",IF(R197="","Sin fecha",IF(R197&lt;0,"Vencida",IF(R197&lt;=15,"Por vencer","En plazo")))))</f>
        <v/>
      </c>
    </row>
    <row r="198">
      <c r="A198" s="22" t="n"/>
      <c r="B198" s="23" t="n"/>
      <c r="C198" s="23" t="n"/>
      <c r="D198" s="23" t="n"/>
      <c r="E198" s="23" t="n"/>
      <c r="F198" s="23" t="n"/>
      <c r="G198" s="24" t="n"/>
      <c r="H198" s="24" t="n"/>
      <c r="I198" s="23" t="n"/>
      <c r="J198" s="24" t="n"/>
      <c r="K198" s="24" t="n"/>
      <c r="L198" s="24" t="n"/>
      <c r="M198" s="23" t="n"/>
      <c r="N198" s="23" t="n"/>
      <c r="O198" s="25" t="n"/>
      <c r="P198" s="23" t="n"/>
      <c r="Q198" s="24" t="n"/>
      <c r="R198" s="26">
        <f>IF(OR(B198="",O198=""),"",IF(OR(P198="Implementada",P198="Verificada",P198="Descartada"),"",O198-$B$3))</f>
        <v/>
      </c>
      <c r="S198" s="27">
        <f>IF(B198="","",IF(OR(P198="Implementada",P198="Verificada",P198="Descartada"),"Cerrada",IF(R198="","Sin fecha",IF(R198&lt;0,"Vencida",IF(R198&lt;=15,"Por vencer","En plazo")))))</f>
        <v/>
      </c>
    </row>
    <row r="199">
      <c r="A199" s="22" t="n"/>
      <c r="B199" s="23" t="n"/>
      <c r="C199" s="23" t="n"/>
      <c r="D199" s="23" t="n"/>
      <c r="E199" s="23" t="n"/>
      <c r="F199" s="23" t="n"/>
      <c r="G199" s="24" t="n"/>
      <c r="H199" s="24" t="n"/>
      <c r="I199" s="23" t="n"/>
      <c r="J199" s="24" t="n"/>
      <c r="K199" s="24" t="n"/>
      <c r="L199" s="24" t="n"/>
      <c r="M199" s="23" t="n"/>
      <c r="N199" s="23" t="n"/>
      <c r="O199" s="25" t="n"/>
      <c r="P199" s="23" t="n"/>
      <c r="Q199" s="24" t="n"/>
      <c r="R199" s="26">
        <f>IF(OR(B199="",O199=""),"",IF(OR(P199="Implementada",P199="Verificada",P199="Descartada"),"",O199-$B$3))</f>
        <v/>
      </c>
      <c r="S199" s="27">
        <f>IF(B199="","",IF(OR(P199="Implementada",P199="Verificada",P199="Descartada"),"Cerrada",IF(R199="","Sin fecha",IF(R199&lt;0,"Vencida",IF(R199&lt;=15,"Por vencer","En plazo")))))</f>
        <v/>
      </c>
    </row>
    <row r="200">
      <c r="A200" s="22" t="n"/>
      <c r="B200" s="23" t="n"/>
      <c r="C200" s="23" t="n"/>
      <c r="D200" s="23" t="n"/>
      <c r="E200" s="23" t="n"/>
      <c r="F200" s="23" t="n"/>
      <c r="G200" s="24" t="n"/>
      <c r="H200" s="24" t="n"/>
      <c r="I200" s="23" t="n"/>
      <c r="J200" s="24" t="n"/>
      <c r="K200" s="24" t="n"/>
      <c r="L200" s="24" t="n"/>
      <c r="M200" s="23" t="n"/>
      <c r="N200" s="23" t="n"/>
      <c r="O200" s="25" t="n"/>
      <c r="P200" s="23" t="n"/>
      <c r="Q200" s="24" t="n"/>
      <c r="R200" s="26">
        <f>IF(OR(B200="",O200=""),"",IF(OR(P200="Implementada",P200="Verificada",P200="Descartada"),"",O200-$B$3))</f>
        <v/>
      </c>
      <c r="S200" s="27">
        <f>IF(B200="","",IF(OR(P200="Implementada",P200="Verificada",P200="Descartada"),"Cerrada",IF(R200="","Sin fecha",IF(R200&lt;0,"Vencida",IF(R200&lt;=15,"Por vencer","En plazo")))))</f>
        <v/>
      </c>
    </row>
    <row r="201">
      <c r="A201" s="22" t="n"/>
      <c r="B201" s="23" t="n"/>
      <c r="C201" s="23" t="n"/>
      <c r="D201" s="23" t="n"/>
      <c r="E201" s="23" t="n"/>
      <c r="F201" s="23" t="n"/>
      <c r="G201" s="24" t="n"/>
      <c r="H201" s="24" t="n"/>
      <c r="I201" s="23" t="n"/>
      <c r="J201" s="24" t="n"/>
      <c r="K201" s="24" t="n"/>
      <c r="L201" s="24" t="n"/>
      <c r="M201" s="23" t="n"/>
      <c r="N201" s="23" t="n"/>
      <c r="O201" s="25" t="n"/>
      <c r="P201" s="23" t="n"/>
      <c r="Q201" s="24" t="n"/>
      <c r="R201" s="26">
        <f>IF(OR(B201="",O201=""),"",IF(OR(P201="Implementada",P201="Verificada",P201="Descartada"),"",O201-$B$3))</f>
        <v/>
      </c>
      <c r="S201" s="27">
        <f>IF(B201="","",IF(OR(P201="Implementada",P201="Verificada",P201="Descartada"),"Cerrada",IF(R201="","Sin fecha",IF(R201&lt;0,"Vencida",IF(R201&lt;=15,"Por vencer","En plazo")))))</f>
        <v/>
      </c>
    </row>
    <row r="202">
      <c r="A202" s="22" t="n"/>
      <c r="B202" s="23" t="n"/>
      <c r="C202" s="23" t="n"/>
      <c r="D202" s="23" t="n"/>
      <c r="E202" s="23" t="n"/>
      <c r="F202" s="23" t="n"/>
      <c r="G202" s="24" t="n"/>
      <c r="H202" s="24" t="n"/>
      <c r="I202" s="23" t="n"/>
      <c r="J202" s="24" t="n"/>
      <c r="K202" s="24" t="n"/>
      <c r="L202" s="24" t="n"/>
      <c r="M202" s="23" t="n"/>
      <c r="N202" s="23" t="n"/>
      <c r="O202" s="25" t="n"/>
      <c r="P202" s="23" t="n"/>
      <c r="Q202" s="24" t="n"/>
      <c r="R202" s="26">
        <f>IF(OR(B202="",O202=""),"",IF(OR(P202="Implementada",P202="Verificada",P202="Descartada"),"",O202-$B$3))</f>
        <v/>
      </c>
      <c r="S202" s="27">
        <f>IF(B202="","",IF(OR(P202="Implementada",P202="Verificada",P202="Descartada"),"Cerrada",IF(R202="","Sin fecha",IF(R202&lt;0,"Vencida",IF(R202&lt;=15,"Por vencer","En plazo")))))</f>
        <v/>
      </c>
    </row>
    <row r="203">
      <c r="A203" s="22" t="n"/>
      <c r="B203" s="23" t="n"/>
      <c r="C203" s="23" t="n"/>
      <c r="D203" s="23" t="n"/>
      <c r="E203" s="23" t="n"/>
      <c r="F203" s="23" t="n"/>
      <c r="G203" s="24" t="n"/>
      <c r="H203" s="24" t="n"/>
      <c r="I203" s="23" t="n"/>
      <c r="J203" s="24" t="n"/>
      <c r="K203" s="24" t="n"/>
      <c r="L203" s="24" t="n"/>
      <c r="M203" s="23" t="n"/>
      <c r="N203" s="23" t="n"/>
      <c r="O203" s="25" t="n"/>
      <c r="P203" s="23" t="n"/>
      <c r="Q203" s="24" t="n"/>
      <c r="R203" s="26">
        <f>IF(OR(B203="",O203=""),"",IF(OR(P203="Implementada",P203="Verificada",P203="Descartada"),"",O203-$B$3))</f>
        <v/>
      </c>
      <c r="S203" s="27">
        <f>IF(B203="","",IF(OR(P203="Implementada",P203="Verificada",P203="Descartada"),"Cerrada",IF(R203="","Sin fecha",IF(R203&lt;0,"Vencida",IF(R203&lt;=15,"Por vencer","En plazo")))))</f>
        <v/>
      </c>
    </row>
    <row r="204">
      <c r="A204" s="22" t="n"/>
      <c r="B204" s="23" t="n"/>
      <c r="C204" s="23" t="n"/>
      <c r="D204" s="23" t="n"/>
      <c r="E204" s="23" t="n"/>
      <c r="F204" s="23" t="n"/>
      <c r="G204" s="24" t="n"/>
      <c r="H204" s="24" t="n"/>
      <c r="I204" s="23" t="n"/>
      <c r="J204" s="24" t="n"/>
      <c r="K204" s="24" t="n"/>
      <c r="L204" s="24" t="n"/>
      <c r="M204" s="23" t="n"/>
      <c r="N204" s="23" t="n"/>
      <c r="O204" s="25" t="n"/>
      <c r="P204" s="23" t="n"/>
      <c r="Q204" s="24" t="n"/>
      <c r="R204" s="26">
        <f>IF(OR(B204="",O204=""),"",IF(OR(P204="Implementada",P204="Verificada",P204="Descartada"),"",O204-$B$3))</f>
        <v/>
      </c>
      <c r="S204" s="27">
        <f>IF(B204="","",IF(OR(P204="Implementada",P204="Verificada",P204="Descartada"),"Cerrada",IF(R204="","Sin fecha",IF(R204&lt;0,"Vencida",IF(R204&lt;=15,"Por vencer","En plazo")))))</f>
        <v/>
      </c>
    </row>
    <row r="205">
      <c r="A205" s="22" t="n"/>
      <c r="B205" s="23" t="n"/>
      <c r="C205" s="23" t="n"/>
      <c r="D205" s="23" t="n"/>
      <c r="E205" s="23" t="n"/>
      <c r="F205" s="23" t="n"/>
      <c r="G205" s="24" t="n"/>
      <c r="H205" s="24" t="n"/>
      <c r="I205" s="23" t="n"/>
      <c r="J205" s="24" t="n"/>
      <c r="K205" s="24" t="n"/>
      <c r="L205" s="24" t="n"/>
      <c r="M205" s="23" t="n"/>
      <c r="N205" s="23" t="n"/>
      <c r="O205" s="25" t="n"/>
      <c r="P205" s="23" t="n"/>
      <c r="Q205" s="24" t="n"/>
      <c r="R205" s="26">
        <f>IF(OR(B205="",O205=""),"",IF(OR(P205="Implementada",P205="Verificada",P205="Descartada"),"",O205-$B$3))</f>
        <v/>
      </c>
      <c r="S205" s="27">
        <f>IF(B205="","",IF(OR(P205="Implementada",P205="Verificada",P205="Descartada"),"Cerrada",IF(R205="","Sin fecha",IF(R205&lt;0,"Vencida",IF(R205&lt;=15,"Por vencer","En plazo")))))</f>
        <v/>
      </c>
    </row>
    <row r="206">
      <c r="A206" s="22" t="n"/>
      <c r="B206" s="23" t="n"/>
      <c r="C206" s="23" t="n"/>
      <c r="D206" s="23" t="n"/>
      <c r="E206" s="23" t="n"/>
      <c r="F206" s="23" t="n"/>
      <c r="G206" s="24" t="n"/>
      <c r="H206" s="24" t="n"/>
      <c r="I206" s="23" t="n"/>
      <c r="J206" s="24" t="n"/>
      <c r="K206" s="24" t="n"/>
      <c r="L206" s="24" t="n"/>
      <c r="M206" s="23" t="n"/>
      <c r="N206" s="23" t="n"/>
      <c r="O206" s="25" t="n"/>
      <c r="P206" s="23" t="n"/>
      <c r="Q206" s="24" t="n"/>
      <c r="R206" s="26">
        <f>IF(OR(B206="",O206=""),"",IF(OR(P206="Implementada",P206="Verificada",P206="Descartada"),"",O206-$B$3))</f>
        <v/>
      </c>
      <c r="S206" s="27">
        <f>IF(B206="","",IF(OR(P206="Implementada",P206="Verificada",P206="Descartada"),"Cerrada",IF(R206="","Sin fecha",IF(R206&lt;0,"Vencida",IF(R206&lt;=15,"Por vencer","En plazo")))))</f>
        <v/>
      </c>
    </row>
    <row r="207">
      <c r="A207" s="22" t="n"/>
      <c r="B207" s="23" t="n"/>
      <c r="C207" s="23" t="n"/>
      <c r="D207" s="23" t="n"/>
      <c r="E207" s="23" t="n"/>
      <c r="F207" s="23" t="n"/>
      <c r="G207" s="24" t="n"/>
      <c r="H207" s="24" t="n"/>
      <c r="I207" s="23" t="n"/>
      <c r="J207" s="24" t="n"/>
      <c r="K207" s="24" t="n"/>
      <c r="L207" s="24" t="n"/>
      <c r="M207" s="23" t="n"/>
      <c r="N207" s="23" t="n"/>
      <c r="O207" s="25" t="n"/>
      <c r="P207" s="23" t="n"/>
      <c r="Q207" s="24" t="n"/>
      <c r="R207" s="26">
        <f>IF(OR(B207="",O207=""),"",IF(OR(P207="Implementada",P207="Verificada",P207="Descartada"),"",O207-$B$3))</f>
        <v/>
      </c>
      <c r="S207" s="27">
        <f>IF(B207="","",IF(OR(P207="Implementada",P207="Verificada",P207="Descartada"),"Cerrada",IF(R207="","Sin fecha",IF(R207&lt;0,"Vencida",IF(R207&lt;=15,"Por vencer","En plazo")))))</f>
        <v/>
      </c>
    </row>
    <row r="208">
      <c r="A208" s="22" t="n"/>
      <c r="B208" s="23" t="n"/>
      <c r="C208" s="23" t="n"/>
      <c r="D208" s="23" t="n"/>
      <c r="E208" s="23" t="n"/>
      <c r="F208" s="23" t="n"/>
      <c r="G208" s="24" t="n"/>
      <c r="H208" s="24" t="n"/>
      <c r="I208" s="23" t="n"/>
      <c r="J208" s="24" t="n"/>
      <c r="K208" s="24" t="n"/>
      <c r="L208" s="24" t="n"/>
      <c r="M208" s="23" t="n"/>
      <c r="N208" s="23" t="n"/>
      <c r="O208" s="25" t="n"/>
      <c r="P208" s="23" t="n"/>
      <c r="Q208" s="24" t="n"/>
      <c r="R208" s="26">
        <f>IF(OR(B208="",O208=""),"",IF(OR(P208="Implementada",P208="Verificada",P208="Descartada"),"",O208-$B$3))</f>
        <v/>
      </c>
      <c r="S208" s="27">
        <f>IF(B208="","",IF(OR(P208="Implementada",P208="Verificada",P208="Descartada"),"Cerrada",IF(R208="","Sin fecha",IF(R208&lt;0,"Vencida",IF(R208&lt;=15,"Por vencer","En plazo")))))</f>
        <v/>
      </c>
    </row>
    <row r="209">
      <c r="A209" s="22" t="n"/>
      <c r="B209" s="23" t="n"/>
      <c r="C209" s="23" t="n"/>
      <c r="D209" s="23" t="n"/>
      <c r="E209" s="23" t="n"/>
      <c r="F209" s="23" t="n"/>
      <c r="G209" s="24" t="n"/>
      <c r="H209" s="24" t="n"/>
      <c r="I209" s="23" t="n"/>
      <c r="J209" s="24" t="n"/>
      <c r="K209" s="24" t="n"/>
      <c r="L209" s="24" t="n"/>
      <c r="M209" s="23" t="n"/>
      <c r="N209" s="23" t="n"/>
      <c r="O209" s="25" t="n"/>
      <c r="P209" s="23" t="n"/>
      <c r="Q209" s="24" t="n"/>
      <c r="R209" s="26">
        <f>IF(OR(B209="",O209=""),"",IF(OR(P209="Implementada",P209="Verificada",P209="Descartada"),"",O209-$B$3))</f>
        <v/>
      </c>
      <c r="S209" s="27">
        <f>IF(B209="","",IF(OR(P209="Implementada",P209="Verificada",P209="Descartada"),"Cerrada",IF(R209="","Sin fecha",IF(R209&lt;0,"Vencida",IF(R209&lt;=15,"Por vencer","En plazo")))))</f>
        <v/>
      </c>
    </row>
    <row r="210">
      <c r="A210" s="22" t="n"/>
      <c r="B210" s="23" t="n"/>
      <c r="C210" s="23" t="n"/>
      <c r="D210" s="23" t="n"/>
      <c r="E210" s="23" t="n"/>
      <c r="F210" s="23" t="n"/>
      <c r="G210" s="24" t="n"/>
      <c r="H210" s="24" t="n"/>
      <c r="I210" s="23" t="n"/>
      <c r="J210" s="24" t="n"/>
      <c r="K210" s="24" t="n"/>
      <c r="L210" s="24" t="n"/>
      <c r="M210" s="23" t="n"/>
      <c r="N210" s="23" t="n"/>
      <c r="O210" s="25" t="n"/>
      <c r="P210" s="23" t="n"/>
      <c r="Q210" s="24" t="n"/>
      <c r="R210" s="26">
        <f>IF(OR(B210="",O210=""),"",IF(OR(P210="Implementada",P210="Verificada",P210="Descartada"),"",O210-$B$3))</f>
        <v/>
      </c>
      <c r="S210" s="27">
        <f>IF(B210="","",IF(OR(P210="Implementada",P210="Verificada",P210="Descartada"),"Cerrada",IF(R210="","Sin fecha",IF(R210&lt;0,"Vencida",IF(R210&lt;=15,"Por vencer","En plazo")))))</f>
        <v/>
      </c>
    </row>
    <row r="211">
      <c r="A211" s="22" t="n"/>
      <c r="B211" s="23" t="n"/>
      <c r="C211" s="23" t="n"/>
      <c r="D211" s="23" t="n"/>
      <c r="E211" s="23" t="n"/>
      <c r="F211" s="23" t="n"/>
      <c r="G211" s="24" t="n"/>
      <c r="H211" s="24" t="n"/>
      <c r="I211" s="23" t="n"/>
      <c r="J211" s="24" t="n"/>
      <c r="K211" s="24" t="n"/>
      <c r="L211" s="24" t="n"/>
      <c r="M211" s="23" t="n"/>
      <c r="N211" s="23" t="n"/>
      <c r="O211" s="25" t="n"/>
      <c r="P211" s="23" t="n"/>
      <c r="Q211" s="24" t="n"/>
      <c r="R211" s="26">
        <f>IF(OR(B211="",O211=""),"",IF(OR(P211="Implementada",P211="Verificada",P211="Descartada"),"",O211-$B$3))</f>
        <v/>
      </c>
      <c r="S211" s="27">
        <f>IF(B211="","",IF(OR(P211="Implementada",P211="Verificada",P211="Descartada"),"Cerrada",IF(R211="","Sin fecha",IF(R211&lt;0,"Vencida",IF(R211&lt;=15,"Por vencer","En plazo")))))</f>
        <v/>
      </c>
    </row>
    <row r="212">
      <c r="A212" s="22" t="n"/>
      <c r="B212" s="23" t="n"/>
      <c r="C212" s="23" t="n"/>
      <c r="D212" s="23" t="n"/>
      <c r="E212" s="23" t="n"/>
      <c r="F212" s="23" t="n"/>
      <c r="G212" s="24" t="n"/>
      <c r="H212" s="24" t="n"/>
      <c r="I212" s="23" t="n"/>
      <c r="J212" s="24" t="n"/>
      <c r="K212" s="24" t="n"/>
      <c r="L212" s="24" t="n"/>
      <c r="M212" s="23" t="n"/>
      <c r="N212" s="23" t="n"/>
      <c r="O212" s="25" t="n"/>
      <c r="P212" s="23" t="n"/>
      <c r="Q212" s="24" t="n"/>
      <c r="R212" s="26">
        <f>IF(OR(B212="",O212=""),"",IF(OR(P212="Implementada",P212="Verificada",P212="Descartada"),"",O212-$B$3))</f>
        <v/>
      </c>
      <c r="S212" s="27">
        <f>IF(B212="","",IF(OR(P212="Implementada",P212="Verificada",P212="Descartada"),"Cerrada",IF(R212="","Sin fecha",IF(R212&lt;0,"Vencida",IF(R212&lt;=15,"Por vencer","En plazo")))))</f>
        <v/>
      </c>
    </row>
    <row r="213">
      <c r="A213" s="22" t="n"/>
      <c r="B213" s="23" t="n"/>
      <c r="C213" s="23" t="n"/>
      <c r="D213" s="23" t="n"/>
      <c r="E213" s="23" t="n"/>
      <c r="F213" s="23" t="n"/>
      <c r="G213" s="24" t="n"/>
      <c r="H213" s="24" t="n"/>
      <c r="I213" s="23" t="n"/>
      <c r="J213" s="24" t="n"/>
      <c r="K213" s="24" t="n"/>
      <c r="L213" s="24" t="n"/>
      <c r="M213" s="23" t="n"/>
      <c r="N213" s="23" t="n"/>
      <c r="O213" s="25" t="n"/>
      <c r="P213" s="23" t="n"/>
      <c r="Q213" s="24" t="n"/>
      <c r="R213" s="26">
        <f>IF(OR(B213="",O213=""),"",IF(OR(P213="Implementada",P213="Verificada",P213="Descartada"),"",O213-$B$3))</f>
        <v/>
      </c>
      <c r="S213" s="27">
        <f>IF(B213="","",IF(OR(P213="Implementada",P213="Verificada",P213="Descartada"),"Cerrada",IF(R213="","Sin fecha",IF(R213&lt;0,"Vencida",IF(R213&lt;=15,"Por vencer","En plazo")))))</f>
        <v/>
      </c>
    </row>
    <row r="214">
      <c r="A214" s="22" t="n"/>
      <c r="B214" s="23" t="n"/>
      <c r="C214" s="23" t="n"/>
      <c r="D214" s="23" t="n"/>
      <c r="E214" s="23" t="n"/>
      <c r="F214" s="23" t="n"/>
      <c r="G214" s="24" t="n"/>
      <c r="H214" s="24" t="n"/>
      <c r="I214" s="23" t="n"/>
      <c r="J214" s="24" t="n"/>
      <c r="K214" s="24" t="n"/>
      <c r="L214" s="24" t="n"/>
      <c r="M214" s="23" t="n"/>
      <c r="N214" s="23" t="n"/>
      <c r="O214" s="25" t="n"/>
      <c r="P214" s="23" t="n"/>
      <c r="Q214" s="24" t="n"/>
      <c r="R214" s="26">
        <f>IF(OR(B214="",O214=""),"",IF(OR(P214="Implementada",P214="Verificada",P214="Descartada"),"",O214-$B$3))</f>
        <v/>
      </c>
      <c r="S214" s="27">
        <f>IF(B214="","",IF(OR(P214="Implementada",P214="Verificada",P214="Descartada"),"Cerrada",IF(R214="","Sin fecha",IF(R214&lt;0,"Vencida",IF(R214&lt;=15,"Por vencer","En plazo")))))</f>
        <v/>
      </c>
    </row>
    <row r="215">
      <c r="A215" s="22" t="n"/>
      <c r="B215" s="23" t="n"/>
      <c r="C215" s="23" t="n"/>
      <c r="D215" s="23" t="n"/>
      <c r="E215" s="23" t="n"/>
      <c r="F215" s="23" t="n"/>
      <c r="G215" s="24" t="n"/>
      <c r="H215" s="24" t="n"/>
      <c r="I215" s="23" t="n"/>
      <c r="J215" s="24" t="n"/>
      <c r="K215" s="24" t="n"/>
      <c r="L215" s="24" t="n"/>
      <c r="M215" s="23" t="n"/>
      <c r="N215" s="23" t="n"/>
      <c r="O215" s="25" t="n"/>
      <c r="P215" s="23" t="n"/>
      <c r="Q215" s="24" t="n"/>
      <c r="R215" s="26">
        <f>IF(OR(B215="",O215=""),"",IF(OR(P215="Implementada",P215="Verificada",P215="Descartada"),"",O215-$B$3))</f>
        <v/>
      </c>
      <c r="S215" s="27">
        <f>IF(B215="","",IF(OR(P215="Implementada",P215="Verificada",P215="Descartada"),"Cerrada",IF(R215="","Sin fecha",IF(R215&lt;0,"Vencida",IF(R215&lt;=15,"Por vencer","En plazo")))))</f>
        <v/>
      </c>
    </row>
    <row r="216">
      <c r="A216" s="22" t="n"/>
      <c r="B216" s="23" t="n"/>
      <c r="C216" s="23" t="n"/>
      <c r="D216" s="23" t="n"/>
      <c r="E216" s="23" t="n"/>
      <c r="F216" s="23" t="n"/>
      <c r="G216" s="24" t="n"/>
      <c r="H216" s="24" t="n"/>
      <c r="I216" s="23" t="n"/>
      <c r="J216" s="24" t="n"/>
      <c r="K216" s="24" t="n"/>
      <c r="L216" s="24" t="n"/>
      <c r="M216" s="23" t="n"/>
      <c r="N216" s="23" t="n"/>
      <c r="O216" s="25" t="n"/>
      <c r="P216" s="23" t="n"/>
      <c r="Q216" s="24" t="n"/>
      <c r="R216" s="26">
        <f>IF(OR(B216="",O216=""),"",IF(OR(P216="Implementada",P216="Verificada",P216="Descartada"),"",O216-$B$3))</f>
        <v/>
      </c>
      <c r="S216" s="27">
        <f>IF(B216="","",IF(OR(P216="Implementada",P216="Verificada",P216="Descartada"),"Cerrada",IF(R216="","Sin fecha",IF(R216&lt;0,"Vencida",IF(R216&lt;=15,"Por vencer","En plazo")))))</f>
        <v/>
      </c>
    </row>
    <row r="217">
      <c r="A217" s="22" t="n"/>
      <c r="B217" s="23" t="n"/>
      <c r="C217" s="23" t="n"/>
      <c r="D217" s="23" t="n"/>
      <c r="E217" s="23" t="n"/>
      <c r="F217" s="23" t="n"/>
      <c r="G217" s="24" t="n"/>
      <c r="H217" s="24" t="n"/>
      <c r="I217" s="23" t="n"/>
      <c r="J217" s="24" t="n"/>
      <c r="K217" s="24" t="n"/>
      <c r="L217" s="24" t="n"/>
      <c r="M217" s="23" t="n"/>
      <c r="N217" s="23" t="n"/>
      <c r="O217" s="25" t="n"/>
      <c r="P217" s="23" t="n"/>
      <c r="Q217" s="24" t="n"/>
      <c r="R217" s="26">
        <f>IF(OR(B217="",O217=""),"",IF(OR(P217="Implementada",P217="Verificada",P217="Descartada"),"",O217-$B$3))</f>
        <v/>
      </c>
      <c r="S217" s="27">
        <f>IF(B217="","",IF(OR(P217="Implementada",P217="Verificada",P217="Descartada"),"Cerrada",IF(R217="","Sin fecha",IF(R217&lt;0,"Vencida",IF(R217&lt;=15,"Por vencer","En plazo")))))</f>
        <v/>
      </c>
    </row>
    <row r="218">
      <c r="A218" s="22" t="n"/>
      <c r="B218" s="23" t="n"/>
      <c r="C218" s="23" t="n"/>
      <c r="D218" s="23" t="n"/>
      <c r="E218" s="23" t="n"/>
      <c r="F218" s="23" t="n"/>
      <c r="G218" s="24" t="n"/>
      <c r="H218" s="24" t="n"/>
      <c r="I218" s="23" t="n"/>
      <c r="J218" s="24" t="n"/>
      <c r="K218" s="24" t="n"/>
      <c r="L218" s="24" t="n"/>
      <c r="M218" s="23" t="n"/>
      <c r="N218" s="23" t="n"/>
      <c r="O218" s="25" t="n"/>
      <c r="P218" s="23" t="n"/>
      <c r="Q218" s="24" t="n"/>
      <c r="R218" s="26">
        <f>IF(OR(B218="",O218=""),"",IF(OR(P218="Implementada",P218="Verificada",P218="Descartada"),"",O218-$B$3))</f>
        <v/>
      </c>
      <c r="S218" s="27">
        <f>IF(B218="","",IF(OR(P218="Implementada",P218="Verificada",P218="Descartada"),"Cerrada",IF(R218="","Sin fecha",IF(R218&lt;0,"Vencida",IF(R218&lt;=15,"Por vencer","En plazo")))))</f>
        <v/>
      </c>
    </row>
    <row r="219">
      <c r="A219" s="22" t="n"/>
      <c r="B219" s="23" t="n"/>
      <c r="C219" s="23" t="n"/>
      <c r="D219" s="23" t="n"/>
      <c r="E219" s="23" t="n"/>
      <c r="F219" s="23" t="n"/>
      <c r="G219" s="24" t="n"/>
      <c r="H219" s="24" t="n"/>
      <c r="I219" s="23" t="n"/>
      <c r="J219" s="24" t="n"/>
      <c r="K219" s="24" t="n"/>
      <c r="L219" s="24" t="n"/>
      <c r="M219" s="23" t="n"/>
      <c r="N219" s="23" t="n"/>
      <c r="O219" s="25" t="n"/>
      <c r="P219" s="23" t="n"/>
      <c r="Q219" s="24" t="n"/>
      <c r="R219" s="26">
        <f>IF(OR(B219="",O219=""),"",IF(OR(P219="Implementada",P219="Verificada",P219="Descartada"),"",O219-$B$3))</f>
        <v/>
      </c>
      <c r="S219" s="27">
        <f>IF(B219="","",IF(OR(P219="Implementada",P219="Verificada",P219="Descartada"),"Cerrada",IF(R219="","Sin fecha",IF(R219&lt;0,"Vencida",IF(R219&lt;=15,"Por vencer","En plazo")))))</f>
        <v/>
      </c>
    </row>
    <row r="220">
      <c r="A220" s="22" t="n"/>
      <c r="B220" s="23" t="n"/>
      <c r="C220" s="23" t="n"/>
      <c r="D220" s="23" t="n"/>
      <c r="E220" s="23" t="n"/>
      <c r="F220" s="23" t="n"/>
      <c r="G220" s="24" t="n"/>
      <c r="H220" s="24" t="n"/>
      <c r="I220" s="23" t="n"/>
      <c r="J220" s="24" t="n"/>
      <c r="K220" s="24" t="n"/>
      <c r="L220" s="24" t="n"/>
      <c r="M220" s="23" t="n"/>
      <c r="N220" s="23" t="n"/>
      <c r="O220" s="25" t="n"/>
      <c r="P220" s="23" t="n"/>
      <c r="Q220" s="24" t="n"/>
      <c r="R220" s="26">
        <f>IF(OR(B220="",O220=""),"",IF(OR(P220="Implementada",P220="Verificada",P220="Descartada"),"",O220-$B$3))</f>
        <v/>
      </c>
      <c r="S220" s="27">
        <f>IF(B220="","",IF(OR(P220="Implementada",P220="Verificada",P220="Descartada"),"Cerrada",IF(R220="","Sin fecha",IF(R220&lt;0,"Vencida",IF(R220&lt;=15,"Por vencer","En plazo")))))</f>
        <v/>
      </c>
    </row>
    <row r="221">
      <c r="A221" s="22" t="n"/>
      <c r="B221" s="23" t="n"/>
      <c r="C221" s="23" t="n"/>
      <c r="D221" s="23" t="n"/>
      <c r="E221" s="23" t="n"/>
      <c r="F221" s="23" t="n"/>
      <c r="G221" s="24" t="n"/>
      <c r="H221" s="24" t="n"/>
      <c r="I221" s="23" t="n"/>
      <c r="J221" s="24" t="n"/>
      <c r="K221" s="24" t="n"/>
      <c r="L221" s="24" t="n"/>
      <c r="M221" s="23" t="n"/>
      <c r="N221" s="23" t="n"/>
      <c r="O221" s="25" t="n"/>
      <c r="P221" s="23" t="n"/>
      <c r="Q221" s="24" t="n"/>
      <c r="R221" s="26">
        <f>IF(OR(B221="",O221=""),"",IF(OR(P221="Implementada",P221="Verificada",P221="Descartada"),"",O221-$B$3))</f>
        <v/>
      </c>
      <c r="S221" s="27">
        <f>IF(B221="","",IF(OR(P221="Implementada",P221="Verificada",P221="Descartada"),"Cerrada",IF(R221="","Sin fecha",IF(R221&lt;0,"Vencida",IF(R221&lt;=15,"Por vencer","En plazo")))))</f>
        <v/>
      </c>
    </row>
    <row r="222">
      <c r="A222" s="22" t="n"/>
      <c r="B222" s="23" t="n"/>
      <c r="C222" s="23" t="n"/>
      <c r="D222" s="23" t="n"/>
      <c r="E222" s="23" t="n"/>
      <c r="F222" s="23" t="n"/>
      <c r="G222" s="24" t="n"/>
      <c r="H222" s="24" t="n"/>
      <c r="I222" s="23" t="n"/>
      <c r="J222" s="24" t="n"/>
      <c r="K222" s="24" t="n"/>
      <c r="L222" s="24" t="n"/>
      <c r="M222" s="23" t="n"/>
      <c r="N222" s="23" t="n"/>
      <c r="O222" s="25" t="n"/>
      <c r="P222" s="23" t="n"/>
      <c r="Q222" s="24" t="n"/>
      <c r="R222" s="26">
        <f>IF(OR(B222="",O222=""),"",IF(OR(P222="Implementada",P222="Verificada",P222="Descartada"),"",O222-$B$3))</f>
        <v/>
      </c>
      <c r="S222" s="27">
        <f>IF(B222="","",IF(OR(P222="Implementada",P222="Verificada",P222="Descartada"),"Cerrada",IF(R222="","Sin fecha",IF(R222&lt;0,"Vencida",IF(R222&lt;=15,"Por vencer","En plazo")))))</f>
        <v/>
      </c>
    </row>
    <row r="223">
      <c r="A223" s="22" t="n"/>
      <c r="B223" s="23" t="n"/>
      <c r="C223" s="23" t="n"/>
      <c r="D223" s="23" t="n"/>
      <c r="E223" s="23" t="n"/>
      <c r="F223" s="23" t="n"/>
      <c r="G223" s="24" t="n"/>
      <c r="H223" s="24" t="n"/>
      <c r="I223" s="23" t="n"/>
      <c r="J223" s="24" t="n"/>
      <c r="K223" s="24" t="n"/>
      <c r="L223" s="24" t="n"/>
      <c r="M223" s="23" t="n"/>
      <c r="N223" s="23" t="n"/>
      <c r="O223" s="25" t="n"/>
      <c r="P223" s="23" t="n"/>
      <c r="Q223" s="24" t="n"/>
      <c r="R223" s="26">
        <f>IF(OR(B223="",O223=""),"",IF(OR(P223="Implementada",P223="Verificada",P223="Descartada"),"",O223-$B$3))</f>
        <v/>
      </c>
      <c r="S223" s="27">
        <f>IF(B223="","",IF(OR(P223="Implementada",P223="Verificada",P223="Descartada"),"Cerrada",IF(R223="","Sin fecha",IF(R223&lt;0,"Vencida",IF(R223&lt;=15,"Por vencer","En plazo")))))</f>
        <v/>
      </c>
    </row>
    <row r="224">
      <c r="A224" s="22" t="n"/>
      <c r="B224" s="23" t="n"/>
      <c r="C224" s="23" t="n"/>
      <c r="D224" s="23" t="n"/>
      <c r="E224" s="23" t="n"/>
      <c r="F224" s="23" t="n"/>
      <c r="G224" s="24" t="n"/>
      <c r="H224" s="24" t="n"/>
      <c r="I224" s="23" t="n"/>
      <c r="J224" s="24" t="n"/>
      <c r="K224" s="24" t="n"/>
      <c r="L224" s="24" t="n"/>
      <c r="M224" s="23" t="n"/>
      <c r="N224" s="23" t="n"/>
      <c r="O224" s="25" t="n"/>
      <c r="P224" s="23" t="n"/>
      <c r="Q224" s="24" t="n"/>
      <c r="R224" s="26">
        <f>IF(OR(B224="",O224=""),"",IF(OR(P224="Implementada",P224="Verificada",P224="Descartada"),"",O224-$B$3))</f>
        <v/>
      </c>
      <c r="S224" s="27">
        <f>IF(B224="","",IF(OR(P224="Implementada",P224="Verificada",P224="Descartada"),"Cerrada",IF(R224="","Sin fecha",IF(R224&lt;0,"Vencida",IF(R224&lt;=15,"Por vencer","En plazo")))))</f>
        <v/>
      </c>
    </row>
    <row r="225">
      <c r="A225" s="22" t="n"/>
      <c r="B225" s="23" t="n"/>
      <c r="C225" s="23" t="n"/>
      <c r="D225" s="23" t="n"/>
      <c r="E225" s="23" t="n"/>
      <c r="F225" s="23" t="n"/>
      <c r="G225" s="24" t="n"/>
      <c r="H225" s="24" t="n"/>
      <c r="I225" s="23" t="n"/>
      <c r="J225" s="24" t="n"/>
      <c r="K225" s="24" t="n"/>
      <c r="L225" s="24" t="n"/>
      <c r="M225" s="23" t="n"/>
      <c r="N225" s="23" t="n"/>
      <c r="O225" s="25" t="n"/>
      <c r="P225" s="23" t="n"/>
      <c r="Q225" s="24" t="n"/>
      <c r="R225" s="26">
        <f>IF(OR(B225="",O225=""),"",IF(OR(P225="Implementada",P225="Verificada",P225="Descartada"),"",O225-$B$3))</f>
        <v/>
      </c>
      <c r="S225" s="27">
        <f>IF(B225="","",IF(OR(P225="Implementada",P225="Verificada",P225="Descartada"),"Cerrada",IF(R225="","Sin fecha",IF(R225&lt;0,"Vencida",IF(R225&lt;=15,"Por vencer","En plazo")))))</f>
        <v/>
      </c>
    </row>
    <row r="226">
      <c r="A226" s="22" t="n"/>
      <c r="B226" s="23" t="n"/>
      <c r="C226" s="23" t="n"/>
      <c r="D226" s="23" t="n"/>
      <c r="E226" s="23" t="n"/>
      <c r="F226" s="23" t="n"/>
      <c r="G226" s="24" t="n"/>
      <c r="H226" s="24" t="n"/>
      <c r="I226" s="23" t="n"/>
      <c r="J226" s="24" t="n"/>
      <c r="K226" s="24" t="n"/>
      <c r="L226" s="24" t="n"/>
      <c r="M226" s="23" t="n"/>
      <c r="N226" s="23" t="n"/>
      <c r="O226" s="25" t="n"/>
      <c r="P226" s="23" t="n"/>
      <c r="Q226" s="24" t="n"/>
      <c r="R226" s="26">
        <f>IF(OR(B226="",O226=""),"",IF(OR(P226="Implementada",P226="Verificada",P226="Descartada"),"",O226-$B$3))</f>
        <v/>
      </c>
      <c r="S226" s="27">
        <f>IF(B226="","",IF(OR(P226="Implementada",P226="Verificada",P226="Descartada"),"Cerrada",IF(R226="","Sin fecha",IF(R226&lt;0,"Vencida",IF(R226&lt;=15,"Por vencer","En plazo")))))</f>
        <v/>
      </c>
    </row>
    <row r="227">
      <c r="A227" s="22" t="n"/>
      <c r="B227" s="23" t="n"/>
      <c r="C227" s="23" t="n"/>
      <c r="D227" s="23" t="n"/>
      <c r="E227" s="23" t="n"/>
      <c r="F227" s="23" t="n"/>
      <c r="G227" s="24" t="n"/>
      <c r="H227" s="24" t="n"/>
      <c r="I227" s="23" t="n"/>
      <c r="J227" s="24" t="n"/>
      <c r="K227" s="24" t="n"/>
      <c r="L227" s="24" t="n"/>
      <c r="M227" s="23" t="n"/>
      <c r="N227" s="23" t="n"/>
      <c r="O227" s="25" t="n"/>
      <c r="P227" s="23" t="n"/>
      <c r="Q227" s="24" t="n"/>
      <c r="R227" s="26">
        <f>IF(OR(B227="",O227=""),"",IF(OR(P227="Implementada",P227="Verificada",P227="Descartada"),"",O227-$B$3))</f>
        <v/>
      </c>
      <c r="S227" s="27">
        <f>IF(B227="","",IF(OR(P227="Implementada",P227="Verificada",P227="Descartada"),"Cerrada",IF(R227="","Sin fecha",IF(R227&lt;0,"Vencida",IF(R227&lt;=15,"Por vencer","En plazo")))))</f>
        <v/>
      </c>
    </row>
    <row r="228">
      <c r="A228" s="22" t="n"/>
      <c r="B228" s="23" t="n"/>
      <c r="C228" s="23" t="n"/>
      <c r="D228" s="23" t="n"/>
      <c r="E228" s="23" t="n"/>
      <c r="F228" s="23" t="n"/>
      <c r="G228" s="24" t="n"/>
      <c r="H228" s="24" t="n"/>
      <c r="I228" s="23" t="n"/>
      <c r="J228" s="24" t="n"/>
      <c r="K228" s="24" t="n"/>
      <c r="L228" s="24" t="n"/>
      <c r="M228" s="23" t="n"/>
      <c r="N228" s="23" t="n"/>
      <c r="O228" s="25" t="n"/>
      <c r="P228" s="23" t="n"/>
      <c r="Q228" s="24" t="n"/>
      <c r="R228" s="26">
        <f>IF(OR(B228="",O228=""),"",IF(OR(P228="Implementada",P228="Verificada",P228="Descartada"),"",O228-$B$3))</f>
        <v/>
      </c>
      <c r="S228" s="27">
        <f>IF(B228="","",IF(OR(P228="Implementada",P228="Verificada",P228="Descartada"),"Cerrada",IF(R228="","Sin fecha",IF(R228&lt;0,"Vencida",IF(R228&lt;=15,"Por vencer","En plazo")))))</f>
        <v/>
      </c>
    </row>
    <row r="229">
      <c r="A229" s="22" t="n"/>
      <c r="B229" s="23" t="n"/>
      <c r="C229" s="23" t="n"/>
      <c r="D229" s="23" t="n"/>
      <c r="E229" s="23" t="n"/>
      <c r="F229" s="23" t="n"/>
      <c r="G229" s="24" t="n"/>
      <c r="H229" s="24" t="n"/>
      <c r="I229" s="23" t="n"/>
      <c r="J229" s="24" t="n"/>
      <c r="K229" s="24" t="n"/>
      <c r="L229" s="24" t="n"/>
      <c r="M229" s="23" t="n"/>
      <c r="N229" s="23" t="n"/>
      <c r="O229" s="25" t="n"/>
      <c r="P229" s="23" t="n"/>
      <c r="Q229" s="24" t="n"/>
      <c r="R229" s="26">
        <f>IF(OR(B229="",O229=""),"",IF(OR(P229="Implementada",P229="Verificada",P229="Descartada"),"",O229-$B$3))</f>
        <v/>
      </c>
      <c r="S229" s="27">
        <f>IF(B229="","",IF(OR(P229="Implementada",P229="Verificada",P229="Descartada"),"Cerrada",IF(R229="","Sin fecha",IF(R229&lt;0,"Vencida",IF(R229&lt;=15,"Por vencer","En plazo")))))</f>
        <v/>
      </c>
    </row>
    <row r="230">
      <c r="A230" s="22" t="n"/>
      <c r="B230" s="23" t="n"/>
      <c r="C230" s="23" t="n"/>
      <c r="D230" s="23" t="n"/>
      <c r="E230" s="23" t="n"/>
      <c r="F230" s="23" t="n"/>
      <c r="G230" s="24" t="n"/>
      <c r="H230" s="24" t="n"/>
      <c r="I230" s="23" t="n"/>
      <c r="J230" s="24" t="n"/>
      <c r="K230" s="24" t="n"/>
      <c r="L230" s="24" t="n"/>
      <c r="M230" s="23" t="n"/>
      <c r="N230" s="23" t="n"/>
      <c r="O230" s="25" t="n"/>
      <c r="P230" s="23" t="n"/>
      <c r="Q230" s="24" t="n"/>
      <c r="R230" s="26">
        <f>IF(OR(B230="",O230=""),"",IF(OR(P230="Implementada",P230="Verificada",P230="Descartada"),"",O230-$B$3))</f>
        <v/>
      </c>
      <c r="S230" s="27">
        <f>IF(B230="","",IF(OR(P230="Implementada",P230="Verificada",P230="Descartada"),"Cerrada",IF(R230="","Sin fecha",IF(R230&lt;0,"Vencida",IF(R230&lt;=15,"Por vencer","En plazo")))))</f>
        <v/>
      </c>
    </row>
    <row r="231">
      <c r="A231" s="22" t="n"/>
      <c r="B231" s="23" t="n"/>
      <c r="C231" s="23" t="n"/>
      <c r="D231" s="23" t="n"/>
      <c r="E231" s="23" t="n"/>
      <c r="F231" s="23" t="n"/>
      <c r="G231" s="24" t="n"/>
      <c r="H231" s="24" t="n"/>
      <c r="I231" s="23" t="n"/>
      <c r="J231" s="24" t="n"/>
      <c r="K231" s="24" t="n"/>
      <c r="L231" s="24" t="n"/>
      <c r="M231" s="23" t="n"/>
      <c r="N231" s="23" t="n"/>
      <c r="O231" s="25" t="n"/>
      <c r="P231" s="23" t="n"/>
      <c r="Q231" s="24" t="n"/>
      <c r="R231" s="26">
        <f>IF(OR(B231="",O231=""),"",IF(OR(P231="Implementada",P231="Verificada",P231="Descartada"),"",O231-$B$3))</f>
        <v/>
      </c>
      <c r="S231" s="27">
        <f>IF(B231="","",IF(OR(P231="Implementada",P231="Verificada",P231="Descartada"),"Cerrada",IF(R231="","Sin fecha",IF(R231&lt;0,"Vencida",IF(R231&lt;=15,"Por vencer","En plazo")))))</f>
        <v/>
      </c>
    </row>
    <row r="232">
      <c r="A232" s="22" t="n"/>
      <c r="B232" s="23" t="n"/>
      <c r="C232" s="23" t="n"/>
      <c r="D232" s="23" t="n"/>
      <c r="E232" s="23" t="n"/>
      <c r="F232" s="23" t="n"/>
      <c r="G232" s="24" t="n"/>
      <c r="H232" s="24" t="n"/>
      <c r="I232" s="23" t="n"/>
      <c r="J232" s="24" t="n"/>
      <c r="K232" s="24" t="n"/>
      <c r="L232" s="24" t="n"/>
      <c r="M232" s="23" t="n"/>
      <c r="N232" s="23" t="n"/>
      <c r="O232" s="25" t="n"/>
      <c r="P232" s="23" t="n"/>
      <c r="Q232" s="24" t="n"/>
      <c r="R232" s="26">
        <f>IF(OR(B232="",O232=""),"",IF(OR(P232="Implementada",P232="Verificada",P232="Descartada"),"",O232-$B$3))</f>
        <v/>
      </c>
      <c r="S232" s="27">
        <f>IF(B232="","",IF(OR(P232="Implementada",P232="Verificada",P232="Descartada"),"Cerrada",IF(R232="","Sin fecha",IF(R232&lt;0,"Vencida",IF(R232&lt;=15,"Por vencer","En plazo")))))</f>
        <v/>
      </c>
    </row>
    <row r="233">
      <c r="A233" s="22" t="n"/>
      <c r="B233" s="23" t="n"/>
      <c r="C233" s="23" t="n"/>
      <c r="D233" s="23" t="n"/>
      <c r="E233" s="23" t="n"/>
      <c r="F233" s="23" t="n"/>
      <c r="G233" s="24" t="n"/>
      <c r="H233" s="24" t="n"/>
      <c r="I233" s="23" t="n"/>
      <c r="J233" s="24" t="n"/>
      <c r="K233" s="24" t="n"/>
      <c r="L233" s="24" t="n"/>
      <c r="M233" s="23" t="n"/>
      <c r="N233" s="23" t="n"/>
      <c r="O233" s="25" t="n"/>
      <c r="P233" s="23" t="n"/>
      <c r="Q233" s="24" t="n"/>
      <c r="R233" s="26">
        <f>IF(OR(B233="",O233=""),"",IF(OR(P233="Implementada",P233="Verificada",P233="Descartada"),"",O233-$B$3))</f>
        <v/>
      </c>
      <c r="S233" s="27">
        <f>IF(B233="","",IF(OR(P233="Implementada",P233="Verificada",P233="Descartada"),"Cerrada",IF(R233="","Sin fecha",IF(R233&lt;0,"Vencida",IF(R233&lt;=15,"Por vencer","En plazo")))))</f>
        <v/>
      </c>
    </row>
    <row r="234">
      <c r="A234" s="22" t="n"/>
      <c r="B234" s="23" t="n"/>
      <c r="C234" s="23" t="n"/>
      <c r="D234" s="23" t="n"/>
      <c r="E234" s="23" t="n"/>
      <c r="F234" s="23" t="n"/>
      <c r="G234" s="24" t="n"/>
      <c r="H234" s="24" t="n"/>
      <c r="I234" s="23" t="n"/>
      <c r="J234" s="24" t="n"/>
      <c r="K234" s="24" t="n"/>
      <c r="L234" s="24" t="n"/>
      <c r="M234" s="23" t="n"/>
      <c r="N234" s="23" t="n"/>
      <c r="O234" s="25" t="n"/>
      <c r="P234" s="23" t="n"/>
      <c r="Q234" s="24" t="n"/>
      <c r="R234" s="26">
        <f>IF(OR(B234="",O234=""),"",IF(OR(P234="Implementada",P234="Verificada",P234="Descartada"),"",O234-$B$3))</f>
        <v/>
      </c>
      <c r="S234" s="27">
        <f>IF(B234="","",IF(OR(P234="Implementada",P234="Verificada",P234="Descartada"),"Cerrada",IF(R234="","Sin fecha",IF(R234&lt;0,"Vencida",IF(R234&lt;=15,"Por vencer","En plazo")))))</f>
        <v/>
      </c>
    </row>
    <row r="235">
      <c r="A235" s="22" t="n"/>
      <c r="B235" s="23" t="n"/>
      <c r="C235" s="23" t="n"/>
      <c r="D235" s="23" t="n"/>
      <c r="E235" s="23" t="n"/>
      <c r="F235" s="23" t="n"/>
      <c r="G235" s="24" t="n"/>
      <c r="H235" s="24" t="n"/>
      <c r="I235" s="23" t="n"/>
      <c r="J235" s="24" t="n"/>
      <c r="K235" s="24" t="n"/>
      <c r="L235" s="24" t="n"/>
      <c r="M235" s="23" t="n"/>
      <c r="N235" s="23" t="n"/>
      <c r="O235" s="25" t="n"/>
      <c r="P235" s="23" t="n"/>
      <c r="Q235" s="24" t="n"/>
      <c r="R235" s="26">
        <f>IF(OR(B235="",O235=""),"",IF(OR(P235="Implementada",P235="Verificada",P235="Descartada"),"",O235-$B$3))</f>
        <v/>
      </c>
      <c r="S235" s="27">
        <f>IF(B235="","",IF(OR(P235="Implementada",P235="Verificada",P235="Descartada"),"Cerrada",IF(R235="","Sin fecha",IF(R235&lt;0,"Vencida",IF(R235&lt;=15,"Por vencer","En plazo")))))</f>
        <v/>
      </c>
    </row>
    <row r="236">
      <c r="A236" s="22" t="n"/>
      <c r="B236" s="23" t="n"/>
      <c r="C236" s="23" t="n"/>
      <c r="D236" s="23" t="n"/>
      <c r="E236" s="23" t="n"/>
      <c r="F236" s="23" t="n"/>
      <c r="G236" s="24" t="n"/>
      <c r="H236" s="24" t="n"/>
      <c r="I236" s="23" t="n"/>
      <c r="J236" s="24" t="n"/>
      <c r="K236" s="24" t="n"/>
      <c r="L236" s="24" t="n"/>
      <c r="M236" s="23" t="n"/>
      <c r="N236" s="23" t="n"/>
      <c r="O236" s="25" t="n"/>
      <c r="P236" s="23" t="n"/>
      <c r="Q236" s="24" t="n"/>
      <c r="R236" s="26">
        <f>IF(OR(B236="",O236=""),"",IF(OR(P236="Implementada",P236="Verificada",P236="Descartada"),"",O236-$B$3))</f>
        <v/>
      </c>
      <c r="S236" s="27">
        <f>IF(B236="","",IF(OR(P236="Implementada",P236="Verificada",P236="Descartada"),"Cerrada",IF(R236="","Sin fecha",IF(R236&lt;0,"Vencida",IF(R236&lt;=15,"Por vencer","En plazo")))))</f>
        <v/>
      </c>
    </row>
    <row r="237">
      <c r="A237" s="22" t="n"/>
      <c r="B237" s="23" t="n"/>
      <c r="C237" s="23" t="n"/>
      <c r="D237" s="23" t="n"/>
      <c r="E237" s="23" t="n"/>
      <c r="F237" s="23" t="n"/>
      <c r="G237" s="24" t="n"/>
      <c r="H237" s="24" t="n"/>
      <c r="I237" s="23" t="n"/>
      <c r="J237" s="24" t="n"/>
      <c r="K237" s="24" t="n"/>
      <c r="L237" s="24" t="n"/>
      <c r="M237" s="23" t="n"/>
      <c r="N237" s="23" t="n"/>
      <c r="O237" s="25" t="n"/>
      <c r="P237" s="23" t="n"/>
      <c r="Q237" s="24" t="n"/>
      <c r="R237" s="26">
        <f>IF(OR(B237="",O237=""),"",IF(OR(P237="Implementada",P237="Verificada",P237="Descartada"),"",O237-$B$3))</f>
        <v/>
      </c>
      <c r="S237" s="27">
        <f>IF(B237="","",IF(OR(P237="Implementada",P237="Verificada",P237="Descartada"),"Cerrada",IF(R237="","Sin fecha",IF(R237&lt;0,"Vencida",IF(R237&lt;=15,"Por vencer","En plazo")))))</f>
        <v/>
      </c>
    </row>
    <row r="238">
      <c r="A238" s="22" t="n"/>
      <c r="B238" s="23" t="n"/>
      <c r="C238" s="23" t="n"/>
      <c r="D238" s="23" t="n"/>
      <c r="E238" s="23" t="n"/>
      <c r="F238" s="23" t="n"/>
      <c r="G238" s="24" t="n"/>
      <c r="H238" s="24" t="n"/>
      <c r="I238" s="23" t="n"/>
      <c r="J238" s="24" t="n"/>
      <c r="K238" s="24" t="n"/>
      <c r="L238" s="24" t="n"/>
      <c r="M238" s="23" t="n"/>
      <c r="N238" s="23" t="n"/>
      <c r="O238" s="25" t="n"/>
      <c r="P238" s="23" t="n"/>
      <c r="Q238" s="24" t="n"/>
      <c r="R238" s="26">
        <f>IF(OR(B238="",O238=""),"",IF(OR(P238="Implementada",P238="Verificada",P238="Descartada"),"",O238-$B$3))</f>
        <v/>
      </c>
      <c r="S238" s="27">
        <f>IF(B238="","",IF(OR(P238="Implementada",P238="Verificada",P238="Descartada"),"Cerrada",IF(R238="","Sin fecha",IF(R238&lt;0,"Vencida",IF(R238&lt;=15,"Por vencer","En plazo")))))</f>
        <v/>
      </c>
    </row>
    <row r="239">
      <c r="A239" s="22" t="n"/>
      <c r="B239" s="23" t="n"/>
      <c r="C239" s="23" t="n"/>
      <c r="D239" s="23" t="n"/>
      <c r="E239" s="23" t="n"/>
      <c r="F239" s="23" t="n"/>
      <c r="G239" s="24" t="n"/>
      <c r="H239" s="24" t="n"/>
      <c r="I239" s="23" t="n"/>
      <c r="J239" s="24" t="n"/>
      <c r="K239" s="24" t="n"/>
      <c r="L239" s="24" t="n"/>
      <c r="M239" s="23" t="n"/>
      <c r="N239" s="23" t="n"/>
      <c r="O239" s="25" t="n"/>
      <c r="P239" s="23" t="n"/>
      <c r="Q239" s="24" t="n"/>
      <c r="R239" s="26">
        <f>IF(OR(B239="",O239=""),"",IF(OR(P239="Implementada",P239="Verificada",P239="Descartada"),"",O239-$B$3))</f>
        <v/>
      </c>
      <c r="S239" s="27">
        <f>IF(B239="","",IF(OR(P239="Implementada",P239="Verificada",P239="Descartada"),"Cerrada",IF(R239="","Sin fecha",IF(R239&lt;0,"Vencida",IF(R239&lt;=15,"Por vencer","En plazo")))))</f>
        <v/>
      </c>
    </row>
    <row r="240">
      <c r="A240" s="22" t="n"/>
      <c r="B240" s="23" t="n"/>
      <c r="C240" s="23" t="n"/>
      <c r="D240" s="23" t="n"/>
      <c r="E240" s="23" t="n"/>
      <c r="F240" s="23" t="n"/>
      <c r="G240" s="24" t="n"/>
      <c r="H240" s="24" t="n"/>
      <c r="I240" s="23" t="n"/>
      <c r="J240" s="24" t="n"/>
      <c r="K240" s="24" t="n"/>
      <c r="L240" s="24" t="n"/>
      <c r="M240" s="23" t="n"/>
      <c r="N240" s="23" t="n"/>
      <c r="O240" s="25" t="n"/>
      <c r="P240" s="23" t="n"/>
      <c r="Q240" s="24" t="n"/>
      <c r="R240" s="26">
        <f>IF(OR(B240="",O240=""),"",IF(OR(P240="Implementada",P240="Verificada",P240="Descartada"),"",O240-$B$3))</f>
        <v/>
      </c>
      <c r="S240" s="27">
        <f>IF(B240="","",IF(OR(P240="Implementada",P240="Verificada",P240="Descartada"),"Cerrada",IF(R240="","Sin fecha",IF(R240&lt;0,"Vencida",IF(R240&lt;=15,"Por vencer","En plazo")))))</f>
        <v/>
      </c>
    </row>
    <row r="241">
      <c r="A241" s="22" t="n"/>
      <c r="B241" s="23" t="n"/>
      <c r="C241" s="23" t="n"/>
      <c r="D241" s="23" t="n"/>
      <c r="E241" s="23" t="n"/>
      <c r="F241" s="23" t="n"/>
      <c r="G241" s="24" t="n"/>
      <c r="H241" s="24" t="n"/>
      <c r="I241" s="23" t="n"/>
      <c r="J241" s="24" t="n"/>
      <c r="K241" s="24" t="n"/>
      <c r="L241" s="24" t="n"/>
      <c r="M241" s="23" t="n"/>
      <c r="N241" s="23" t="n"/>
      <c r="O241" s="25" t="n"/>
      <c r="P241" s="23" t="n"/>
      <c r="Q241" s="24" t="n"/>
      <c r="R241" s="26">
        <f>IF(OR(B241="",O241=""),"",IF(OR(P241="Implementada",P241="Verificada",P241="Descartada"),"",O241-$B$3))</f>
        <v/>
      </c>
      <c r="S241" s="27">
        <f>IF(B241="","",IF(OR(P241="Implementada",P241="Verificada",P241="Descartada"),"Cerrada",IF(R241="","Sin fecha",IF(R241&lt;0,"Vencida",IF(R241&lt;=15,"Por vencer","En plazo")))))</f>
        <v/>
      </c>
    </row>
    <row r="242">
      <c r="A242" s="22" t="n"/>
      <c r="B242" s="23" t="n"/>
      <c r="C242" s="23" t="n"/>
      <c r="D242" s="23" t="n"/>
      <c r="E242" s="23" t="n"/>
      <c r="F242" s="23" t="n"/>
      <c r="G242" s="24" t="n"/>
      <c r="H242" s="24" t="n"/>
      <c r="I242" s="23" t="n"/>
      <c r="J242" s="24" t="n"/>
      <c r="K242" s="24" t="n"/>
      <c r="L242" s="24" t="n"/>
      <c r="M242" s="23" t="n"/>
      <c r="N242" s="23" t="n"/>
      <c r="O242" s="25" t="n"/>
      <c r="P242" s="23" t="n"/>
      <c r="Q242" s="24" t="n"/>
      <c r="R242" s="26">
        <f>IF(OR(B242="",O242=""),"",IF(OR(P242="Implementada",P242="Verificada",P242="Descartada"),"",O242-$B$3))</f>
        <v/>
      </c>
      <c r="S242" s="27">
        <f>IF(B242="","",IF(OR(P242="Implementada",P242="Verificada",P242="Descartada"),"Cerrada",IF(R242="","Sin fecha",IF(R242&lt;0,"Vencida",IF(R242&lt;=15,"Por vencer","En plazo")))))</f>
        <v/>
      </c>
    </row>
    <row r="243">
      <c r="A243" s="22" t="n"/>
      <c r="B243" s="23" t="n"/>
      <c r="C243" s="23" t="n"/>
      <c r="D243" s="23" t="n"/>
      <c r="E243" s="23" t="n"/>
      <c r="F243" s="23" t="n"/>
      <c r="G243" s="24" t="n"/>
      <c r="H243" s="24" t="n"/>
      <c r="I243" s="23" t="n"/>
      <c r="J243" s="24" t="n"/>
      <c r="K243" s="24" t="n"/>
      <c r="L243" s="24" t="n"/>
      <c r="M243" s="23" t="n"/>
      <c r="N243" s="23" t="n"/>
      <c r="O243" s="25" t="n"/>
      <c r="P243" s="23" t="n"/>
      <c r="Q243" s="24" t="n"/>
      <c r="R243" s="26">
        <f>IF(OR(B243="",O243=""),"",IF(OR(P243="Implementada",P243="Verificada",P243="Descartada"),"",O243-$B$3))</f>
        <v/>
      </c>
      <c r="S243" s="27">
        <f>IF(B243="","",IF(OR(P243="Implementada",P243="Verificada",P243="Descartada"),"Cerrada",IF(R243="","Sin fecha",IF(R243&lt;0,"Vencida",IF(R243&lt;=15,"Por vencer","En plazo")))))</f>
        <v/>
      </c>
    </row>
    <row r="244">
      <c r="A244" s="22" t="n"/>
      <c r="B244" s="23" t="n"/>
      <c r="C244" s="23" t="n"/>
      <c r="D244" s="23" t="n"/>
      <c r="E244" s="23" t="n"/>
      <c r="F244" s="23" t="n"/>
      <c r="G244" s="24" t="n"/>
      <c r="H244" s="24" t="n"/>
      <c r="I244" s="23" t="n"/>
      <c r="J244" s="24" t="n"/>
      <c r="K244" s="24" t="n"/>
      <c r="L244" s="24" t="n"/>
      <c r="M244" s="23" t="n"/>
      <c r="N244" s="23" t="n"/>
      <c r="O244" s="25" t="n"/>
      <c r="P244" s="23" t="n"/>
      <c r="Q244" s="24" t="n"/>
      <c r="R244" s="26">
        <f>IF(OR(B244="",O244=""),"",IF(OR(P244="Implementada",P244="Verificada",P244="Descartada"),"",O244-$B$3))</f>
        <v/>
      </c>
      <c r="S244" s="27">
        <f>IF(B244="","",IF(OR(P244="Implementada",P244="Verificada",P244="Descartada"),"Cerrada",IF(R244="","Sin fecha",IF(R244&lt;0,"Vencida",IF(R244&lt;=15,"Por vencer","En plazo")))))</f>
        <v/>
      </c>
    </row>
    <row r="245">
      <c r="A245" s="22" t="n"/>
      <c r="B245" s="23" t="n"/>
      <c r="C245" s="23" t="n"/>
      <c r="D245" s="23" t="n"/>
      <c r="E245" s="23" t="n"/>
      <c r="F245" s="23" t="n"/>
      <c r="G245" s="24" t="n"/>
      <c r="H245" s="24" t="n"/>
      <c r="I245" s="23" t="n"/>
      <c r="J245" s="24" t="n"/>
      <c r="K245" s="24" t="n"/>
      <c r="L245" s="24" t="n"/>
      <c r="M245" s="23" t="n"/>
      <c r="N245" s="23" t="n"/>
      <c r="O245" s="25" t="n"/>
      <c r="P245" s="23" t="n"/>
      <c r="Q245" s="24" t="n"/>
      <c r="R245" s="26">
        <f>IF(OR(B245="",O245=""),"",IF(OR(P245="Implementada",P245="Verificada",P245="Descartada"),"",O245-$B$3))</f>
        <v/>
      </c>
      <c r="S245" s="27">
        <f>IF(B245="","",IF(OR(P245="Implementada",P245="Verificada",P245="Descartada"),"Cerrada",IF(R245="","Sin fecha",IF(R245&lt;0,"Vencida",IF(R245&lt;=15,"Por vencer","En plazo")))))</f>
        <v/>
      </c>
    </row>
    <row r="246">
      <c r="A246" s="22" t="n"/>
      <c r="B246" s="23" t="n"/>
      <c r="C246" s="23" t="n"/>
      <c r="D246" s="23" t="n"/>
      <c r="E246" s="23" t="n"/>
      <c r="F246" s="23" t="n"/>
      <c r="G246" s="24" t="n"/>
      <c r="H246" s="24" t="n"/>
      <c r="I246" s="23" t="n"/>
      <c r="J246" s="24" t="n"/>
      <c r="K246" s="24" t="n"/>
      <c r="L246" s="24" t="n"/>
      <c r="M246" s="23" t="n"/>
      <c r="N246" s="23" t="n"/>
      <c r="O246" s="25" t="n"/>
      <c r="P246" s="23" t="n"/>
      <c r="Q246" s="24" t="n"/>
      <c r="R246" s="26">
        <f>IF(OR(B246="",O246=""),"",IF(OR(P246="Implementada",P246="Verificada",P246="Descartada"),"",O246-$B$3))</f>
        <v/>
      </c>
      <c r="S246" s="27">
        <f>IF(B246="","",IF(OR(P246="Implementada",P246="Verificada",P246="Descartada"),"Cerrada",IF(R246="","Sin fecha",IF(R246&lt;0,"Vencida",IF(R246&lt;=15,"Por vencer","En plazo")))))</f>
        <v/>
      </c>
    </row>
    <row r="247">
      <c r="A247" s="22" t="n"/>
      <c r="B247" s="23" t="n"/>
      <c r="C247" s="23" t="n"/>
      <c r="D247" s="23" t="n"/>
      <c r="E247" s="23" t="n"/>
      <c r="F247" s="23" t="n"/>
      <c r="G247" s="24" t="n"/>
      <c r="H247" s="24" t="n"/>
      <c r="I247" s="23" t="n"/>
      <c r="J247" s="24" t="n"/>
      <c r="K247" s="24" t="n"/>
      <c r="L247" s="24" t="n"/>
      <c r="M247" s="23" t="n"/>
      <c r="N247" s="23" t="n"/>
      <c r="O247" s="25" t="n"/>
      <c r="P247" s="23" t="n"/>
      <c r="Q247" s="24" t="n"/>
      <c r="R247" s="26">
        <f>IF(OR(B247="",O247=""),"",IF(OR(P247="Implementada",P247="Verificada",P247="Descartada"),"",O247-$B$3))</f>
        <v/>
      </c>
      <c r="S247" s="27">
        <f>IF(B247="","",IF(OR(P247="Implementada",P247="Verificada",P247="Descartada"),"Cerrada",IF(R247="","Sin fecha",IF(R247&lt;0,"Vencida",IF(R247&lt;=15,"Por vencer","En plazo")))))</f>
        <v/>
      </c>
    </row>
    <row r="248">
      <c r="A248" s="22" t="n"/>
      <c r="B248" s="23" t="n"/>
      <c r="C248" s="23" t="n"/>
      <c r="D248" s="23" t="n"/>
      <c r="E248" s="23" t="n"/>
      <c r="F248" s="23" t="n"/>
      <c r="G248" s="24" t="n"/>
      <c r="H248" s="24" t="n"/>
      <c r="I248" s="23" t="n"/>
      <c r="J248" s="24" t="n"/>
      <c r="K248" s="24" t="n"/>
      <c r="L248" s="24" t="n"/>
      <c r="M248" s="23" t="n"/>
      <c r="N248" s="23" t="n"/>
      <c r="O248" s="25" t="n"/>
      <c r="P248" s="23" t="n"/>
      <c r="Q248" s="24" t="n"/>
      <c r="R248" s="26">
        <f>IF(OR(B248="",O248=""),"",IF(OR(P248="Implementada",P248="Verificada",P248="Descartada"),"",O248-$B$3))</f>
        <v/>
      </c>
      <c r="S248" s="27">
        <f>IF(B248="","",IF(OR(P248="Implementada",P248="Verificada",P248="Descartada"),"Cerrada",IF(R248="","Sin fecha",IF(R248&lt;0,"Vencida",IF(R248&lt;=15,"Por vencer","En plazo")))))</f>
        <v/>
      </c>
    </row>
    <row r="249">
      <c r="A249" s="22" t="n"/>
      <c r="B249" s="23" t="n"/>
      <c r="C249" s="23" t="n"/>
      <c r="D249" s="23" t="n"/>
      <c r="E249" s="23" t="n"/>
      <c r="F249" s="23" t="n"/>
      <c r="G249" s="24" t="n"/>
      <c r="H249" s="24" t="n"/>
      <c r="I249" s="23" t="n"/>
      <c r="J249" s="24" t="n"/>
      <c r="K249" s="24" t="n"/>
      <c r="L249" s="24" t="n"/>
      <c r="M249" s="23" t="n"/>
      <c r="N249" s="23" t="n"/>
      <c r="O249" s="25" t="n"/>
      <c r="P249" s="23" t="n"/>
      <c r="Q249" s="24" t="n"/>
      <c r="R249" s="26">
        <f>IF(OR(B249="",O249=""),"",IF(OR(P249="Implementada",P249="Verificada",P249="Descartada"),"",O249-$B$3))</f>
        <v/>
      </c>
      <c r="S249" s="27">
        <f>IF(B249="","",IF(OR(P249="Implementada",P249="Verificada",P249="Descartada"),"Cerrada",IF(R249="","Sin fecha",IF(R249&lt;0,"Vencida",IF(R249&lt;=15,"Por vencer","En plazo")))))</f>
        <v/>
      </c>
    </row>
    <row r="250">
      <c r="A250" s="22" t="n"/>
      <c r="B250" s="23" t="n"/>
      <c r="C250" s="23" t="n"/>
      <c r="D250" s="23" t="n"/>
      <c r="E250" s="23" t="n"/>
      <c r="F250" s="23" t="n"/>
      <c r="G250" s="24" t="n"/>
      <c r="H250" s="24" t="n"/>
      <c r="I250" s="23" t="n"/>
      <c r="J250" s="24" t="n"/>
      <c r="K250" s="24" t="n"/>
      <c r="L250" s="24" t="n"/>
      <c r="M250" s="23" t="n"/>
      <c r="N250" s="23" t="n"/>
      <c r="O250" s="25" t="n"/>
      <c r="P250" s="23" t="n"/>
      <c r="Q250" s="24" t="n"/>
      <c r="R250" s="26">
        <f>IF(OR(B250="",O250=""),"",IF(OR(P250="Implementada",P250="Verificada",P250="Descartada"),"",O250-$B$3))</f>
        <v/>
      </c>
      <c r="S250" s="27">
        <f>IF(B250="","",IF(OR(P250="Implementada",P250="Verificada",P250="Descartada"),"Cerrada",IF(R250="","Sin fecha",IF(R250&lt;0,"Vencida",IF(R250&lt;=15,"Por vencer","En plazo")))))</f>
        <v/>
      </c>
    </row>
    <row r="251">
      <c r="A251" s="22" t="n"/>
      <c r="B251" s="23" t="n"/>
      <c r="C251" s="23" t="n"/>
      <c r="D251" s="23" t="n"/>
      <c r="E251" s="23" t="n"/>
      <c r="F251" s="23" t="n"/>
      <c r="G251" s="24" t="n"/>
      <c r="H251" s="24" t="n"/>
      <c r="I251" s="23" t="n"/>
      <c r="J251" s="24" t="n"/>
      <c r="K251" s="24" t="n"/>
      <c r="L251" s="24" t="n"/>
      <c r="M251" s="23" t="n"/>
      <c r="N251" s="23" t="n"/>
      <c r="O251" s="25" t="n"/>
      <c r="P251" s="23" t="n"/>
      <c r="Q251" s="24" t="n"/>
      <c r="R251" s="26">
        <f>IF(OR(B251="",O251=""),"",IF(OR(P251="Implementada",P251="Verificada",P251="Descartada"),"",O251-$B$3))</f>
        <v/>
      </c>
      <c r="S251" s="27">
        <f>IF(B251="","",IF(OR(P251="Implementada",P251="Verificada",P251="Descartada"),"Cerrada",IF(R251="","Sin fecha",IF(R251&lt;0,"Vencida",IF(R251&lt;=15,"Por vencer","En plazo")))))</f>
        <v/>
      </c>
    </row>
    <row r="252">
      <c r="A252" s="22" t="n"/>
      <c r="B252" s="23" t="n"/>
      <c r="C252" s="23" t="n"/>
      <c r="D252" s="23" t="n"/>
      <c r="E252" s="23" t="n"/>
      <c r="F252" s="23" t="n"/>
      <c r="G252" s="24" t="n"/>
      <c r="H252" s="24" t="n"/>
      <c r="I252" s="23" t="n"/>
      <c r="J252" s="24" t="n"/>
      <c r="K252" s="24" t="n"/>
      <c r="L252" s="24" t="n"/>
      <c r="M252" s="23" t="n"/>
      <c r="N252" s="23" t="n"/>
      <c r="O252" s="25" t="n"/>
      <c r="P252" s="23" t="n"/>
      <c r="Q252" s="24" t="n"/>
      <c r="R252" s="26">
        <f>IF(OR(B252="",O252=""),"",IF(OR(P252="Implementada",P252="Verificada",P252="Descartada"),"",O252-$B$3))</f>
        <v/>
      </c>
      <c r="S252" s="27">
        <f>IF(B252="","",IF(OR(P252="Implementada",P252="Verificada",P252="Descartada"),"Cerrada",IF(R252="","Sin fecha",IF(R252&lt;0,"Vencida",IF(R252&lt;=15,"Por vencer","En plazo")))))</f>
        <v/>
      </c>
    </row>
    <row r="253">
      <c r="A253" s="22" t="n"/>
      <c r="B253" s="23" t="n"/>
      <c r="C253" s="23" t="n"/>
      <c r="D253" s="23" t="n"/>
      <c r="E253" s="23" t="n"/>
      <c r="F253" s="23" t="n"/>
      <c r="G253" s="24" t="n"/>
      <c r="H253" s="24" t="n"/>
      <c r="I253" s="23" t="n"/>
      <c r="J253" s="24" t="n"/>
      <c r="K253" s="24" t="n"/>
      <c r="L253" s="24" t="n"/>
      <c r="M253" s="23" t="n"/>
      <c r="N253" s="23" t="n"/>
      <c r="O253" s="25" t="n"/>
      <c r="P253" s="23" t="n"/>
      <c r="Q253" s="24" t="n"/>
      <c r="R253" s="26">
        <f>IF(OR(B253="",O253=""),"",IF(OR(P253="Implementada",P253="Verificada",P253="Descartada"),"",O253-$B$3))</f>
        <v/>
      </c>
      <c r="S253" s="27">
        <f>IF(B253="","",IF(OR(P253="Implementada",P253="Verificada",P253="Descartada"),"Cerrada",IF(R253="","Sin fecha",IF(R253&lt;0,"Vencida",IF(R253&lt;=15,"Por vencer","En plazo")))))</f>
        <v/>
      </c>
    </row>
    <row r="254">
      <c r="A254" s="22" t="n"/>
      <c r="B254" s="23" t="n"/>
      <c r="C254" s="23" t="n"/>
      <c r="D254" s="23" t="n"/>
      <c r="E254" s="23" t="n"/>
      <c r="F254" s="23" t="n"/>
      <c r="G254" s="24" t="n"/>
      <c r="H254" s="24" t="n"/>
      <c r="I254" s="23" t="n"/>
      <c r="J254" s="24" t="n"/>
      <c r="K254" s="24" t="n"/>
      <c r="L254" s="24" t="n"/>
      <c r="M254" s="23" t="n"/>
      <c r="N254" s="23" t="n"/>
      <c r="O254" s="25" t="n"/>
      <c r="P254" s="23" t="n"/>
      <c r="Q254" s="24" t="n"/>
      <c r="R254" s="26">
        <f>IF(OR(B254="",O254=""),"",IF(OR(P254="Implementada",P254="Verificada",P254="Descartada"),"",O254-$B$3))</f>
        <v/>
      </c>
      <c r="S254" s="27">
        <f>IF(B254="","",IF(OR(P254="Implementada",P254="Verificada",P254="Descartada"),"Cerrada",IF(R254="","Sin fecha",IF(R254&lt;0,"Vencida",IF(R254&lt;=15,"Por vencer","En plazo")))))</f>
        <v/>
      </c>
    </row>
    <row r="255">
      <c r="A255" s="22" t="n"/>
      <c r="B255" s="23" t="n"/>
      <c r="C255" s="23" t="n"/>
      <c r="D255" s="23" t="n"/>
      <c r="E255" s="23" t="n"/>
      <c r="F255" s="23" t="n"/>
      <c r="G255" s="24" t="n"/>
      <c r="H255" s="24" t="n"/>
      <c r="I255" s="23" t="n"/>
      <c r="J255" s="24" t="n"/>
      <c r="K255" s="24" t="n"/>
      <c r="L255" s="24" t="n"/>
      <c r="M255" s="23" t="n"/>
      <c r="N255" s="23" t="n"/>
      <c r="O255" s="25" t="n"/>
      <c r="P255" s="23" t="n"/>
      <c r="Q255" s="24" t="n"/>
      <c r="R255" s="26">
        <f>IF(OR(B255="",O255=""),"",IF(OR(P255="Implementada",P255="Verificada",P255="Descartada"),"",O255-$B$3))</f>
        <v/>
      </c>
      <c r="S255" s="27">
        <f>IF(B255="","",IF(OR(P255="Implementada",P255="Verificada",P255="Descartada"),"Cerrada",IF(R255="","Sin fecha",IF(R255&lt;0,"Vencida",IF(R255&lt;=15,"Por vencer","En plazo")))))</f>
        <v/>
      </c>
    </row>
    <row r="256">
      <c r="A256" s="22" t="n"/>
      <c r="B256" s="23" t="n"/>
      <c r="C256" s="23" t="n"/>
      <c r="D256" s="23" t="n"/>
      <c r="E256" s="23" t="n"/>
      <c r="F256" s="23" t="n"/>
      <c r="G256" s="24" t="n"/>
      <c r="H256" s="24" t="n"/>
      <c r="I256" s="23" t="n"/>
      <c r="J256" s="24" t="n"/>
      <c r="K256" s="24" t="n"/>
      <c r="L256" s="24" t="n"/>
      <c r="M256" s="23" t="n"/>
      <c r="N256" s="23" t="n"/>
      <c r="O256" s="25" t="n"/>
      <c r="P256" s="23" t="n"/>
      <c r="Q256" s="24" t="n"/>
      <c r="R256" s="26">
        <f>IF(OR(B256="",O256=""),"",IF(OR(P256="Implementada",P256="Verificada",P256="Descartada"),"",O256-$B$3))</f>
        <v/>
      </c>
      <c r="S256" s="27">
        <f>IF(B256="","",IF(OR(P256="Implementada",P256="Verificada",P256="Descartada"),"Cerrada",IF(R256="","Sin fecha",IF(R256&lt;0,"Vencida",IF(R256&lt;=15,"Por vencer","En plazo")))))</f>
        <v/>
      </c>
    </row>
    <row r="257">
      <c r="A257" s="22" t="n"/>
      <c r="B257" s="23" t="n"/>
      <c r="C257" s="23" t="n"/>
      <c r="D257" s="23" t="n"/>
      <c r="E257" s="23" t="n"/>
      <c r="F257" s="23" t="n"/>
      <c r="G257" s="24" t="n"/>
      <c r="H257" s="24" t="n"/>
      <c r="I257" s="23" t="n"/>
      <c r="J257" s="24" t="n"/>
      <c r="K257" s="24" t="n"/>
      <c r="L257" s="24" t="n"/>
      <c r="M257" s="23" t="n"/>
      <c r="N257" s="23" t="n"/>
      <c r="O257" s="25" t="n"/>
      <c r="P257" s="23" t="n"/>
      <c r="Q257" s="24" t="n"/>
      <c r="R257" s="26">
        <f>IF(OR(B257="",O257=""),"",IF(OR(P257="Implementada",P257="Verificada",P257="Descartada"),"",O257-$B$3))</f>
        <v/>
      </c>
      <c r="S257" s="27">
        <f>IF(B257="","",IF(OR(P257="Implementada",P257="Verificada",P257="Descartada"),"Cerrada",IF(R257="","Sin fecha",IF(R257&lt;0,"Vencida",IF(R257&lt;=15,"Por vencer","En plazo")))))</f>
        <v/>
      </c>
    </row>
    <row r="258">
      <c r="A258" s="22" t="n"/>
      <c r="B258" s="23" t="n"/>
      <c r="C258" s="23" t="n"/>
      <c r="D258" s="23" t="n"/>
      <c r="E258" s="23" t="n"/>
      <c r="F258" s="23" t="n"/>
      <c r="G258" s="24" t="n"/>
      <c r="H258" s="24" t="n"/>
      <c r="I258" s="23" t="n"/>
      <c r="J258" s="24" t="n"/>
      <c r="K258" s="24" t="n"/>
      <c r="L258" s="24" t="n"/>
      <c r="M258" s="23" t="n"/>
      <c r="N258" s="23" t="n"/>
      <c r="O258" s="25" t="n"/>
      <c r="P258" s="23" t="n"/>
      <c r="Q258" s="24" t="n"/>
      <c r="R258" s="26">
        <f>IF(OR(B258="",O258=""),"",IF(OR(P258="Implementada",P258="Verificada",P258="Descartada"),"",O258-$B$3))</f>
        <v/>
      </c>
      <c r="S258" s="27">
        <f>IF(B258="","",IF(OR(P258="Implementada",P258="Verificada",P258="Descartada"),"Cerrada",IF(R258="","Sin fecha",IF(R258&lt;0,"Vencida",IF(R258&lt;=15,"Por vencer","En plazo")))))</f>
        <v/>
      </c>
    </row>
    <row r="259">
      <c r="A259" s="22" t="n"/>
      <c r="B259" s="23" t="n"/>
      <c r="C259" s="23" t="n"/>
      <c r="D259" s="23" t="n"/>
      <c r="E259" s="23" t="n"/>
      <c r="F259" s="23" t="n"/>
      <c r="G259" s="24" t="n"/>
      <c r="H259" s="24" t="n"/>
      <c r="I259" s="23" t="n"/>
      <c r="J259" s="24" t="n"/>
      <c r="K259" s="24" t="n"/>
      <c r="L259" s="24" t="n"/>
      <c r="M259" s="23" t="n"/>
      <c r="N259" s="23" t="n"/>
      <c r="O259" s="25" t="n"/>
      <c r="P259" s="23" t="n"/>
      <c r="Q259" s="24" t="n"/>
      <c r="R259" s="26">
        <f>IF(OR(B259="",O259=""),"",IF(OR(P259="Implementada",P259="Verificada",P259="Descartada"),"",O259-$B$3))</f>
        <v/>
      </c>
      <c r="S259" s="27">
        <f>IF(B259="","",IF(OR(P259="Implementada",P259="Verificada",P259="Descartada"),"Cerrada",IF(R259="","Sin fecha",IF(R259&lt;0,"Vencida",IF(R259&lt;=15,"Por vencer","En plazo")))))</f>
        <v/>
      </c>
    </row>
    <row r="260">
      <c r="A260" s="22" t="n"/>
      <c r="B260" s="23" t="n"/>
      <c r="C260" s="23" t="n"/>
      <c r="D260" s="23" t="n"/>
      <c r="E260" s="23" t="n"/>
      <c r="F260" s="23" t="n"/>
      <c r="G260" s="24" t="n"/>
      <c r="H260" s="24" t="n"/>
      <c r="I260" s="23" t="n"/>
      <c r="J260" s="24" t="n"/>
      <c r="K260" s="24" t="n"/>
      <c r="L260" s="24" t="n"/>
      <c r="M260" s="23" t="n"/>
      <c r="N260" s="23" t="n"/>
      <c r="O260" s="25" t="n"/>
      <c r="P260" s="23" t="n"/>
      <c r="Q260" s="24" t="n"/>
      <c r="R260" s="26">
        <f>IF(OR(B260="",O260=""),"",IF(OR(P260="Implementada",P260="Verificada",P260="Descartada"),"",O260-$B$3))</f>
        <v/>
      </c>
      <c r="S260" s="27">
        <f>IF(B260="","",IF(OR(P260="Implementada",P260="Verificada",P260="Descartada"),"Cerrada",IF(R260="","Sin fecha",IF(R260&lt;0,"Vencida",IF(R260&lt;=15,"Por vencer","En plazo")))))</f>
        <v/>
      </c>
    </row>
    <row r="261">
      <c r="A261" s="22" t="n"/>
      <c r="B261" s="23" t="n"/>
      <c r="C261" s="23" t="n"/>
      <c r="D261" s="23" t="n"/>
      <c r="E261" s="23" t="n"/>
      <c r="F261" s="23" t="n"/>
      <c r="G261" s="24" t="n"/>
      <c r="H261" s="24" t="n"/>
      <c r="I261" s="23" t="n"/>
      <c r="J261" s="24" t="n"/>
      <c r="K261" s="24" t="n"/>
      <c r="L261" s="24" t="n"/>
      <c r="M261" s="23" t="n"/>
      <c r="N261" s="23" t="n"/>
      <c r="O261" s="25" t="n"/>
      <c r="P261" s="23" t="n"/>
      <c r="Q261" s="24" t="n"/>
      <c r="R261" s="26">
        <f>IF(OR(B261="",O261=""),"",IF(OR(P261="Implementada",P261="Verificada",P261="Descartada"),"",O261-$B$3))</f>
        <v/>
      </c>
      <c r="S261" s="27">
        <f>IF(B261="","",IF(OR(P261="Implementada",P261="Verificada",P261="Descartada"),"Cerrada",IF(R261="","Sin fecha",IF(R261&lt;0,"Vencida",IF(R261&lt;=15,"Por vencer","En plazo")))))</f>
        <v/>
      </c>
    </row>
    <row r="262">
      <c r="A262" s="22" t="n"/>
      <c r="B262" s="23" t="n"/>
      <c r="C262" s="23" t="n"/>
      <c r="D262" s="23" t="n"/>
      <c r="E262" s="23" t="n"/>
      <c r="F262" s="23" t="n"/>
      <c r="G262" s="24" t="n"/>
      <c r="H262" s="24" t="n"/>
      <c r="I262" s="23" t="n"/>
      <c r="J262" s="24" t="n"/>
      <c r="K262" s="24" t="n"/>
      <c r="L262" s="24" t="n"/>
      <c r="M262" s="23" t="n"/>
      <c r="N262" s="23" t="n"/>
      <c r="O262" s="25" t="n"/>
      <c r="P262" s="23" t="n"/>
      <c r="Q262" s="24" t="n"/>
      <c r="R262" s="26">
        <f>IF(OR(B262="",O262=""),"",IF(OR(P262="Implementada",P262="Verificada",P262="Descartada"),"",O262-$B$3))</f>
        <v/>
      </c>
      <c r="S262" s="27">
        <f>IF(B262="","",IF(OR(P262="Implementada",P262="Verificada",P262="Descartada"),"Cerrada",IF(R262="","Sin fecha",IF(R262&lt;0,"Vencida",IF(R262&lt;=15,"Por vencer","En plazo")))))</f>
        <v/>
      </c>
    </row>
    <row r="263">
      <c r="A263" s="22" t="n"/>
      <c r="B263" s="23" t="n"/>
      <c r="C263" s="23" t="n"/>
      <c r="D263" s="23" t="n"/>
      <c r="E263" s="23" t="n"/>
      <c r="F263" s="23" t="n"/>
      <c r="G263" s="24" t="n"/>
      <c r="H263" s="24" t="n"/>
      <c r="I263" s="23" t="n"/>
      <c r="J263" s="24" t="n"/>
      <c r="K263" s="24" t="n"/>
      <c r="L263" s="24" t="n"/>
      <c r="M263" s="23" t="n"/>
      <c r="N263" s="23" t="n"/>
      <c r="O263" s="25" t="n"/>
      <c r="P263" s="23" t="n"/>
      <c r="Q263" s="24" t="n"/>
      <c r="R263" s="26">
        <f>IF(OR(B263="",O263=""),"",IF(OR(P263="Implementada",P263="Verificada",P263="Descartada"),"",O263-$B$3))</f>
        <v/>
      </c>
      <c r="S263" s="27">
        <f>IF(B263="","",IF(OR(P263="Implementada",P263="Verificada",P263="Descartada"),"Cerrada",IF(R263="","Sin fecha",IF(R263&lt;0,"Vencida",IF(R263&lt;=15,"Por vencer","En plazo")))))</f>
        <v/>
      </c>
    </row>
    <row r="264">
      <c r="A264" s="22" t="n"/>
      <c r="B264" s="23" t="n"/>
      <c r="C264" s="23" t="n"/>
      <c r="D264" s="23" t="n"/>
      <c r="E264" s="23" t="n"/>
      <c r="F264" s="23" t="n"/>
      <c r="G264" s="24" t="n"/>
      <c r="H264" s="24" t="n"/>
      <c r="I264" s="23" t="n"/>
      <c r="J264" s="24" t="n"/>
      <c r="K264" s="24" t="n"/>
      <c r="L264" s="24" t="n"/>
      <c r="M264" s="23" t="n"/>
      <c r="N264" s="23" t="n"/>
      <c r="O264" s="25" t="n"/>
      <c r="P264" s="23" t="n"/>
      <c r="Q264" s="24" t="n"/>
      <c r="R264" s="26">
        <f>IF(OR(B264="",O264=""),"",IF(OR(P264="Implementada",P264="Verificada",P264="Descartada"),"",O264-$B$3))</f>
        <v/>
      </c>
      <c r="S264" s="27">
        <f>IF(B264="","",IF(OR(P264="Implementada",P264="Verificada",P264="Descartada"),"Cerrada",IF(R264="","Sin fecha",IF(R264&lt;0,"Vencida",IF(R264&lt;=15,"Por vencer","En plazo")))))</f>
        <v/>
      </c>
    </row>
    <row r="265">
      <c r="A265" s="22" t="n"/>
      <c r="B265" s="23" t="n"/>
      <c r="C265" s="23" t="n"/>
      <c r="D265" s="23" t="n"/>
      <c r="E265" s="23" t="n"/>
      <c r="F265" s="23" t="n"/>
      <c r="G265" s="24" t="n"/>
      <c r="H265" s="24" t="n"/>
      <c r="I265" s="23" t="n"/>
      <c r="J265" s="24" t="n"/>
      <c r="K265" s="24" t="n"/>
      <c r="L265" s="24" t="n"/>
      <c r="M265" s="23" t="n"/>
      <c r="N265" s="23" t="n"/>
      <c r="O265" s="25" t="n"/>
      <c r="P265" s="23" t="n"/>
      <c r="Q265" s="24" t="n"/>
      <c r="R265" s="26">
        <f>IF(OR(B265="",O265=""),"",IF(OR(P265="Implementada",P265="Verificada",P265="Descartada"),"",O265-$B$3))</f>
        <v/>
      </c>
      <c r="S265" s="27">
        <f>IF(B265="","",IF(OR(P265="Implementada",P265="Verificada",P265="Descartada"),"Cerrada",IF(R265="","Sin fecha",IF(R265&lt;0,"Vencida",IF(R265&lt;=15,"Por vencer","En plazo")))))</f>
        <v/>
      </c>
    </row>
    <row r="266">
      <c r="A266" s="22" t="n"/>
      <c r="B266" s="23" t="n"/>
      <c r="C266" s="23" t="n"/>
      <c r="D266" s="23" t="n"/>
      <c r="E266" s="23" t="n"/>
      <c r="F266" s="23" t="n"/>
      <c r="G266" s="24" t="n"/>
      <c r="H266" s="24" t="n"/>
      <c r="I266" s="23" t="n"/>
      <c r="J266" s="24" t="n"/>
      <c r="K266" s="24" t="n"/>
      <c r="L266" s="24" t="n"/>
      <c r="M266" s="23" t="n"/>
      <c r="N266" s="23" t="n"/>
      <c r="O266" s="25" t="n"/>
      <c r="P266" s="23" t="n"/>
      <c r="Q266" s="24" t="n"/>
      <c r="R266" s="26">
        <f>IF(OR(B266="",O266=""),"",IF(OR(P266="Implementada",P266="Verificada",P266="Descartada"),"",O266-$B$3))</f>
        <v/>
      </c>
      <c r="S266" s="27">
        <f>IF(B266="","",IF(OR(P266="Implementada",P266="Verificada",P266="Descartada"),"Cerrada",IF(R266="","Sin fecha",IF(R266&lt;0,"Vencida",IF(R266&lt;=15,"Por vencer","En plazo")))))</f>
        <v/>
      </c>
    </row>
    <row r="267">
      <c r="A267" s="22" t="n"/>
      <c r="B267" s="23" t="n"/>
      <c r="C267" s="23" t="n"/>
      <c r="D267" s="23" t="n"/>
      <c r="E267" s="23" t="n"/>
      <c r="F267" s="23" t="n"/>
      <c r="G267" s="24" t="n"/>
      <c r="H267" s="24" t="n"/>
      <c r="I267" s="23" t="n"/>
      <c r="J267" s="24" t="n"/>
      <c r="K267" s="24" t="n"/>
      <c r="L267" s="24" t="n"/>
      <c r="M267" s="23" t="n"/>
      <c r="N267" s="23" t="n"/>
      <c r="O267" s="25" t="n"/>
      <c r="P267" s="23" t="n"/>
      <c r="Q267" s="24" t="n"/>
      <c r="R267" s="26">
        <f>IF(OR(B267="",O267=""),"",IF(OR(P267="Implementada",P267="Verificada",P267="Descartada"),"",O267-$B$3))</f>
        <v/>
      </c>
      <c r="S267" s="27">
        <f>IF(B267="","",IF(OR(P267="Implementada",P267="Verificada",P267="Descartada"),"Cerrada",IF(R267="","Sin fecha",IF(R267&lt;0,"Vencida",IF(R267&lt;=15,"Por vencer","En plazo")))))</f>
        <v/>
      </c>
    </row>
    <row r="268">
      <c r="A268" s="22" t="n"/>
      <c r="B268" s="23" t="n"/>
      <c r="C268" s="23" t="n"/>
      <c r="D268" s="23" t="n"/>
      <c r="E268" s="23" t="n"/>
      <c r="F268" s="23" t="n"/>
      <c r="G268" s="24" t="n"/>
      <c r="H268" s="24" t="n"/>
      <c r="I268" s="23" t="n"/>
      <c r="J268" s="24" t="n"/>
      <c r="K268" s="24" t="n"/>
      <c r="L268" s="24" t="n"/>
      <c r="M268" s="23" t="n"/>
      <c r="N268" s="23" t="n"/>
      <c r="O268" s="25" t="n"/>
      <c r="P268" s="23" t="n"/>
      <c r="Q268" s="24" t="n"/>
      <c r="R268" s="26">
        <f>IF(OR(B268="",O268=""),"",IF(OR(P268="Implementada",P268="Verificada",P268="Descartada"),"",O268-$B$3))</f>
        <v/>
      </c>
      <c r="S268" s="27">
        <f>IF(B268="","",IF(OR(P268="Implementada",P268="Verificada",P268="Descartada"),"Cerrada",IF(R268="","Sin fecha",IF(R268&lt;0,"Vencida",IF(R268&lt;=15,"Por vencer","En plazo")))))</f>
        <v/>
      </c>
    </row>
    <row r="269">
      <c r="A269" s="22" t="n"/>
      <c r="B269" s="23" t="n"/>
      <c r="C269" s="23" t="n"/>
      <c r="D269" s="23" t="n"/>
      <c r="E269" s="23" t="n"/>
      <c r="F269" s="23" t="n"/>
      <c r="G269" s="24" t="n"/>
      <c r="H269" s="24" t="n"/>
      <c r="I269" s="23" t="n"/>
      <c r="J269" s="24" t="n"/>
      <c r="K269" s="24" t="n"/>
      <c r="L269" s="24" t="n"/>
      <c r="M269" s="23" t="n"/>
      <c r="N269" s="23" t="n"/>
      <c r="O269" s="25" t="n"/>
      <c r="P269" s="23" t="n"/>
      <c r="Q269" s="24" t="n"/>
      <c r="R269" s="26">
        <f>IF(OR(B269="",O269=""),"",IF(OR(P269="Implementada",P269="Verificada",P269="Descartada"),"",O269-$B$3))</f>
        <v/>
      </c>
      <c r="S269" s="27">
        <f>IF(B269="","",IF(OR(P269="Implementada",P269="Verificada",P269="Descartada"),"Cerrada",IF(R269="","Sin fecha",IF(R269&lt;0,"Vencida",IF(R269&lt;=15,"Por vencer","En plazo")))))</f>
        <v/>
      </c>
    </row>
    <row r="270">
      <c r="A270" s="22" t="n"/>
      <c r="B270" s="23" t="n"/>
      <c r="C270" s="23" t="n"/>
      <c r="D270" s="23" t="n"/>
      <c r="E270" s="23" t="n"/>
      <c r="F270" s="23" t="n"/>
      <c r="G270" s="24" t="n"/>
      <c r="H270" s="24" t="n"/>
      <c r="I270" s="23" t="n"/>
      <c r="J270" s="24" t="n"/>
      <c r="K270" s="24" t="n"/>
      <c r="L270" s="24" t="n"/>
      <c r="M270" s="23" t="n"/>
      <c r="N270" s="23" t="n"/>
      <c r="O270" s="25" t="n"/>
      <c r="P270" s="23" t="n"/>
      <c r="Q270" s="24" t="n"/>
      <c r="R270" s="26">
        <f>IF(OR(B270="",O270=""),"",IF(OR(P270="Implementada",P270="Verificada",P270="Descartada"),"",O270-$B$3))</f>
        <v/>
      </c>
      <c r="S270" s="27">
        <f>IF(B270="","",IF(OR(P270="Implementada",P270="Verificada",P270="Descartada"),"Cerrada",IF(R270="","Sin fecha",IF(R270&lt;0,"Vencida",IF(R270&lt;=15,"Por vencer","En plazo")))))</f>
        <v/>
      </c>
    </row>
    <row r="271">
      <c r="A271" s="22" t="n"/>
      <c r="B271" s="23" t="n"/>
      <c r="C271" s="23" t="n"/>
      <c r="D271" s="23" t="n"/>
      <c r="E271" s="23" t="n"/>
      <c r="F271" s="23" t="n"/>
      <c r="G271" s="24" t="n"/>
      <c r="H271" s="24" t="n"/>
      <c r="I271" s="23" t="n"/>
      <c r="J271" s="24" t="n"/>
      <c r="K271" s="24" t="n"/>
      <c r="L271" s="24" t="n"/>
      <c r="M271" s="23" t="n"/>
      <c r="N271" s="23" t="n"/>
      <c r="O271" s="25" t="n"/>
      <c r="P271" s="23" t="n"/>
      <c r="Q271" s="24" t="n"/>
      <c r="R271" s="26">
        <f>IF(OR(B271="",O271=""),"",IF(OR(P271="Implementada",P271="Verificada",P271="Descartada"),"",O271-$B$3))</f>
        <v/>
      </c>
      <c r="S271" s="27">
        <f>IF(B271="","",IF(OR(P271="Implementada",P271="Verificada",P271="Descartada"),"Cerrada",IF(R271="","Sin fecha",IF(R271&lt;0,"Vencida",IF(R271&lt;=15,"Por vencer","En plazo")))))</f>
        <v/>
      </c>
    </row>
    <row r="272">
      <c r="A272" s="22" t="n"/>
      <c r="B272" s="23" t="n"/>
      <c r="C272" s="23" t="n"/>
      <c r="D272" s="23" t="n"/>
      <c r="E272" s="23" t="n"/>
      <c r="F272" s="23" t="n"/>
      <c r="G272" s="24" t="n"/>
      <c r="H272" s="24" t="n"/>
      <c r="I272" s="23" t="n"/>
      <c r="J272" s="24" t="n"/>
      <c r="K272" s="24" t="n"/>
      <c r="L272" s="24" t="n"/>
      <c r="M272" s="23" t="n"/>
      <c r="N272" s="23" t="n"/>
      <c r="O272" s="25" t="n"/>
      <c r="P272" s="23" t="n"/>
      <c r="Q272" s="24" t="n"/>
      <c r="R272" s="26">
        <f>IF(OR(B272="",O272=""),"",IF(OR(P272="Implementada",P272="Verificada",P272="Descartada"),"",O272-$B$3))</f>
        <v/>
      </c>
      <c r="S272" s="27">
        <f>IF(B272="","",IF(OR(P272="Implementada",P272="Verificada",P272="Descartada"),"Cerrada",IF(R272="","Sin fecha",IF(R272&lt;0,"Vencida",IF(R272&lt;=15,"Por vencer","En plazo")))))</f>
        <v/>
      </c>
    </row>
    <row r="273">
      <c r="A273" s="22" t="n"/>
      <c r="B273" s="23" t="n"/>
      <c r="C273" s="23" t="n"/>
      <c r="D273" s="23" t="n"/>
      <c r="E273" s="23" t="n"/>
      <c r="F273" s="23" t="n"/>
      <c r="G273" s="24" t="n"/>
      <c r="H273" s="24" t="n"/>
      <c r="I273" s="23" t="n"/>
      <c r="J273" s="24" t="n"/>
      <c r="K273" s="24" t="n"/>
      <c r="L273" s="24" t="n"/>
      <c r="M273" s="23" t="n"/>
      <c r="N273" s="23" t="n"/>
      <c r="O273" s="25" t="n"/>
      <c r="P273" s="23" t="n"/>
      <c r="Q273" s="24" t="n"/>
      <c r="R273" s="26">
        <f>IF(OR(B273="",O273=""),"",IF(OR(P273="Implementada",P273="Verificada",P273="Descartada"),"",O273-$B$3))</f>
        <v/>
      </c>
      <c r="S273" s="27">
        <f>IF(B273="","",IF(OR(P273="Implementada",P273="Verificada",P273="Descartada"),"Cerrada",IF(R273="","Sin fecha",IF(R273&lt;0,"Vencida",IF(R273&lt;=15,"Por vencer","En plazo")))))</f>
        <v/>
      </c>
    </row>
    <row r="274">
      <c r="A274" s="22" t="n"/>
      <c r="B274" s="23" t="n"/>
      <c r="C274" s="23" t="n"/>
      <c r="D274" s="23" t="n"/>
      <c r="E274" s="23" t="n"/>
      <c r="F274" s="23" t="n"/>
      <c r="G274" s="24" t="n"/>
      <c r="H274" s="24" t="n"/>
      <c r="I274" s="23" t="n"/>
      <c r="J274" s="24" t="n"/>
      <c r="K274" s="24" t="n"/>
      <c r="L274" s="24" t="n"/>
      <c r="M274" s="23" t="n"/>
      <c r="N274" s="23" t="n"/>
      <c r="O274" s="25" t="n"/>
      <c r="P274" s="23" t="n"/>
      <c r="Q274" s="24" t="n"/>
      <c r="R274" s="26">
        <f>IF(OR(B274="",O274=""),"",IF(OR(P274="Implementada",P274="Verificada",P274="Descartada"),"",O274-$B$3))</f>
        <v/>
      </c>
      <c r="S274" s="27">
        <f>IF(B274="","",IF(OR(P274="Implementada",P274="Verificada",P274="Descartada"),"Cerrada",IF(R274="","Sin fecha",IF(R274&lt;0,"Vencida",IF(R274&lt;=15,"Por vencer","En plazo")))))</f>
        <v/>
      </c>
    </row>
    <row r="275">
      <c r="A275" s="22" t="n"/>
      <c r="B275" s="23" t="n"/>
      <c r="C275" s="23" t="n"/>
      <c r="D275" s="23" t="n"/>
      <c r="E275" s="23" t="n"/>
      <c r="F275" s="23" t="n"/>
      <c r="G275" s="24" t="n"/>
      <c r="H275" s="24" t="n"/>
      <c r="I275" s="23" t="n"/>
      <c r="J275" s="24" t="n"/>
      <c r="K275" s="24" t="n"/>
      <c r="L275" s="24" t="n"/>
      <c r="M275" s="23" t="n"/>
      <c r="N275" s="23" t="n"/>
      <c r="O275" s="25" t="n"/>
      <c r="P275" s="23" t="n"/>
      <c r="Q275" s="24" t="n"/>
      <c r="R275" s="26">
        <f>IF(OR(B275="",O275=""),"",IF(OR(P275="Implementada",P275="Verificada",P275="Descartada"),"",O275-$B$3))</f>
        <v/>
      </c>
      <c r="S275" s="27">
        <f>IF(B275="","",IF(OR(P275="Implementada",P275="Verificada",P275="Descartada"),"Cerrada",IF(R275="","Sin fecha",IF(R275&lt;0,"Vencida",IF(R275&lt;=15,"Por vencer","En plazo")))))</f>
        <v/>
      </c>
    </row>
    <row r="276">
      <c r="A276" s="22" t="n"/>
      <c r="B276" s="23" t="n"/>
      <c r="C276" s="23" t="n"/>
      <c r="D276" s="23" t="n"/>
      <c r="E276" s="23" t="n"/>
      <c r="F276" s="23" t="n"/>
      <c r="G276" s="24" t="n"/>
      <c r="H276" s="24" t="n"/>
      <c r="I276" s="23" t="n"/>
      <c r="J276" s="24" t="n"/>
      <c r="K276" s="24" t="n"/>
      <c r="L276" s="24" t="n"/>
      <c r="M276" s="23" t="n"/>
      <c r="N276" s="23" t="n"/>
      <c r="O276" s="25" t="n"/>
      <c r="P276" s="23" t="n"/>
      <c r="Q276" s="24" t="n"/>
      <c r="R276" s="26">
        <f>IF(OR(B276="",O276=""),"",IF(OR(P276="Implementada",P276="Verificada",P276="Descartada"),"",O276-$B$3))</f>
        <v/>
      </c>
      <c r="S276" s="27">
        <f>IF(B276="","",IF(OR(P276="Implementada",P276="Verificada",P276="Descartada"),"Cerrada",IF(R276="","Sin fecha",IF(R276&lt;0,"Vencida",IF(R276&lt;=15,"Por vencer","En plazo")))))</f>
        <v/>
      </c>
    </row>
    <row r="277">
      <c r="A277" s="22" t="n"/>
      <c r="B277" s="23" t="n"/>
      <c r="C277" s="23" t="n"/>
      <c r="D277" s="23" t="n"/>
      <c r="E277" s="23" t="n"/>
      <c r="F277" s="23" t="n"/>
      <c r="G277" s="24" t="n"/>
      <c r="H277" s="24" t="n"/>
      <c r="I277" s="23" t="n"/>
      <c r="J277" s="24" t="n"/>
      <c r="K277" s="24" t="n"/>
      <c r="L277" s="24" t="n"/>
      <c r="M277" s="23" t="n"/>
      <c r="N277" s="23" t="n"/>
      <c r="O277" s="25" t="n"/>
      <c r="P277" s="23" t="n"/>
      <c r="Q277" s="24" t="n"/>
      <c r="R277" s="26">
        <f>IF(OR(B277="",O277=""),"",IF(OR(P277="Implementada",P277="Verificada",P277="Descartada"),"",O277-$B$3))</f>
        <v/>
      </c>
      <c r="S277" s="27">
        <f>IF(B277="","",IF(OR(P277="Implementada",P277="Verificada",P277="Descartada"),"Cerrada",IF(R277="","Sin fecha",IF(R277&lt;0,"Vencida",IF(R277&lt;=15,"Por vencer","En plazo")))))</f>
        <v/>
      </c>
    </row>
    <row r="278">
      <c r="A278" s="22" t="n"/>
      <c r="B278" s="23" t="n"/>
      <c r="C278" s="23" t="n"/>
      <c r="D278" s="23" t="n"/>
      <c r="E278" s="23" t="n"/>
      <c r="F278" s="23" t="n"/>
      <c r="G278" s="24" t="n"/>
      <c r="H278" s="24" t="n"/>
      <c r="I278" s="23" t="n"/>
      <c r="J278" s="24" t="n"/>
      <c r="K278" s="24" t="n"/>
      <c r="L278" s="24" t="n"/>
      <c r="M278" s="23" t="n"/>
      <c r="N278" s="23" t="n"/>
      <c r="O278" s="25" t="n"/>
      <c r="P278" s="23" t="n"/>
      <c r="Q278" s="24" t="n"/>
      <c r="R278" s="26">
        <f>IF(OR(B278="",O278=""),"",IF(OR(P278="Implementada",P278="Verificada",P278="Descartada"),"",O278-$B$3))</f>
        <v/>
      </c>
      <c r="S278" s="27">
        <f>IF(B278="","",IF(OR(P278="Implementada",P278="Verificada",P278="Descartada"),"Cerrada",IF(R278="","Sin fecha",IF(R278&lt;0,"Vencida",IF(R278&lt;=15,"Por vencer","En plazo")))))</f>
        <v/>
      </c>
    </row>
    <row r="279">
      <c r="A279" s="22" t="n"/>
      <c r="B279" s="23" t="n"/>
      <c r="C279" s="23" t="n"/>
      <c r="D279" s="23" t="n"/>
      <c r="E279" s="23" t="n"/>
      <c r="F279" s="23" t="n"/>
      <c r="G279" s="24" t="n"/>
      <c r="H279" s="24" t="n"/>
      <c r="I279" s="23" t="n"/>
      <c r="J279" s="24" t="n"/>
      <c r="K279" s="24" t="n"/>
      <c r="L279" s="24" t="n"/>
      <c r="M279" s="23" t="n"/>
      <c r="N279" s="23" t="n"/>
      <c r="O279" s="25" t="n"/>
      <c r="P279" s="23" t="n"/>
      <c r="Q279" s="24" t="n"/>
      <c r="R279" s="26">
        <f>IF(OR(B279="",O279=""),"",IF(OR(P279="Implementada",P279="Verificada",P279="Descartada"),"",O279-$B$3))</f>
        <v/>
      </c>
      <c r="S279" s="27">
        <f>IF(B279="","",IF(OR(P279="Implementada",P279="Verificada",P279="Descartada"),"Cerrada",IF(R279="","Sin fecha",IF(R279&lt;0,"Vencida",IF(R279&lt;=15,"Por vencer","En plazo")))))</f>
        <v/>
      </c>
    </row>
    <row r="280">
      <c r="A280" s="22" t="n"/>
      <c r="B280" s="23" t="n"/>
      <c r="C280" s="23" t="n"/>
      <c r="D280" s="23" t="n"/>
      <c r="E280" s="23" t="n"/>
      <c r="F280" s="23" t="n"/>
      <c r="G280" s="24" t="n"/>
      <c r="H280" s="24" t="n"/>
      <c r="I280" s="23" t="n"/>
      <c r="J280" s="24" t="n"/>
      <c r="K280" s="24" t="n"/>
      <c r="L280" s="24" t="n"/>
      <c r="M280" s="23" t="n"/>
      <c r="N280" s="23" t="n"/>
      <c r="O280" s="25" t="n"/>
      <c r="P280" s="23" t="n"/>
      <c r="Q280" s="24" t="n"/>
      <c r="R280" s="26">
        <f>IF(OR(B280="",O280=""),"",IF(OR(P280="Implementada",P280="Verificada",P280="Descartada"),"",O280-$B$3))</f>
        <v/>
      </c>
      <c r="S280" s="27">
        <f>IF(B280="","",IF(OR(P280="Implementada",P280="Verificada",P280="Descartada"),"Cerrada",IF(R280="","Sin fecha",IF(R280&lt;0,"Vencida",IF(R280&lt;=15,"Por vencer","En plazo")))))</f>
        <v/>
      </c>
    </row>
    <row r="281">
      <c r="A281" s="22" t="n"/>
      <c r="B281" s="23" t="n"/>
      <c r="C281" s="23" t="n"/>
      <c r="D281" s="23" t="n"/>
      <c r="E281" s="23" t="n"/>
      <c r="F281" s="23" t="n"/>
      <c r="G281" s="24" t="n"/>
      <c r="H281" s="24" t="n"/>
      <c r="I281" s="23" t="n"/>
      <c r="J281" s="24" t="n"/>
      <c r="K281" s="24" t="n"/>
      <c r="L281" s="24" t="n"/>
      <c r="M281" s="23" t="n"/>
      <c r="N281" s="23" t="n"/>
      <c r="O281" s="25" t="n"/>
      <c r="P281" s="23" t="n"/>
      <c r="Q281" s="24" t="n"/>
      <c r="R281" s="26">
        <f>IF(OR(B281="",O281=""),"",IF(OR(P281="Implementada",P281="Verificada",P281="Descartada"),"",O281-$B$3))</f>
        <v/>
      </c>
      <c r="S281" s="27">
        <f>IF(B281="","",IF(OR(P281="Implementada",P281="Verificada",P281="Descartada"),"Cerrada",IF(R281="","Sin fecha",IF(R281&lt;0,"Vencida",IF(R281&lt;=15,"Por vencer","En plazo")))))</f>
        <v/>
      </c>
    </row>
    <row r="282">
      <c r="A282" s="22" t="n"/>
      <c r="B282" s="23" t="n"/>
      <c r="C282" s="23" t="n"/>
      <c r="D282" s="23" t="n"/>
      <c r="E282" s="23" t="n"/>
      <c r="F282" s="23" t="n"/>
      <c r="G282" s="24" t="n"/>
      <c r="H282" s="24" t="n"/>
      <c r="I282" s="23" t="n"/>
      <c r="J282" s="24" t="n"/>
      <c r="K282" s="24" t="n"/>
      <c r="L282" s="24" t="n"/>
      <c r="M282" s="23" t="n"/>
      <c r="N282" s="23" t="n"/>
      <c r="O282" s="25" t="n"/>
      <c r="P282" s="23" t="n"/>
      <c r="Q282" s="24" t="n"/>
      <c r="R282" s="26">
        <f>IF(OR(B282="",O282=""),"",IF(OR(P282="Implementada",P282="Verificada",P282="Descartada"),"",O282-$B$3))</f>
        <v/>
      </c>
      <c r="S282" s="27">
        <f>IF(B282="","",IF(OR(P282="Implementada",P282="Verificada",P282="Descartada"),"Cerrada",IF(R282="","Sin fecha",IF(R282&lt;0,"Vencida",IF(R282&lt;=15,"Por vencer","En plazo")))))</f>
        <v/>
      </c>
    </row>
    <row r="283">
      <c r="A283" s="22" t="n"/>
      <c r="B283" s="23" t="n"/>
      <c r="C283" s="23" t="n"/>
      <c r="D283" s="23" t="n"/>
      <c r="E283" s="23" t="n"/>
      <c r="F283" s="23" t="n"/>
      <c r="G283" s="24" t="n"/>
      <c r="H283" s="24" t="n"/>
      <c r="I283" s="23" t="n"/>
      <c r="J283" s="24" t="n"/>
      <c r="K283" s="24" t="n"/>
      <c r="L283" s="24" t="n"/>
      <c r="M283" s="23" t="n"/>
      <c r="N283" s="23" t="n"/>
      <c r="O283" s="25" t="n"/>
      <c r="P283" s="23" t="n"/>
      <c r="Q283" s="24" t="n"/>
      <c r="R283" s="26">
        <f>IF(OR(B283="",O283=""),"",IF(OR(P283="Implementada",P283="Verificada",P283="Descartada"),"",O283-$B$3))</f>
        <v/>
      </c>
      <c r="S283" s="27">
        <f>IF(B283="","",IF(OR(P283="Implementada",P283="Verificada",P283="Descartada"),"Cerrada",IF(R283="","Sin fecha",IF(R283&lt;0,"Vencida",IF(R283&lt;=15,"Por vencer","En plazo")))))</f>
        <v/>
      </c>
    </row>
    <row r="284">
      <c r="A284" s="22" t="n"/>
      <c r="B284" s="23" t="n"/>
      <c r="C284" s="23" t="n"/>
      <c r="D284" s="23" t="n"/>
      <c r="E284" s="23" t="n"/>
      <c r="F284" s="23" t="n"/>
      <c r="G284" s="24" t="n"/>
      <c r="H284" s="24" t="n"/>
      <c r="I284" s="23" t="n"/>
      <c r="J284" s="24" t="n"/>
      <c r="K284" s="24" t="n"/>
      <c r="L284" s="24" t="n"/>
      <c r="M284" s="23" t="n"/>
      <c r="N284" s="23" t="n"/>
      <c r="O284" s="25" t="n"/>
      <c r="P284" s="23" t="n"/>
      <c r="Q284" s="24" t="n"/>
      <c r="R284" s="26">
        <f>IF(OR(B284="",O284=""),"",IF(OR(P284="Implementada",P284="Verificada",P284="Descartada"),"",O284-$B$3))</f>
        <v/>
      </c>
      <c r="S284" s="27">
        <f>IF(B284="","",IF(OR(P284="Implementada",P284="Verificada",P284="Descartada"),"Cerrada",IF(R284="","Sin fecha",IF(R284&lt;0,"Vencida",IF(R284&lt;=15,"Por vencer","En plazo")))))</f>
        <v/>
      </c>
    </row>
    <row r="285">
      <c r="A285" s="22" t="n"/>
      <c r="B285" s="23" t="n"/>
      <c r="C285" s="23" t="n"/>
      <c r="D285" s="23" t="n"/>
      <c r="E285" s="23" t="n"/>
      <c r="F285" s="23" t="n"/>
      <c r="G285" s="24" t="n"/>
      <c r="H285" s="24" t="n"/>
      <c r="I285" s="23" t="n"/>
      <c r="J285" s="24" t="n"/>
      <c r="K285" s="24" t="n"/>
      <c r="L285" s="24" t="n"/>
      <c r="M285" s="23" t="n"/>
      <c r="N285" s="23" t="n"/>
      <c r="O285" s="25" t="n"/>
      <c r="P285" s="23" t="n"/>
      <c r="Q285" s="24" t="n"/>
      <c r="R285" s="26">
        <f>IF(OR(B285="",O285=""),"",IF(OR(P285="Implementada",P285="Verificada",P285="Descartada"),"",O285-$B$3))</f>
        <v/>
      </c>
      <c r="S285" s="27">
        <f>IF(B285="","",IF(OR(P285="Implementada",P285="Verificada",P285="Descartada"),"Cerrada",IF(R285="","Sin fecha",IF(R285&lt;0,"Vencida",IF(R285&lt;=15,"Por vencer","En plazo")))))</f>
        <v/>
      </c>
    </row>
    <row r="286">
      <c r="A286" s="22" t="n"/>
      <c r="B286" s="23" t="n"/>
      <c r="C286" s="23" t="n"/>
      <c r="D286" s="23" t="n"/>
      <c r="E286" s="23" t="n"/>
      <c r="F286" s="23" t="n"/>
      <c r="G286" s="24" t="n"/>
      <c r="H286" s="24" t="n"/>
      <c r="I286" s="23" t="n"/>
      <c r="J286" s="24" t="n"/>
      <c r="K286" s="24" t="n"/>
      <c r="L286" s="24" t="n"/>
      <c r="M286" s="23" t="n"/>
      <c r="N286" s="23" t="n"/>
      <c r="O286" s="25" t="n"/>
      <c r="P286" s="23" t="n"/>
      <c r="Q286" s="24" t="n"/>
      <c r="R286" s="26">
        <f>IF(OR(B286="",O286=""),"",IF(OR(P286="Implementada",P286="Verificada",P286="Descartada"),"",O286-$B$3))</f>
        <v/>
      </c>
      <c r="S286" s="27">
        <f>IF(B286="","",IF(OR(P286="Implementada",P286="Verificada",P286="Descartada"),"Cerrada",IF(R286="","Sin fecha",IF(R286&lt;0,"Vencida",IF(R286&lt;=15,"Por vencer","En plazo")))))</f>
        <v/>
      </c>
    </row>
    <row r="287">
      <c r="A287" s="22" t="n"/>
      <c r="B287" s="23" t="n"/>
      <c r="C287" s="23" t="n"/>
      <c r="D287" s="23" t="n"/>
      <c r="E287" s="23" t="n"/>
      <c r="F287" s="23" t="n"/>
      <c r="G287" s="24" t="n"/>
      <c r="H287" s="24" t="n"/>
      <c r="I287" s="23" t="n"/>
      <c r="J287" s="24" t="n"/>
      <c r="K287" s="24" t="n"/>
      <c r="L287" s="24" t="n"/>
      <c r="M287" s="23" t="n"/>
      <c r="N287" s="23" t="n"/>
      <c r="O287" s="25" t="n"/>
      <c r="P287" s="23" t="n"/>
      <c r="Q287" s="24" t="n"/>
      <c r="R287" s="26">
        <f>IF(OR(B287="",O287=""),"",IF(OR(P287="Implementada",P287="Verificada",P287="Descartada"),"",O287-$B$3))</f>
        <v/>
      </c>
      <c r="S287" s="27">
        <f>IF(B287="","",IF(OR(P287="Implementada",P287="Verificada",P287="Descartada"),"Cerrada",IF(R287="","Sin fecha",IF(R287&lt;0,"Vencida",IF(R287&lt;=15,"Por vencer","En plazo")))))</f>
        <v/>
      </c>
    </row>
    <row r="288">
      <c r="A288" s="22" t="n"/>
      <c r="B288" s="23" t="n"/>
      <c r="C288" s="23" t="n"/>
      <c r="D288" s="23" t="n"/>
      <c r="E288" s="23" t="n"/>
      <c r="F288" s="23" t="n"/>
      <c r="G288" s="24" t="n"/>
      <c r="H288" s="24" t="n"/>
      <c r="I288" s="23" t="n"/>
      <c r="J288" s="24" t="n"/>
      <c r="K288" s="24" t="n"/>
      <c r="L288" s="24" t="n"/>
      <c r="M288" s="23" t="n"/>
      <c r="N288" s="23" t="n"/>
      <c r="O288" s="25" t="n"/>
      <c r="P288" s="23" t="n"/>
      <c r="Q288" s="24" t="n"/>
      <c r="R288" s="26">
        <f>IF(OR(B288="",O288=""),"",IF(OR(P288="Implementada",P288="Verificada",P288="Descartada"),"",O288-$B$3))</f>
        <v/>
      </c>
      <c r="S288" s="27">
        <f>IF(B288="","",IF(OR(P288="Implementada",P288="Verificada",P288="Descartada"),"Cerrada",IF(R288="","Sin fecha",IF(R288&lt;0,"Vencida",IF(R288&lt;=15,"Por vencer","En plazo")))))</f>
        <v/>
      </c>
    </row>
    <row r="289">
      <c r="A289" s="22" t="n"/>
      <c r="B289" s="23" t="n"/>
      <c r="C289" s="23" t="n"/>
      <c r="D289" s="23" t="n"/>
      <c r="E289" s="23" t="n"/>
      <c r="F289" s="23" t="n"/>
      <c r="G289" s="24" t="n"/>
      <c r="H289" s="24" t="n"/>
      <c r="I289" s="23" t="n"/>
      <c r="J289" s="24" t="n"/>
      <c r="K289" s="24" t="n"/>
      <c r="L289" s="24" t="n"/>
      <c r="M289" s="23" t="n"/>
      <c r="N289" s="23" t="n"/>
      <c r="O289" s="25" t="n"/>
      <c r="P289" s="23" t="n"/>
      <c r="Q289" s="24" t="n"/>
      <c r="R289" s="26">
        <f>IF(OR(B289="",O289=""),"",IF(OR(P289="Implementada",P289="Verificada",P289="Descartada"),"",O289-$B$3))</f>
        <v/>
      </c>
      <c r="S289" s="27">
        <f>IF(B289="","",IF(OR(P289="Implementada",P289="Verificada",P289="Descartada"),"Cerrada",IF(R289="","Sin fecha",IF(R289&lt;0,"Vencida",IF(R289&lt;=15,"Por vencer","En plazo")))))</f>
        <v/>
      </c>
    </row>
    <row r="290">
      <c r="A290" s="22" t="n"/>
      <c r="B290" s="23" t="n"/>
      <c r="C290" s="23" t="n"/>
      <c r="D290" s="23" t="n"/>
      <c r="E290" s="23" t="n"/>
      <c r="F290" s="23" t="n"/>
      <c r="G290" s="24" t="n"/>
      <c r="H290" s="24" t="n"/>
      <c r="I290" s="23" t="n"/>
      <c r="J290" s="24" t="n"/>
      <c r="K290" s="24" t="n"/>
      <c r="L290" s="24" t="n"/>
      <c r="M290" s="23" t="n"/>
      <c r="N290" s="23" t="n"/>
      <c r="O290" s="25" t="n"/>
      <c r="P290" s="23" t="n"/>
      <c r="Q290" s="24" t="n"/>
      <c r="R290" s="26">
        <f>IF(OR(B290="",O290=""),"",IF(OR(P290="Implementada",P290="Verificada",P290="Descartada"),"",O290-$B$3))</f>
        <v/>
      </c>
      <c r="S290" s="27">
        <f>IF(B290="","",IF(OR(P290="Implementada",P290="Verificada",P290="Descartada"),"Cerrada",IF(R290="","Sin fecha",IF(R290&lt;0,"Vencida",IF(R290&lt;=15,"Por vencer","En plazo")))))</f>
        <v/>
      </c>
    </row>
    <row r="291">
      <c r="A291" s="22" t="n"/>
      <c r="B291" s="23" t="n"/>
      <c r="C291" s="23" t="n"/>
      <c r="D291" s="23" t="n"/>
      <c r="E291" s="23" t="n"/>
      <c r="F291" s="23" t="n"/>
      <c r="G291" s="24" t="n"/>
      <c r="H291" s="24" t="n"/>
      <c r="I291" s="23" t="n"/>
      <c r="J291" s="24" t="n"/>
      <c r="K291" s="24" t="n"/>
      <c r="L291" s="24" t="n"/>
      <c r="M291" s="23" t="n"/>
      <c r="N291" s="23" t="n"/>
      <c r="O291" s="25" t="n"/>
      <c r="P291" s="23" t="n"/>
      <c r="Q291" s="24" t="n"/>
      <c r="R291" s="26">
        <f>IF(OR(B291="",O291=""),"",IF(OR(P291="Implementada",P291="Verificada",P291="Descartada"),"",O291-$B$3))</f>
        <v/>
      </c>
      <c r="S291" s="27">
        <f>IF(B291="","",IF(OR(P291="Implementada",P291="Verificada",P291="Descartada"),"Cerrada",IF(R291="","Sin fecha",IF(R291&lt;0,"Vencida",IF(R291&lt;=15,"Por vencer","En plazo")))))</f>
        <v/>
      </c>
    </row>
    <row r="292">
      <c r="A292" s="22" t="n"/>
      <c r="B292" s="23" t="n"/>
      <c r="C292" s="23" t="n"/>
      <c r="D292" s="23" t="n"/>
      <c r="E292" s="23" t="n"/>
      <c r="F292" s="23" t="n"/>
      <c r="G292" s="24" t="n"/>
      <c r="H292" s="24" t="n"/>
      <c r="I292" s="23" t="n"/>
      <c r="J292" s="24" t="n"/>
      <c r="K292" s="24" t="n"/>
      <c r="L292" s="24" t="n"/>
      <c r="M292" s="23" t="n"/>
      <c r="N292" s="23" t="n"/>
      <c r="O292" s="25" t="n"/>
      <c r="P292" s="23" t="n"/>
      <c r="Q292" s="24" t="n"/>
      <c r="R292" s="26">
        <f>IF(OR(B292="",O292=""),"",IF(OR(P292="Implementada",P292="Verificada",P292="Descartada"),"",O292-$B$3))</f>
        <v/>
      </c>
      <c r="S292" s="27">
        <f>IF(B292="","",IF(OR(P292="Implementada",P292="Verificada",P292="Descartada"),"Cerrada",IF(R292="","Sin fecha",IF(R292&lt;0,"Vencida",IF(R292&lt;=15,"Por vencer","En plazo")))))</f>
        <v/>
      </c>
    </row>
    <row r="293">
      <c r="A293" s="22" t="n"/>
      <c r="B293" s="23" t="n"/>
      <c r="C293" s="23" t="n"/>
      <c r="D293" s="23" t="n"/>
      <c r="E293" s="23" t="n"/>
      <c r="F293" s="23" t="n"/>
      <c r="G293" s="24" t="n"/>
      <c r="H293" s="24" t="n"/>
      <c r="I293" s="23" t="n"/>
      <c r="J293" s="24" t="n"/>
      <c r="K293" s="24" t="n"/>
      <c r="L293" s="24" t="n"/>
      <c r="M293" s="23" t="n"/>
      <c r="N293" s="23" t="n"/>
      <c r="O293" s="25" t="n"/>
      <c r="P293" s="23" t="n"/>
      <c r="Q293" s="24" t="n"/>
      <c r="R293" s="26">
        <f>IF(OR(B293="",O293=""),"",IF(OR(P293="Implementada",P293="Verificada",P293="Descartada"),"",O293-$B$3))</f>
        <v/>
      </c>
      <c r="S293" s="27">
        <f>IF(B293="","",IF(OR(P293="Implementada",P293="Verificada",P293="Descartada"),"Cerrada",IF(R293="","Sin fecha",IF(R293&lt;0,"Vencida",IF(R293&lt;=15,"Por vencer","En plazo")))))</f>
        <v/>
      </c>
    </row>
    <row r="294">
      <c r="A294" s="22" t="n"/>
      <c r="B294" s="23" t="n"/>
      <c r="C294" s="23" t="n"/>
      <c r="D294" s="23" t="n"/>
      <c r="E294" s="23" t="n"/>
      <c r="F294" s="23" t="n"/>
      <c r="G294" s="24" t="n"/>
      <c r="H294" s="24" t="n"/>
      <c r="I294" s="23" t="n"/>
      <c r="J294" s="24" t="n"/>
      <c r="K294" s="24" t="n"/>
      <c r="L294" s="24" t="n"/>
      <c r="M294" s="23" t="n"/>
      <c r="N294" s="23" t="n"/>
      <c r="O294" s="25" t="n"/>
      <c r="P294" s="23" t="n"/>
      <c r="Q294" s="24" t="n"/>
      <c r="R294" s="26">
        <f>IF(OR(B294="",O294=""),"",IF(OR(P294="Implementada",P294="Verificada",P294="Descartada"),"",O294-$B$3))</f>
        <v/>
      </c>
      <c r="S294" s="27">
        <f>IF(B294="","",IF(OR(P294="Implementada",P294="Verificada",P294="Descartada"),"Cerrada",IF(R294="","Sin fecha",IF(R294&lt;0,"Vencida",IF(R294&lt;=15,"Por vencer","En plazo")))))</f>
        <v/>
      </c>
    </row>
    <row r="295">
      <c r="A295" s="22" t="n"/>
      <c r="B295" s="23" t="n"/>
      <c r="C295" s="23" t="n"/>
      <c r="D295" s="23" t="n"/>
      <c r="E295" s="23" t="n"/>
      <c r="F295" s="23" t="n"/>
      <c r="G295" s="24" t="n"/>
      <c r="H295" s="24" t="n"/>
      <c r="I295" s="23" t="n"/>
      <c r="J295" s="24" t="n"/>
      <c r="K295" s="24" t="n"/>
      <c r="L295" s="24" t="n"/>
      <c r="M295" s="23" t="n"/>
      <c r="N295" s="23" t="n"/>
      <c r="O295" s="25" t="n"/>
      <c r="P295" s="23" t="n"/>
      <c r="Q295" s="24" t="n"/>
      <c r="R295" s="26">
        <f>IF(OR(B295="",O295=""),"",IF(OR(P295="Implementada",P295="Verificada",P295="Descartada"),"",O295-$B$3))</f>
        <v/>
      </c>
      <c r="S295" s="27">
        <f>IF(B295="","",IF(OR(P295="Implementada",P295="Verificada",P295="Descartada"),"Cerrada",IF(R295="","Sin fecha",IF(R295&lt;0,"Vencida",IF(R295&lt;=15,"Por vencer","En plazo")))))</f>
        <v/>
      </c>
    </row>
    <row r="296">
      <c r="A296" s="22" t="n"/>
      <c r="B296" s="23" t="n"/>
      <c r="C296" s="23" t="n"/>
      <c r="D296" s="23" t="n"/>
      <c r="E296" s="23" t="n"/>
      <c r="F296" s="23" t="n"/>
      <c r="G296" s="24" t="n"/>
      <c r="H296" s="24" t="n"/>
      <c r="I296" s="23" t="n"/>
      <c r="J296" s="24" t="n"/>
      <c r="K296" s="24" t="n"/>
      <c r="L296" s="24" t="n"/>
      <c r="M296" s="23" t="n"/>
      <c r="N296" s="23" t="n"/>
      <c r="O296" s="25" t="n"/>
      <c r="P296" s="23" t="n"/>
      <c r="Q296" s="24" t="n"/>
      <c r="R296" s="26">
        <f>IF(OR(B296="",O296=""),"",IF(OR(P296="Implementada",P296="Verificada",P296="Descartada"),"",O296-$B$3))</f>
        <v/>
      </c>
      <c r="S296" s="27">
        <f>IF(B296="","",IF(OR(P296="Implementada",P296="Verificada",P296="Descartada"),"Cerrada",IF(R296="","Sin fecha",IF(R296&lt;0,"Vencida",IF(R296&lt;=15,"Por vencer","En plazo")))))</f>
        <v/>
      </c>
    </row>
    <row r="297">
      <c r="A297" s="22" t="n"/>
      <c r="B297" s="23" t="n"/>
      <c r="C297" s="23" t="n"/>
      <c r="D297" s="23" t="n"/>
      <c r="E297" s="23" t="n"/>
      <c r="F297" s="23" t="n"/>
      <c r="G297" s="24" t="n"/>
      <c r="H297" s="24" t="n"/>
      <c r="I297" s="23" t="n"/>
      <c r="J297" s="24" t="n"/>
      <c r="K297" s="24" t="n"/>
      <c r="L297" s="24" t="n"/>
      <c r="M297" s="23" t="n"/>
      <c r="N297" s="23" t="n"/>
      <c r="O297" s="25" t="n"/>
      <c r="P297" s="23" t="n"/>
      <c r="Q297" s="24" t="n"/>
      <c r="R297" s="26">
        <f>IF(OR(B297="",O297=""),"",IF(OR(P297="Implementada",P297="Verificada",P297="Descartada"),"",O297-$B$3))</f>
        <v/>
      </c>
      <c r="S297" s="27">
        <f>IF(B297="","",IF(OR(P297="Implementada",P297="Verificada",P297="Descartada"),"Cerrada",IF(R297="","Sin fecha",IF(R297&lt;0,"Vencida",IF(R297&lt;=15,"Por vencer","En plazo")))))</f>
        <v/>
      </c>
    </row>
    <row r="298">
      <c r="A298" s="22" t="n"/>
      <c r="B298" s="23" t="n"/>
      <c r="C298" s="23" t="n"/>
      <c r="D298" s="23" t="n"/>
      <c r="E298" s="23" t="n"/>
      <c r="F298" s="23" t="n"/>
      <c r="G298" s="24" t="n"/>
      <c r="H298" s="24" t="n"/>
      <c r="I298" s="23" t="n"/>
      <c r="J298" s="24" t="n"/>
      <c r="K298" s="24" t="n"/>
      <c r="L298" s="24" t="n"/>
      <c r="M298" s="23" t="n"/>
      <c r="N298" s="23" t="n"/>
      <c r="O298" s="25" t="n"/>
      <c r="P298" s="23" t="n"/>
      <c r="Q298" s="24" t="n"/>
      <c r="R298" s="26">
        <f>IF(OR(B298="",O298=""),"",IF(OR(P298="Implementada",P298="Verificada",P298="Descartada"),"",O298-$B$3))</f>
        <v/>
      </c>
      <c r="S298" s="27">
        <f>IF(B298="","",IF(OR(P298="Implementada",P298="Verificada",P298="Descartada"),"Cerrada",IF(R298="","Sin fecha",IF(R298&lt;0,"Vencida",IF(R298&lt;=15,"Por vencer","En plazo")))))</f>
        <v/>
      </c>
    </row>
    <row r="299">
      <c r="A299" s="22" t="n"/>
      <c r="B299" s="23" t="n"/>
      <c r="C299" s="23" t="n"/>
      <c r="D299" s="23" t="n"/>
      <c r="E299" s="23" t="n"/>
      <c r="F299" s="23" t="n"/>
      <c r="G299" s="24" t="n"/>
      <c r="H299" s="24" t="n"/>
      <c r="I299" s="23" t="n"/>
      <c r="J299" s="24" t="n"/>
      <c r="K299" s="24" t="n"/>
      <c r="L299" s="24" t="n"/>
      <c r="M299" s="23" t="n"/>
      <c r="N299" s="23" t="n"/>
      <c r="O299" s="25" t="n"/>
      <c r="P299" s="23" t="n"/>
      <c r="Q299" s="24" t="n"/>
      <c r="R299" s="26">
        <f>IF(OR(B299="",O299=""),"",IF(OR(P299="Implementada",P299="Verificada",P299="Descartada"),"",O299-$B$3))</f>
        <v/>
      </c>
      <c r="S299" s="27">
        <f>IF(B299="","",IF(OR(P299="Implementada",P299="Verificada",P299="Descartada"),"Cerrada",IF(R299="","Sin fecha",IF(R299&lt;0,"Vencida",IF(R299&lt;=15,"Por vencer","En plazo")))))</f>
        <v/>
      </c>
    </row>
    <row r="300">
      <c r="A300" s="22" t="n"/>
      <c r="B300" s="23" t="n"/>
      <c r="C300" s="23" t="n"/>
      <c r="D300" s="23" t="n"/>
      <c r="E300" s="23" t="n"/>
      <c r="F300" s="23" t="n"/>
      <c r="G300" s="24" t="n"/>
      <c r="H300" s="24" t="n"/>
      <c r="I300" s="23" t="n"/>
      <c r="J300" s="24" t="n"/>
      <c r="K300" s="24" t="n"/>
      <c r="L300" s="24" t="n"/>
      <c r="M300" s="23" t="n"/>
      <c r="N300" s="23" t="n"/>
      <c r="O300" s="25" t="n"/>
      <c r="P300" s="23" t="n"/>
      <c r="Q300" s="24" t="n"/>
      <c r="R300" s="26">
        <f>IF(OR(B300="",O300=""),"",IF(OR(P300="Implementada",P300="Verificada",P300="Descartada"),"",O300-$B$3))</f>
        <v/>
      </c>
      <c r="S300" s="27">
        <f>IF(B300="","",IF(OR(P300="Implementada",P300="Verificada",P300="Descartada"),"Cerrada",IF(R300="","Sin fecha",IF(R300&lt;0,"Vencida",IF(R300&lt;=15,"Por vencer","En plazo")))))</f>
        <v/>
      </c>
    </row>
    <row r="301">
      <c r="A301" s="22" t="n"/>
      <c r="B301" s="23" t="n"/>
      <c r="C301" s="23" t="n"/>
      <c r="D301" s="23" t="n"/>
      <c r="E301" s="23" t="n"/>
      <c r="F301" s="23" t="n"/>
      <c r="G301" s="24" t="n"/>
      <c r="H301" s="24" t="n"/>
      <c r="I301" s="23" t="n"/>
      <c r="J301" s="24" t="n"/>
      <c r="K301" s="24" t="n"/>
      <c r="L301" s="24" t="n"/>
      <c r="M301" s="23" t="n"/>
      <c r="N301" s="23" t="n"/>
      <c r="O301" s="25" t="n"/>
      <c r="P301" s="23" t="n"/>
      <c r="Q301" s="24" t="n"/>
      <c r="R301" s="26">
        <f>IF(OR(B301="",O301=""),"",IF(OR(P301="Implementada",P301="Verificada",P301="Descartada"),"",O301-$B$3))</f>
        <v/>
      </c>
      <c r="S301" s="27">
        <f>IF(B301="","",IF(OR(P301="Implementada",P301="Verificada",P301="Descartada"),"Cerrada",IF(R301="","Sin fecha",IF(R301&lt;0,"Vencida",IF(R301&lt;=15,"Por vencer","En plazo")))))</f>
        <v/>
      </c>
    </row>
    <row r="302">
      <c r="A302" s="22" t="n"/>
      <c r="B302" s="23" t="n"/>
      <c r="C302" s="23" t="n"/>
      <c r="D302" s="23" t="n"/>
      <c r="E302" s="23" t="n"/>
      <c r="F302" s="23" t="n"/>
      <c r="G302" s="24" t="n"/>
      <c r="H302" s="24" t="n"/>
      <c r="I302" s="23" t="n"/>
      <c r="J302" s="24" t="n"/>
      <c r="K302" s="24" t="n"/>
      <c r="L302" s="24" t="n"/>
      <c r="M302" s="23" t="n"/>
      <c r="N302" s="23" t="n"/>
      <c r="O302" s="25" t="n"/>
      <c r="P302" s="23" t="n"/>
      <c r="Q302" s="24" t="n"/>
      <c r="R302" s="26">
        <f>IF(OR(B302="",O302=""),"",IF(OR(P302="Implementada",P302="Verificada",P302="Descartada"),"",O302-$B$3))</f>
        <v/>
      </c>
      <c r="S302" s="27">
        <f>IF(B302="","",IF(OR(P302="Implementada",P302="Verificada",P302="Descartada"),"Cerrada",IF(R302="","Sin fecha",IF(R302&lt;0,"Vencida",IF(R302&lt;=15,"Por vencer","En plazo")))))</f>
        <v/>
      </c>
    </row>
    <row r="303">
      <c r="A303" s="22" t="n"/>
      <c r="B303" s="23" t="n"/>
      <c r="C303" s="23" t="n"/>
      <c r="D303" s="23" t="n"/>
      <c r="E303" s="23" t="n"/>
      <c r="F303" s="23" t="n"/>
      <c r="G303" s="24" t="n"/>
      <c r="H303" s="24" t="n"/>
      <c r="I303" s="23" t="n"/>
      <c r="J303" s="24" t="n"/>
      <c r="K303" s="24" t="n"/>
      <c r="L303" s="24" t="n"/>
      <c r="M303" s="23" t="n"/>
      <c r="N303" s="23" t="n"/>
      <c r="O303" s="25" t="n"/>
      <c r="P303" s="23" t="n"/>
      <c r="Q303" s="24" t="n"/>
      <c r="R303" s="26">
        <f>IF(OR(B303="",O303=""),"",IF(OR(P303="Implementada",P303="Verificada",P303="Descartada"),"",O303-$B$3))</f>
        <v/>
      </c>
      <c r="S303" s="27">
        <f>IF(B303="","",IF(OR(P303="Implementada",P303="Verificada",P303="Descartada"),"Cerrada",IF(R303="","Sin fecha",IF(R303&lt;0,"Vencida",IF(R303&lt;=15,"Por vencer","En plazo")))))</f>
        <v/>
      </c>
    </row>
    <row r="304">
      <c r="A304" s="22" t="n"/>
      <c r="B304" s="23" t="n"/>
      <c r="C304" s="23" t="n"/>
      <c r="D304" s="23" t="n"/>
      <c r="E304" s="23" t="n"/>
      <c r="F304" s="23" t="n"/>
      <c r="G304" s="24" t="n"/>
      <c r="H304" s="24" t="n"/>
      <c r="I304" s="23" t="n"/>
      <c r="J304" s="24" t="n"/>
      <c r="K304" s="24" t="n"/>
      <c r="L304" s="24" t="n"/>
      <c r="M304" s="23" t="n"/>
      <c r="N304" s="23" t="n"/>
      <c r="O304" s="25" t="n"/>
      <c r="P304" s="23" t="n"/>
      <c r="Q304" s="24" t="n"/>
      <c r="R304" s="26">
        <f>IF(OR(B304="",O304=""),"",IF(OR(P304="Implementada",P304="Verificada",P304="Descartada"),"",O304-$B$3))</f>
        <v/>
      </c>
      <c r="S304" s="27">
        <f>IF(B304="","",IF(OR(P304="Implementada",P304="Verificada",P304="Descartada"),"Cerrada",IF(R304="","Sin fecha",IF(R304&lt;0,"Vencida",IF(R304&lt;=15,"Por vencer","En plazo")))))</f>
        <v/>
      </c>
    </row>
    <row r="305">
      <c r="A305" s="22" t="n"/>
      <c r="B305" s="23" t="n"/>
      <c r="C305" s="23" t="n"/>
      <c r="D305" s="23" t="n"/>
      <c r="E305" s="23" t="n"/>
      <c r="F305" s="23" t="n"/>
      <c r="G305" s="24" t="n"/>
      <c r="H305" s="24" t="n"/>
      <c r="I305" s="23" t="n"/>
      <c r="J305" s="24" t="n"/>
      <c r="K305" s="24" t="n"/>
      <c r="L305" s="24" t="n"/>
      <c r="M305" s="23" t="n"/>
      <c r="N305" s="23" t="n"/>
      <c r="O305" s="25" t="n"/>
      <c r="P305" s="23" t="n"/>
      <c r="Q305" s="24" t="n"/>
      <c r="R305" s="26">
        <f>IF(OR(B305="",O305=""),"",IF(OR(P305="Implementada",P305="Verificada",P305="Descartada"),"",O305-$B$3))</f>
        <v/>
      </c>
      <c r="S305" s="27">
        <f>IF(B305="","",IF(OR(P305="Implementada",P305="Verificada",P305="Descartada"),"Cerrada",IF(R305="","Sin fecha",IF(R305&lt;0,"Vencida",IF(R305&lt;=15,"Por vencer","En plazo")))))</f>
        <v/>
      </c>
    </row>
  </sheetData>
  <autoFilter ref="A5:S305"/>
  <conditionalFormatting sqref="A6:S305">
    <cfRule type="expression" priority="1" dxfId="0" stopIfTrue="1">
      <formula>$S6="Vencida"</formula>
    </cfRule>
    <cfRule type="expression" priority="2" dxfId="1" stopIfTrue="1">
      <formula>$S6="Por vencer"</formula>
    </cfRule>
  </conditionalFormatting>
  <conditionalFormatting sqref="S6:S305">
    <cfRule type="expression" priority="3" dxfId="2" stopIfTrue="1">
      <formula>$S6="Cerrada"</formula>
    </cfRule>
  </conditionalFormatting>
  <dataValidations count="8">
    <dataValidation sqref="C6:C305" showDropDown="0" showInputMessage="0" showErrorMessage="1" allowBlank="1" errorTitle="Valor no válido" error="Seleccione un valor de la lista." prompt="Seleccione fase de origen" type="list">
      <formula1>=Fases</formula1>
    </dataValidation>
    <dataValidation sqref="D6:D305" showDropDown="0" showInputMessage="0" showErrorMessage="1" allowBlank="1" errorTitle="Valor no válido" error="Seleccione un valor de la lista." prompt="Seleccione etapa del ciclo de vida" type="list">
      <formula1>=Etapas</formula1>
    </dataValidation>
    <dataValidation sqref="E6:E305" showDropDown="0" showInputMessage="0" showErrorMessage="1" allowBlank="1" errorTitle="Valor no válido" error="Seleccione un valor de la lista." prompt="Seleccione categoría" type="list">
      <formula1>=CategoriasLeccion</formula1>
    </dataValidation>
    <dataValidation sqref="F6:F305" showDropDown="0" showInputMessage="0" showErrorMessage="1" allowBlank="1" errorTitle="Valor no válido" error="Seleccione un valor de la lista." prompt="Seleccione tipo" type="list">
      <formula1>"Positiva,Negativa"</formula1>
    </dataValidation>
    <dataValidation sqref="I6:I305" showDropDown="0" showInputMessage="0" showErrorMessage="1" allowBlank="1" errorTitle="Valor no válido" error="Seleccione un valor de la lista." prompt="Seleccione impacto" type="list">
      <formula1>"Alto,Medio,Bajo"</formula1>
    </dataValidation>
    <dataValidation sqref="M6:M305" showDropDown="0" showInputMessage="0" showErrorMessage="1" allowBlank="1" errorTitle="Valor no válido" error="Seleccione un valor de la lista." prompt="Seleccione fase de aplicación" type="list">
      <formula1>=Fases</formula1>
    </dataValidation>
    <dataValidation sqref="N6:N305" showDropDown="0" showInputMessage="0" showErrorMessage="1" allowBlank="1" errorTitle="Valor no válido" error="Seleccione un valor de la lista." prompt="Seleccione responsable (rol)" type="list">
      <formula1>=Roles</formula1>
    </dataValidation>
    <dataValidation sqref="P6:P305" showDropDown="0" showInputMessage="0" showErrorMessage="1" allowBlank="1" errorTitle="Valor no válido" error="Seleccione un valor de la lista." prompt="Seleccione estado" type="list">
      <formula1>=EstadosLeccion</formula1>
    </dataValidation>
  </dataValidations>
  <printOptions horizontalCentered="1"/>
  <pageMargins left="0.4" right="0.4" top="0.6" bottom="0.6" header="0.5" footer="0.5"/>
  <pageSetup orientation="landscape" paperSize="9" fitToHeight="0" fitToWidth="1"/>
  <headerFooter>
    <oddHeader>&amp;L&amp;8 Kit de implementación AWP&amp;R&amp;8 Registro de lecciones aprendidas</oddHeader>
    <oddFooter>&amp;L&amp;8 Proyecto Tipo (PT) – Complejo de instalaciones en tres fases&amp;R&amp;8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14"/>
  <sheetViews>
    <sheetView tabSelected="0" workbookViewId="0">
      <selection activeCell="A1" sqref="A1"/>
    </sheetView>
  </sheetViews>
  <sheetFormatPr baseColWidth="8" defaultRowHeight="15"/>
  <cols>
    <col width="1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24" customHeight="1">
      <c r="A1" s="11" t="inlineStr">
        <is>
          <t>Resumen de lecciones aprendidas</t>
        </is>
      </c>
    </row>
    <row r="2">
      <c r="A2" s="2" t="inlineStr">
        <is>
          <t>Calculado a partir de la hoja «Lecciones».</t>
        </is>
      </c>
    </row>
    <row r="4">
      <c r="A4" s="5" t="inlineStr">
        <is>
          <t>Por fase de origen y estado</t>
        </is>
      </c>
    </row>
    <row r="5" ht="32" customHeight="1">
      <c r="A5" s="14" t="inlineStr"/>
      <c r="B5" s="14" t="inlineStr">
        <is>
          <t>Registrada</t>
        </is>
      </c>
      <c r="C5" s="14" t="inlineStr">
        <is>
          <t>En análisis</t>
        </is>
      </c>
      <c r="D5" s="14" t="inlineStr">
        <is>
          <t>Aprobada</t>
        </is>
      </c>
      <c r="E5" s="14" t="inlineStr">
        <is>
          <t>Implementada</t>
        </is>
      </c>
      <c r="F5" s="14" t="inlineStr">
        <is>
          <t>Verificada</t>
        </is>
      </c>
      <c r="G5" s="14" t="inlineStr">
        <is>
          <t>Descartada</t>
        </is>
      </c>
      <c r="H5" s="14" t="inlineStr">
        <is>
          <t>Vencidas</t>
        </is>
      </c>
    </row>
    <row r="6">
      <c r="A6" s="28" t="inlineStr">
        <is>
          <t>Fase 1</t>
        </is>
      </c>
      <c r="B6" s="29">
        <f>COUNTIFS(Lecciones!$C$6:$C$305,$A6,Lecciones!$P$6:$P$305,"Registrada")</f>
        <v/>
      </c>
      <c r="C6" s="29">
        <f>COUNTIFS(Lecciones!$C$6:$C$305,$A6,Lecciones!$P$6:$P$305,"En análisis")</f>
        <v/>
      </c>
      <c r="D6" s="29">
        <f>COUNTIFS(Lecciones!$C$6:$C$305,$A6,Lecciones!$P$6:$P$305,"Aprobada")</f>
        <v/>
      </c>
      <c r="E6" s="29">
        <f>COUNTIFS(Lecciones!$C$6:$C$305,$A6,Lecciones!$P$6:$P$305,"Implementada")</f>
        <v/>
      </c>
      <c r="F6" s="29">
        <f>COUNTIFS(Lecciones!$C$6:$C$305,$A6,Lecciones!$P$6:$P$305,"Verificada")</f>
        <v/>
      </c>
      <c r="G6" s="29">
        <f>COUNTIFS(Lecciones!$C$6:$C$305,$A6,Lecciones!$P$6:$P$305,"Descartada")</f>
        <v/>
      </c>
      <c r="H6" s="29">
        <f>COUNTIFS(Lecciones!$C$6:$C$305,$A6,Lecciones!$S$6:$S$305,"Vencida")</f>
        <v/>
      </c>
    </row>
    <row r="7">
      <c r="A7" s="28" t="inlineStr">
        <is>
          <t>Fase 2</t>
        </is>
      </c>
      <c r="B7" s="29">
        <f>COUNTIFS(Lecciones!$C$6:$C$305,$A7,Lecciones!$P$6:$P$305,"Registrada")</f>
        <v/>
      </c>
      <c r="C7" s="29">
        <f>COUNTIFS(Lecciones!$C$6:$C$305,$A7,Lecciones!$P$6:$P$305,"En análisis")</f>
        <v/>
      </c>
      <c r="D7" s="29">
        <f>COUNTIFS(Lecciones!$C$6:$C$305,$A7,Lecciones!$P$6:$P$305,"Aprobada")</f>
        <v/>
      </c>
      <c r="E7" s="29">
        <f>COUNTIFS(Lecciones!$C$6:$C$305,$A7,Lecciones!$P$6:$P$305,"Implementada")</f>
        <v/>
      </c>
      <c r="F7" s="29">
        <f>COUNTIFS(Lecciones!$C$6:$C$305,$A7,Lecciones!$P$6:$P$305,"Verificada")</f>
        <v/>
      </c>
      <c r="G7" s="29">
        <f>COUNTIFS(Lecciones!$C$6:$C$305,$A7,Lecciones!$P$6:$P$305,"Descartada")</f>
        <v/>
      </c>
      <c r="H7" s="29">
        <f>COUNTIFS(Lecciones!$C$6:$C$305,$A7,Lecciones!$S$6:$S$305,"Vencida")</f>
        <v/>
      </c>
    </row>
    <row r="8">
      <c r="A8" s="28" t="inlineStr">
        <is>
          <t>Fase 3</t>
        </is>
      </c>
      <c r="B8" s="29">
        <f>COUNTIFS(Lecciones!$C$6:$C$305,$A8,Lecciones!$P$6:$P$305,"Registrada")</f>
        <v/>
      </c>
      <c r="C8" s="29">
        <f>COUNTIFS(Lecciones!$C$6:$C$305,$A8,Lecciones!$P$6:$P$305,"En análisis")</f>
        <v/>
      </c>
      <c r="D8" s="29">
        <f>COUNTIFS(Lecciones!$C$6:$C$305,$A8,Lecciones!$P$6:$P$305,"Aprobada")</f>
        <v/>
      </c>
      <c r="E8" s="29">
        <f>COUNTIFS(Lecciones!$C$6:$C$305,$A8,Lecciones!$P$6:$P$305,"Implementada")</f>
        <v/>
      </c>
      <c r="F8" s="29">
        <f>COUNTIFS(Lecciones!$C$6:$C$305,$A8,Lecciones!$P$6:$P$305,"Verificada")</f>
        <v/>
      </c>
      <c r="G8" s="29">
        <f>COUNTIFS(Lecciones!$C$6:$C$305,$A8,Lecciones!$P$6:$P$305,"Descartada")</f>
        <v/>
      </c>
      <c r="H8" s="29">
        <f>COUNTIFS(Lecciones!$C$6:$C$305,$A8,Lecciones!$S$6:$S$305,"Vencida")</f>
        <v/>
      </c>
    </row>
    <row r="10">
      <c r="A10" s="5" t="inlineStr">
        <is>
          <t>Por fase de aplicación (acciones que recibe cada fase)</t>
        </is>
      </c>
    </row>
    <row r="11" ht="32" customHeight="1">
      <c r="A11" s="14" t="inlineStr"/>
      <c r="B11" s="14" t="inlineStr">
        <is>
          <t>Total</t>
        </is>
      </c>
      <c r="C11" s="14" t="inlineStr">
        <is>
          <t>Pendientes</t>
        </is>
      </c>
      <c r="D11" s="14" t="inlineStr">
        <is>
          <t>Implementadas o verificadas</t>
        </is>
      </c>
    </row>
    <row r="12">
      <c r="A12" s="28" t="inlineStr">
        <is>
          <t>Fase 1</t>
        </is>
      </c>
      <c r="B12" s="29">
        <f>COUNTIF(Lecciones!$M$6:$M$305,$A12)</f>
        <v/>
      </c>
      <c r="C12" s="29">
        <f>COUNTIFS(Lecciones!$M$6:$M$305,$A12,Lecciones!$P$6:$P$305,"Registrada")+COUNTIFS(Lecciones!$M$6:$M$305,$A12,Lecciones!$P$6:$P$305,"En análisis")+COUNTIFS(Lecciones!$M$6:$M$305,$A12,Lecciones!$P$6:$P$305,"Aprobada")</f>
        <v/>
      </c>
      <c r="D12" s="29">
        <f>COUNTIFS(Lecciones!$M$6:$M$305,$A12,Lecciones!$P$6:$P$305,"Implementada")+COUNTIFS(Lecciones!$M$6:$M$305,$A12,Lecciones!$P$6:$P$305,"Verificada")</f>
        <v/>
      </c>
    </row>
    <row r="13">
      <c r="A13" s="28" t="inlineStr">
        <is>
          <t>Fase 2</t>
        </is>
      </c>
      <c r="B13" s="29">
        <f>COUNTIF(Lecciones!$M$6:$M$305,$A13)</f>
        <v/>
      </c>
      <c r="C13" s="29">
        <f>COUNTIFS(Lecciones!$M$6:$M$305,$A13,Lecciones!$P$6:$P$305,"Registrada")+COUNTIFS(Lecciones!$M$6:$M$305,$A13,Lecciones!$P$6:$P$305,"En análisis")+COUNTIFS(Lecciones!$M$6:$M$305,$A13,Lecciones!$P$6:$P$305,"Aprobada")</f>
        <v/>
      </c>
      <c r="D13" s="29">
        <f>COUNTIFS(Lecciones!$M$6:$M$305,$A13,Lecciones!$P$6:$P$305,"Implementada")+COUNTIFS(Lecciones!$M$6:$M$305,$A13,Lecciones!$P$6:$P$305,"Verificada")</f>
        <v/>
      </c>
    </row>
    <row r="14">
      <c r="A14" s="28" t="inlineStr">
        <is>
          <t>Fase 3</t>
        </is>
      </c>
      <c r="B14" s="29">
        <f>COUNTIF(Lecciones!$M$6:$M$305,$A14)</f>
        <v/>
      </c>
      <c r="C14" s="29">
        <f>COUNTIFS(Lecciones!$M$6:$M$305,$A14,Lecciones!$P$6:$P$305,"Registrada")+COUNTIFS(Lecciones!$M$6:$M$305,$A14,Lecciones!$P$6:$P$305,"En análisis")+COUNTIFS(Lecciones!$M$6:$M$305,$A14,Lecciones!$P$6:$P$305,"Aprobada")</f>
        <v/>
      </c>
      <c r="D14" s="29">
        <f>COUNTIFS(Lecciones!$M$6:$M$305,$A14,Lecciones!$P$6:$P$305,"Implementada")+COUNTIFS(Lecciones!$M$6:$M$305,$A14,Lecciones!$P$6:$P$305,"Verificada")</f>
        <v/>
      </c>
    </row>
  </sheetData>
  <printOptions horizontalCentered="1"/>
  <pageMargins left="0.4" right="0.4" top="0.6" bottom="0.6" header="0.5" footer="0.5"/>
  <pageSetup orientation="landscape" paperSize="9" fitToHeight="0" fitToWidth="1"/>
  <headerFooter>
    <oddHeader>&amp;L&amp;8 Kit de implementación AWP&amp;R&amp;8 Resumen de lecciones</oddHeader>
    <oddFooter>&amp;L&amp;8 Proyecto Tipo (PT) – Complejo de instalaciones en tres fases&amp;R&amp;8 Página &amp;P de &amp;N</oddFooter>
    <evenHeader/>
    <evenFooter/>
    <firstHeader/>
    <firstFooter/>
  </headerFooter>
</worksheet>
</file>

<file path=xl/worksheets/sheet4.xml><?xml version="1.0" encoding="utf-8"?>
<worksheet xmlns="http://schemas.openxmlformats.org/spreadsheetml/2006/main">
  <sheetPr>
    <tabColor rgb="007F7F7F"/>
    <outlinePr summaryBelow="1" summaryRight="1"/>
    <pageSetUpPr/>
  </sheetPr>
  <dimension ref="A1:E18"/>
  <sheetViews>
    <sheetView tabSelected="0" workbookViewId="0">
      <pane ySplit="2" topLeftCell="A3" activePane="bottomLeft" state="frozen"/>
      <selection pane="bottomLeft" activeCell="A1" sqref="A1"/>
    </sheetView>
  </sheetViews>
  <sheetFormatPr baseColWidth="8" defaultRowHeight="15"/>
  <cols>
    <col width="14" customWidth="1" min="1" max="1"/>
    <col width="30" customWidth="1" min="2" max="2"/>
    <col width="39" customWidth="1" min="3" max="3"/>
    <col width="28" customWidth="1" min="4" max="4"/>
    <col width="14" customWidth="1" min="5" max="5"/>
  </cols>
  <sheetData>
    <row r="1">
      <c r="A1" s="30" t="inlineStr">
        <is>
          <t>Valores de las listas desplegables. Puede ampliarlas agregando valores al final de cada columna y ajustando el rango con nombre (Fórmulas &gt; Administrador de nombres).</t>
        </is>
      </c>
    </row>
    <row r="2">
      <c r="A2" s="31" t="inlineStr">
        <is>
          <t>Fases</t>
        </is>
      </c>
      <c r="B2" s="31" t="inlineStr">
        <is>
          <t>Etapas</t>
        </is>
      </c>
      <c r="C2" s="31" t="inlineStr">
        <is>
          <t>Roles</t>
        </is>
      </c>
      <c r="D2" s="31" t="inlineStr">
        <is>
          <t>CategoriasLeccion</t>
        </is>
      </c>
      <c r="E2" s="31" t="inlineStr">
        <is>
          <t>EstadosLeccion</t>
        </is>
      </c>
    </row>
    <row r="3">
      <c r="A3" s="32" t="inlineStr">
        <is>
          <t>Fase 1</t>
        </is>
      </c>
      <c r="B3" s="32" t="inlineStr">
        <is>
          <t>Planificación temprana (FEL)</t>
        </is>
      </c>
      <c r="C3" s="32" t="inlineStr">
        <is>
          <t>Gerente del proyecto del cliente</t>
        </is>
      </c>
      <c r="D3" s="32" t="inlineStr">
        <is>
          <t>Definición de paquetes</t>
        </is>
      </c>
      <c r="E3" s="32" t="inlineStr">
        <is>
          <t>Registrada</t>
        </is>
      </c>
    </row>
    <row r="4">
      <c r="A4" s="32" t="inlineStr">
        <is>
          <t>Fase 2</t>
        </is>
      </c>
      <c r="B4" s="32" t="inlineStr">
        <is>
          <t>Ingeniería</t>
        </is>
      </c>
      <c r="C4" s="32" t="inlineStr">
        <is>
          <t>Gerente de Proyecto</t>
        </is>
      </c>
      <c r="D4" s="32" t="inlineStr">
        <is>
          <t>Path of Construction</t>
        </is>
      </c>
      <c r="E4" s="32" t="inlineStr">
        <is>
          <t>En análisis</t>
        </is>
      </c>
    </row>
    <row r="5">
      <c r="A5" s="32" t="inlineStr">
        <is>
          <t>Fase 3</t>
        </is>
      </c>
      <c r="B5" s="32" t="inlineStr">
        <is>
          <t>Procura</t>
        </is>
      </c>
      <c r="C5" s="32" t="inlineStr">
        <is>
          <t>AWP Champion</t>
        </is>
      </c>
      <c r="D5" s="32" t="inlineStr">
        <is>
          <t>Restricciones</t>
        </is>
      </c>
      <c r="E5" s="32" t="inlineStr">
        <is>
          <t>Aprobada</t>
        </is>
      </c>
    </row>
    <row r="6">
      <c r="B6" s="32" t="inlineStr">
        <is>
          <t>Construcción</t>
        </is>
      </c>
      <c r="C6" s="32" t="inlineStr">
        <is>
          <t>Líder de WFP</t>
        </is>
      </c>
      <c r="D6" s="32" t="inlineStr">
        <is>
          <t>Materiales</t>
        </is>
      </c>
      <c r="E6" s="32" t="inlineStr">
        <is>
          <t>Implementada</t>
        </is>
      </c>
    </row>
    <row r="7">
      <c r="B7" s="32" t="inlineStr">
        <is>
          <t>Comisionamiento</t>
        </is>
      </c>
      <c r="C7" s="32" t="inlineStr">
        <is>
          <t>Planificador de frente de trabajo</t>
        </is>
      </c>
      <c r="D7" s="32" t="inlineStr">
        <is>
          <t>Ingeniería</t>
        </is>
      </c>
      <c r="E7" s="32" t="inlineStr">
        <is>
          <t>Verificada</t>
        </is>
      </c>
    </row>
    <row r="8">
      <c r="C8" s="32" t="inlineStr">
        <is>
          <t>Líder de Ingeniería</t>
        </is>
      </c>
      <c r="D8" s="32" t="inlineStr">
        <is>
          <t>Herramientas e información</t>
        </is>
      </c>
      <c r="E8" s="32" t="inlineStr">
        <is>
          <t>Descartada</t>
        </is>
      </c>
    </row>
    <row r="9">
      <c r="C9" s="32" t="inlineStr">
        <is>
          <t>Líder de Procura</t>
        </is>
      </c>
      <c r="D9" s="32" t="inlineStr">
        <is>
          <t>Organización y roles</t>
        </is>
      </c>
    </row>
    <row r="10">
      <c r="C10" s="32" t="inlineStr">
        <is>
          <t>Gestor de materiales</t>
        </is>
      </c>
      <c r="D10" s="32" t="inlineStr">
        <is>
          <t>HSE</t>
        </is>
      </c>
    </row>
    <row r="11">
      <c r="C11" s="32" t="inlineStr">
        <is>
          <t>Gerente de Construcción</t>
        </is>
      </c>
      <c r="D11" s="32" t="inlineStr">
        <is>
          <t>Calidad</t>
        </is>
      </c>
    </row>
    <row r="12">
      <c r="C12" s="32" t="inlineStr">
        <is>
          <t>Superintendente / capataz general</t>
        </is>
      </c>
      <c r="D12" s="32" t="inlineStr">
        <is>
          <t>Comisionamiento</t>
        </is>
      </c>
    </row>
    <row r="13">
      <c r="C13" s="32" t="inlineStr">
        <is>
          <t>Controles del proyecto</t>
        </is>
      </c>
      <c r="D13" s="32" t="inlineStr">
        <is>
          <t>Interfaces entre fases</t>
        </is>
      </c>
    </row>
    <row r="14">
      <c r="C14" s="32" t="inlineStr">
        <is>
          <t>Coordinador de gestión de información</t>
        </is>
      </c>
    </row>
    <row r="15">
      <c r="C15" s="32" t="inlineStr">
        <is>
          <t>Líder de HSE</t>
        </is>
      </c>
    </row>
    <row r="16">
      <c r="C16" s="32" t="inlineStr">
        <is>
          <t>Líder de calidad (QA/QC)</t>
        </is>
      </c>
    </row>
    <row r="17">
      <c r="C17" s="32" t="inlineStr">
        <is>
          <t>Líder de comisionamiento</t>
        </is>
      </c>
    </row>
    <row r="18">
      <c r="C18" s="32" t="inlineStr">
        <is>
          <t>Subcontratista de especialidad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Kit de implementación AWP</dc:creator>
  <dc:title xmlns:dc="http://purl.org/dc/elements/1.1/">Registro de lecciones aprendidas</dc:title>
  <dc:subject xmlns:dc="http://purl.org/dc/elements/1.1/">Proyecto Tipo (PT) – Complejo de instalaciones en tres fases</dc:subject>
  <dcterms:created xmlns:dcterms="http://purl.org/dc/terms/" xmlns:xsi="http://www.w3.org/2001/XMLSchema-instance" xsi:type="dcterms:W3CDTF">2026-09-25T03:31:55Z</dcterms:created>
  <dcterms:modified xmlns:dcterms="http://purl.org/dc/terms/" xmlns:xsi="http://www.w3.org/2001/XMLSchema-instance" xsi:type="dcterms:W3CDTF">2026-09-25T03:31:55Z</dcterms:modified>
</cp:coreProperties>
</file>