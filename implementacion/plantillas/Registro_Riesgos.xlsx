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iesgos" sheetId="2" state="visible" r:id="rId2"/>
    <sheet xmlns:r="http://schemas.openxmlformats.org/officeDocument/2006/relationships" name="Mapa de calor" sheetId="3" state="visible" r:id="rId3"/>
    <sheet xmlns:r="http://schemas.openxmlformats.org/officeDocument/2006/relationships" name="Listas" sheetId="4" state="visible" r:id="rId4"/>
  </sheets>
  <definedNames>
    <definedName name="FasesExt">Listas!$A$3:$A$8</definedName>
    <definedName name="Etapas">Listas!$B$3:$B$7</definedName>
    <definedName name="Roles">Listas!$C$3:$C$18</definedName>
    <definedName name="CategoriasRiesgo">Listas!$D$3:$D$9</definedName>
    <definedName name="EstadosRiesgo">Listas!$E$3:$E$6</definedName>
    <definedName name="Niveles">Listas!$F$3:$F$7</definedName>
    <definedName name="_xlnm.Print_Area" localSheetId="0">'Instrucciones'!$A$1:$C$36</definedName>
    <definedName name="_xlnm._FilterDatabase" localSheetId="1" hidden="1">'Riesgos'!$A$5:$U$155</definedName>
    <definedName name="_xlnm.Print_Titles" localSheetId="1">'Riesgos'!$5:$5</definedName>
    <definedName name="_xlnm.Print_Area" localSheetId="1">'Riesgos'!$A$1:$U$55</definedName>
    <definedName name="_xlnm.Print_Area" localSheetId="2">'Mapa de calor'!$A$1:$F$22</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4">
    <font>
      <name val="Calibri"/>
      <family val="2"/>
      <color theme="1"/>
      <sz val="11"/>
      <scheme val="minor"/>
    </font>
    <font>
      <name val="Calibri"/>
      <b val="1"/>
      <color rgb="001F3864"/>
      <sz val="15"/>
    </font>
    <font>
      <name val="Calibri"/>
      <i val="1"/>
      <color rgb="00595959"/>
      <sz val="10"/>
    </font>
    <font>
      <name val="Calibri"/>
      <b val="1"/>
      <color rgb="00FFFFFF"/>
      <sz val="10"/>
    </font>
    <font>
      <name val="Calibri"/>
      <color rgb="00000000"/>
      <sz val="10"/>
    </font>
    <font>
      <name val="Calibri"/>
      <color rgb="00404040"/>
      <sz val="10"/>
    </font>
    <font>
      <name val="Calibri"/>
      <b val="1"/>
      <sz val="14"/>
    </font>
    <font>
      <name val="Calibri"/>
      <b val="1"/>
      <color rgb="00FFFFFF"/>
    </font>
    <font>
      <name val="Calibri"/>
      <i val="1"/>
      <sz val="9"/>
    </font>
    <font>
      <name val="Calibri"/>
      <b val="1"/>
      <color rgb="001F3864"/>
      <sz val="12"/>
    </font>
    <font>
      <name val="Calibri"/>
      <b val="1"/>
      <sz val="10"/>
    </font>
    <font>
      <name val="Calibri"/>
      <sz val="10"/>
    </font>
    <font>
      <name val="Calibri"/>
      <b val="1"/>
      <color rgb="001F3864"/>
      <sz val="16"/>
    </font>
    <font>
      <name val="Calibri"/>
      <b val="1"/>
      <color rgb="001F3864"/>
      <sz val="11"/>
    </font>
  </fonts>
  <fills count="10">
    <fill>
      <patternFill/>
    </fill>
    <fill>
      <patternFill patternType="gray125"/>
    </fill>
    <fill>
      <patternFill patternType="solid">
        <fgColor rgb="001F3864"/>
        <bgColor rgb="001F3864"/>
      </patternFill>
    </fill>
    <fill>
      <patternFill patternType="solid">
        <fgColor rgb="002F5597"/>
        <bgColor rgb="002F5597"/>
      </patternFill>
    </fill>
    <fill>
      <patternFill patternType="solid">
        <fgColor rgb="00FFF2CC"/>
        <bgColor rgb="00FFF2CC"/>
      </patternFill>
    </fill>
    <fill>
      <patternFill patternType="solid">
        <fgColor rgb="00F2F2F2"/>
        <bgColor rgb="00F2F2F2"/>
      </patternFill>
    </fill>
    <fill>
      <patternFill patternType="solid">
        <fgColor rgb="00C6EFCE"/>
        <bgColor rgb="00C6EFCE"/>
      </patternFill>
    </fill>
    <fill>
      <patternFill patternType="solid">
        <fgColor rgb="00FFE699"/>
        <bgColor rgb="00FFE699"/>
      </patternFill>
    </fill>
    <fill>
      <patternFill patternType="solid">
        <fgColor rgb="00F8CBAD"/>
        <bgColor rgb="00F8CBAD"/>
      </patternFill>
    </fill>
    <fill>
      <patternFill patternType="solid">
        <fgColor rgb="00DCE6F2"/>
        <bgColor rgb="00DCE6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2" fillId="0" borderId="0" pivotButton="0" quotePrefix="0" xfId="0"/>
    <xf numFmtId="0" fontId="2" fillId="0" borderId="0" pivotButton="0" quotePrefix="0" xfId="0"/>
    <xf numFmtId="0" fontId="13" fillId="0" borderId="0" applyAlignment="1" pivotButton="0" quotePrefix="0" xfId="0">
      <alignment vertical="top"/>
    </xf>
    <xf numFmtId="0" fontId="11" fillId="0" borderId="0" applyAlignment="1" pivotButton="0" quotePrefix="0" xfId="0">
      <alignment vertical="top" wrapText="1"/>
    </xf>
    <xf numFmtId="0" fontId="9" fillId="0" borderId="0" pivotButton="0" quotePrefix="0" xfId="0"/>
    <xf numFmtId="0" fontId="7" fillId="2" borderId="1" pivotButton="0" quotePrefix="0" xfId="0"/>
    <xf numFmtId="0" fontId="10" fillId="0" borderId="1" applyAlignment="1" pivotButton="0" quotePrefix="0" xfId="0">
      <alignment vertical="top" wrapText="1"/>
    </xf>
    <xf numFmtId="0" fontId="11" fillId="0" borderId="1" applyAlignment="1" pivotButton="0" quotePrefix="0" xfId="0">
      <alignment vertical="top" wrapText="1"/>
    </xf>
    <xf numFmtId="0" fontId="10" fillId="5" borderId="1" applyAlignment="1" pivotButton="0" quotePrefix="0" xfId="0">
      <alignment vertical="top" wrapText="1"/>
    </xf>
    <xf numFmtId="0" fontId="11" fillId="5" borderId="1" applyAlignment="1" pivotButton="0" quotePrefix="0" xfId="0">
      <alignment vertical="top" wrapText="1"/>
    </xf>
    <xf numFmtId="0" fontId="1"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vertical="top"/>
    </xf>
    <xf numFmtId="0" fontId="4" fillId="4" borderId="1" applyAlignment="1" pivotButton="0" quotePrefix="0" xfId="0">
      <alignment vertical="top" wrapText="1"/>
    </xf>
    <xf numFmtId="3" fontId="4" fillId="4" borderId="1" applyAlignment="1" pivotButton="0" quotePrefix="0" xfId="0">
      <alignment vertical="top"/>
    </xf>
    <xf numFmtId="3" fontId="5" fillId="4" borderId="1" applyAlignment="1" pivotButton="0" quotePrefix="0" xfId="0">
      <alignment vertical="top"/>
    </xf>
    <xf numFmtId="0" fontId="5" fillId="4" borderId="1" applyAlignment="1" pivotButton="0" quotePrefix="0" xfId="0">
      <alignment vertical="top"/>
    </xf>
    <xf numFmtId="165" fontId="4" fillId="4"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vertical="top"/>
    </xf>
    <xf numFmtId="0" fontId="4" fillId="0" borderId="1" applyAlignment="1" pivotButton="0" quotePrefix="0" xfId="0">
      <alignment vertical="top" wrapText="1"/>
    </xf>
    <xf numFmtId="3" fontId="4" fillId="0" borderId="1" applyAlignment="1" pivotButton="0" quotePrefix="0" xfId="0">
      <alignment vertical="top"/>
    </xf>
    <xf numFmtId="3" fontId="5" fillId="5" borderId="1" applyAlignment="1" pivotButton="0" quotePrefix="0" xfId="0">
      <alignment vertical="top"/>
    </xf>
    <xf numFmtId="0" fontId="5" fillId="5" borderId="1" applyAlignment="1" pivotButton="0" quotePrefix="0" xfId="0">
      <alignment vertical="top"/>
    </xf>
    <xf numFmtId="165" fontId="4" fillId="0" borderId="1" applyAlignment="1" pivotButton="0" quotePrefix="0" xfId="0">
      <alignment horizontal="center" vertical="top"/>
    </xf>
    <xf numFmtId="0" fontId="7" fillId="2" borderId="0" applyAlignment="1" pivotButton="0" quotePrefix="0" xfId="0">
      <alignment horizontal="center" wrapText="1"/>
    </xf>
    <xf numFmtId="0" fontId="7" fillId="2" borderId="0"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8" fillId="0" borderId="0" pivotButton="0" quotePrefix="0" xfId="0"/>
    <xf numFmtId="0" fontId="10" fillId="9" borderId="1" pivotButton="0" quotePrefix="0" xfId="0"/>
    <xf numFmtId="1" fontId="11" fillId="0" borderId="1" applyAlignment="1" pivotButton="0" quotePrefix="0" xfId="0">
      <alignment horizontal="center"/>
    </xf>
    <xf numFmtId="0" fontId="7" fillId="2" borderId="0" pivotButton="0" quotePrefix="0" xfId="0"/>
    <xf numFmtId="0" fontId="11" fillId="0" borderId="0" pivotButton="0" quotePrefix="0" xfId="0"/>
  </cellXfs>
  <cellStyles count="1">
    <cellStyle name="Normal" xfId="0" builtinId="0" hidden="0"/>
  </cellStyles>
  <dxfs count="3">
    <dxf>
      <font>
        <b val="1"/>
        <color rgb="009C0006"/>
      </font>
      <fill>
        <patternFill patternType="solid">
          <fgColor rgb="00F8CBAD"/>
          <bgColor rgb="00F8CBAD"/>
        </patternFill>
      </fill>
    </dxf>
    <dxf>
      <font>
        <b val="1"/>
        <color rgb="007F6000"/>
      </font>
      <fill>
        <patternFill patternType="solid">
          <fgColor rgb="00FFE699"/>
          <bgColor rgb="00FFE69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fitToPage="1"/>
  </sheetPr>
  <dimension ref="A1:C34"/>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Registro de riesgos de implementación AWP</t>
        </is>
      </c>
    </row>
    <row r="2">
      <c r="A2" s="2" t="inlineStr">
        <is>
          <t>Kit de implementación AWP · Proyecto Tipo (PT) – Complejo de instalaciones en tres fases</t>
        </is>
      </c>
    </row>
    <row r="4" ht="28" customHeight="1">
      <c r="A4" s="3" t="inlineStr">
        <is>
          <t>Propósito</t>
        </is>
      </c>
      <c r="B4" s="4" t="inlineStr">
        <is>
          <t>Identificar, valorar y dar seguimiento a los riesgos de implementar AWP (no a los riesgos técnicos del proyecto), con su mitigación y responsable.</t>
        </is>
      </c>
    </row>
    <row r="5" ht="42" customHeight="1">
      <c r="A5" s="3" t="inlineStr">
        <is>
          <t>Por qué se incluye</t>
        </is>
      </c>
      <c r="B5" s="4" t="inlineStr">
        <is>
          <t>El plan de implementación identifica riesgos propios de AWP (patrocinio, planificadores, secuencia de ingeniería, interfaces entre fases) que requieren seguimiento formal durante las tres fases.</t>
        </is>
      </c>
    </row>
    <row r="6" ht="28" customHeight="1">
      <c r="A6" s="3" t="inlineStr">
        <is>
          <t>Cuándo se usa</t>
        </is>
      </c>
      <c r="B6" s="4" t="inlineStr">
        <is>
          <t>Se elabora en la planificación temprana global y se revisa en el Comité AWP mensual y al inicio de cada fase del proyecto.</t>
        </is>
      </c>
    </row>
    <row r="7" ht="16" customHeight="1">
      <c r="A7" s="3" t="inlineStr">
        <is>
          <t>Quién la llena</t>
        </is>
      </c>
      <c r="B7" s="4" t="inlineStr">
        <is>
          <t>El AWP Champion mantiene el registro; cada responsable actualiza el estado de sus riesgos.</t>
        </is>
      </c>
    </row>
    <row r="8" ht="98" customHeight="1">
      <c r="A8" s="3" t="inlineStr">
        <is>
          <t>Cómo llenarla</t>
        </is>
      </c>
      <c r="B8" s="4" t="inlineStr">
        <is>
          <t>1. Borre las filas amarillas de ejemplo o ajústelas a su proyecto.
2. Describa el riesgo, su causa y su consecuencia.
3. Valore probabilidad e impacto de 1 a 5 (ver escala en la sección «Riesgos de implementación» del plan).
4. Defina la mitigación, el responsable y la fecha de revisión.
5. Después de mitigar, valore el riesgo residual.
6. Revise el «Mapa de calor» en el Comité AWP.</t>
        </is>
      </c>
    </row>
    <row r="9" ht="42" customHeight="1">
      <c r="A9" s="3" t="inlineStr">
        <is>
          <t>Colores</t>
        </is>
      </c>
      <c r="B9"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10" ht="42" customHeight="1">
      <c r="A10" s="3" t="inlineStr">
        <is>
          <t>Impresión</t>
        </is>
      </c>
      <c r="B10"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2">
      <c r="A12" s="5" t="inlineStr">
        <is>
          <t>Columnas de la hoja «Riesgos»</t>
        </is>
      </c>
    </row>
    <row r="13">
      <c r="A13" s="6" t="inlineStr">
        <is>
          <t>Columna</t>
        </is>
      </c>
      <c r="B13" s="6" t="inlineStr">
        <is>
          <t>Significado</t>
        </is>
      </c>
      <c r="C13" s="6" t="inlineStr">
        <is>
          <t>Tipo de dato</t>
        </is>
      </c>
    </row>
    <row r="14" ht="15" customHeight="1">
      <c r="A14" s="7" t="inlineStr">
        <is>
          <t>Ejemplo</t>
        </is>
      </c>
      <c r="B14" s="8" t="inlineStr">
        <is>
          <t>Contiene «EJEMPLO» en las filas de ejemplo. Déjela vacía en las filas reales.</t>
        </is>
      </c>
      <c r="C14" s="8" t="inlineStr">
        <is>
          <t>Manual</t>
        </is>
      </c>
    </row>
    <row r="15" ht="15" customHeight="1">
      <c r="A15" s="7" t="inlineStr">
        <is>
          <t>ID</t>
        </is>
      </c>
      <c r="B15" s="8" t="inlineStr">
        <is>
          <t>Identificador del riesgo (R01, R02…).</t>
        </is>
      </c>
      <c r="C15" s="8" t="inlineStr">
        <is>
          <t>Manual</t>
        </is>
      </c>
    </row>
    <row r="16" ht="15" customHeight="1">
      <c r="A16" s="7" t="inlineStr">
        <is>
          <t>Fase del proyecto</t>
        </is>
      </c>
      <c r="B16" s="8" t="inlineStr">
        <is>
          <t>Fase o fases del proyecto afectadas.</t>
        </is>
      </c>
      <c r="C16" s="8" t="inlineStr">
        <is>
          <t>Lista</t>
        </is>
      </c>
    </row>
    <row r="17" ht="15" customHeight="1">
      <c r="A17" s="7" t="inlineStr">
        <is>
          <t>Etapa del ciclo de vida</t>
        </is>
      </c>
      <c r="B17" s="8" t="inlineStr">
        <is>
          <t>Etapa en que el riesgo se origina o se gestiona.</t>
        </is>
      </c>
      <c r="C17" s="8" t="inlineStr">
        <is>
          <t>Lista</t>
        </is>
      </c>
    </row>
    <row r="18" ht="15" customHeight="1">
      <c r="A18" s="7" t="inlineStr">
        <is>
          <t>Categoría</t>
        </is>
      </c>
      <c r="B18" s="8" t="inlineStr">
        <is>
          <t>Categoría del riesgo de implementación.</t>
        </is>
      </c>
      <c r="C18" s="8" t="inlineStr">
        <is>
          <t>Lista</t>
        </is>
      </c>
    </row>
    <row r="19" ht="15" customHeight="1">
      <c r="A19" s="7" t="inlineStr">
        <is>
          <t>Descripción del riesgo</t>
        </is>
      </c>
      <c r="B19" s="8" t="inlineStr">
        <is>
          <t>Evento incierto que afectaría la implementación de AWP.</t>
        </is>
      </c>
      <c r="C19" s="8" t="inlineStr">
        <is>
          <t>Manual</t>
        </is>
      </c>
    </row>
    <row r="20" ht="15" customHeight="1">
      <c r="A20" s="7" t="inlineStr">
        <is>
          <t>Causa</t>
        </is>
      </c>
      <c r="B20" s="8" t="inlineStr">
        <is>
          <t>Por qué podría ocurrir.</t>
        </is>
      </c>
      <c r="C20" s="8" t="inlineStr">
        <is>
          <t>Manual</t>
        </is>
      </c>
    </row>
    <row r="21" ht="15" customHeight="1">
      <c r="A21" s="7" t="inlineStr">
        <is>
          <t>Consecuencia</t>
        </is>
      </c>
      <c r="B21" s="8" t="inlineStr">
        <is>
          <t>Qué pasaría si ocurre.</t>
        </is>
      </c>
      <c r="C21" s="8" t="inlineStr">
        <is>
          <t>Manual</t>
        </is>
      </c>
    </row>
    <row r="22" ht="15" customHeight="1">
      <c r="A22" s="7" t="inlineStr">
        <is>
          <t>Probabilidad (1-5)</t>
        </is>
      </c>
      <c r="B22" s="8" t="inlineStr">
        <is>
          <t>1 muy baja (&lt; 10 %) … 5 muy alta (&gt; 70 %).</t>
        </is>
      </c>
      <c r="C22" s="8" t="inlineStr">
        <is>
          <t>Lista</t>
        </is>
      </c>
    </row>
    <row r="23" ht="28" customHeight="1">
      <c r="A23" s="7" t="inlineStr">
        <is>
          <t>Impacto (1-5)</t>
        </is>
      </c>
      <c r="B23" s="8" t="inlineStr">
        <is>
          <t>1 sin efecto visible en los KPI … 5 abandono de AWP o impacto en la ruta crítica.</t>
        </is>
      </c>
      <c r="C23" s="8" t="inlineStr">
        <is>
          <t>Lista</t>
        </is>
      </c>
    </row>
    <row r="24" ht="15" customHeight="1">
      <c r="A24" s="9" t="inlineStr">
        <is>
          <t>Nivel (P×I)</t>
        </is>
      </c>
      <c r="B24" s="10" t="inlineStr">
        <is>
          <t>Calculado: probabilidad × impacto.</t>
        </is>
      </c>
      <c r="C24" s="10" t="inlineStr">
        <is>
          <t>Calculado</t>
        </is>
      </c>
    </row>
    <row r="25" ht="15" customHeight="1">
      <c r="A25" s="9" t="inlineStr">
        <is>
          <t>Clasificación</t>
        </is>
      </c>
      <c r="B25" s="10" t="inlineStr">
        <is>
          <t>Calculado: Alto (12–25), Medio (6–11), Bajo (1–5).</t>
        </is>
      </c>
      <c r="C25" s="10" t="inlineStr">
        <is>
          <t>Calculado</t>
        </is>
      </c>
    </row>
    <row r="26" ht="15" customHeight="1">
      <c r="A26" s="7" t="inlineStr">
        <is>
          <t>Mitigación</t>
        </is>
      </c>
      <c r="B26" s="8" t="inlineStr">
        <is>
          <t>Acciones para reducir probabilidad o impacto.</t>
        </is>
      </c>
      <c r="C26" s="8" t="inlineStr">
        <is>
          <t>Manual</t>
        </is>
      </c>
    </row>
    <row r="27" ht="15" customHeight="1">
      <c r="A27" s="7" t="inlineStr">
        <is>
          <t>Responsable (rol)</t>
        </is>
      </c>
      <c r="B27" s="8" t="inlineStr">
        <is>
          <t>Rol dueño del riesgo.</t>
        </is>
      </c>
      <c r="C27" s="8" t="inlineStr">
        <is>
          <t>Lista</t>
        </is>
      </c>
    </row>
    <row r="28" ht="15" customHeight="1">
      <c r="A28" s="7" t="inlineStr">
        <is>
          <t>Próxima revisión</t>
        </is>
      </c>
      <c r="B28" s="8" t="inlineStr">
        <is>
          <t>Fecha de la próxima revisión (Comité AWP).</t>
        </is>
      </c>
      <c r="C28" s="8" t="inlineStr">
        <is>
          <t>Manual</t>
        </is>
      </c>
    </row>
    <row r="29" ht="15" customHeight="1">
      <c r="A29" s="7" t="inlineStr">
        <is>
          <t>Estado</t>
        </is>
      </c>
      <c r="B29" s="8" t="inlineStr">
        <is>
          <t>Abierto, En tratamiento, Cerrado o Materializado.</t>
        </is>
      </c>
      <c r="C29" s="8" t="inlineStr">
        <is>
          <t>Lista</t>
        </is>
      </c>
    </row>
    <row r="30" ht="15" customHeight="1">
      <c r="A30" s="7" t="inlineStr">
        <is>
          <t>P residual</t>
        </is>
      </c>
      <c r="B30" s="8" t="inlineStr">
        <is>
          <t>Probabilidad después de la mitigación.</t>
        </is>
      </c>
      <c r="C30" s="8" t="inlineStr">
        <is>
          <t>Lista</t>
        </is>
      </c>
    </row>
    <row r="31" ht="15" customHeight="1">
      <c r="A31" s="7" t="inlineStr">
        <is>
          <t>I residual</t>
        </is>
      </c>
      <c r="B31" s="8" t="inlineStr">
        <is>
          <t>Impacto después de la mitigación.</t>
        </is>
      </c>
      <c r="C31" s="8" t="inlineStr">
        <is>
          <t>Lista</t>
        </is>
      </c>
    </row>
    <row r="32" ht="15" customHeight="1">
      <c r="A32" s="9" t="inlineStr">
        <is>
          <t>Nivel residual</t>
        </is>
      </c>
      <c r="B32" s="10" t="inlineStr">
        <is>
          <t>Calculado.</t>
        </is>
      </c>
      <c r="C32" s="10" t="inlineStr">
        <is>
          <t>Calculado</t>
        </is>
      </c>
    </row>
    <row r="33" ht="15" customHeight="1">
      <c r="A33" s="9" t="inlineStr">
        <is>
          <t>Clasificación residual</t>
        </is>
      </c>
      <c r="B33" s="10" t="inlineStr">
        <is>
          <t>Calculado.</t>
        </is>
      </c>
      <c r="C33" s="10" t="inlineStr">
        <is>
          <t>Calculado</t>
        </is>
      </c>
    </row>
    <row r="34" ht="15" customHeight="1">
      <c r="A34" s="7" t="inlineStr">
        <is>
          <t>Observaciones</t>
        </is>
      </c>
      <c r="B34" s="8" t="inlineStr">
        <is>
          <t>Comentarios.</t>
        </is>
      </c>
      <c r="C34" s="8" t="inlineStr">
        <is>
          <t>Manual</t>
        </is>
      </c>
    </row>
  </sheetData>
  <mergeCells count="7">
    <mergeCell ref="B6:C6"/>
    <mergeCell ref="B7:C7"/>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Registro de riesgos de implementación AWP</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U155"/>
  <sheetViews>
    <sheetView tabSelected="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13" customWidth="1" min="3" max="3"/>
    <col width="16" customWidth="1" min="4" max="4"/>
    <col width="16" customWidth="1" min="5" max="5"/>
    <col width="36" customWidth="1" min="6" max="6"/>
    <col width="26" customWidth="1" min="7" max="7"/>
    <col width="26" customWidth="1" min="8" max="8"/>
    <col width="9" customWidth="1" min="9" max="9"/>
    <col width="9" customWidth="1" min="10" max="10"/>
    <col width="8" customWidth="1" min="11" max="11"/>
    <col width="10" customWidth="1" min="12" max="12"/>
    <col width="40" customWidth="1" min="13" max="13"/>
    <col width="22" customWidth="1" min="14" max="14"/>
    <col width="11" customWidth="1" min="15" max="15"/>
    <col width="13" customWidth="1" min="16" max="16"/>
    <col width="8" customWidth="1" min="17" max="17"/>
    <col width="8" customWidth="1" min="18" max="18"/>
    <col width="8" customWidth="1" min="19" max="19"/>
    <col width="11" customWidth="1" min="20" max="20"/>
    <col width="26" customWidth="1" min="21" max="21"/>
  </cols>
  <sheetData>
    <row r="1" ht="24" customHeight="1">
      <c r="A1" s="11" t="inlineStr">
        <is>
          <t>Registro de riesgos de implementación AWP</t>
        </is>
      </c>
    </row>
    <row r="2">
      <c r="A2" s="2" t="inlineStr">
        <is>
          <t>Proyecto Tipo (PT) – Complejo de instalaciones en tres fases. Las filas en amarillo marcadas «EJEMPLO» son de ejemplo: bórrelas o reemplácelas.</t>
        </is>
      </c>
    </row>
    <row r="5" ht="42" customHeight="1">
      <c r="A5" s="12" t="inlineStr">
        <is>
          <t>Ejemplo</t>
        </is>
      </c>
      <c r="B5" s="12" t="inlineStr">
        <is>
          <t>ID</t>
        </is>
      </c>
      <c r="C5" s="12" t="inlineStr">
        <is>
          <t>Fase del proyecto</t>
        </is>
      </c>
      <c r="D5" s="12" t="inlineStr">
        <is>
          <t>Etapa del ciclo de vida</t>
        </is>
      </c>
      <c r="E5" s="12" t="inlineStr">
        <is>
          <t>Categoría</t>
        </is>
      </c>
      <c r="F5" s="12" t="inlineStr">
        <is>
          <t>Descripción del riesgo</t>
        </is>
      </c>
      <c r="G5" s="12" t="inlineStr">
        <is>
          <t>Causa</t>
        </is>
      </c>
      <c r="H5" s="12" t="inlineStr">
        <is>
          <t>Consecuencia</t>
        </is>
      </c>
      <c r="I5" s="12" t="inlineStr">
        <is>
          <t>Probabilidad (1-5)</t>
        </is>
      </c>
      <c r="J5" s="12" t="inlineStr">
        <is>
          <t>Impacto (1-5)</t>
        </is>
      </c>
      <c r="K5" s="13" t="inlineStr">
        <is>
          <t>Nivel (P×I)</t>
        </is>
      </c>
      <c r="L5" s="13" t="inlineStr">
        <is>
          <t>Clasificación</t>
        </is>
      </c>
      <c r="M5" s="12" t="inlineStr">
        <is>
          <t>Mitigación</t>
        </is>
      </c>
      <c r="N5" s="12" t="inlineStr">
        <is>
          <t>Responsable (rol)</t>
        </is>
      </c>
      <c r="O5" s="12" t="inlineStr">
        <is>
          <t>Próxima revisión</t>
        </is>
      </c>
      <c r="P5" s="12" t="inlineStr">
        <is>
          <t>Estado</t>
        </is>
      </c>
      <c r="Q5" s="12" t="inlineStr">
        <is>
          <t>P residual</t>
        </is>
      </c>
      <c r="R5" s="12" t="inlineStr">
        <is>
          <t>I residual</t>
        </is>
      </c>
      <c r="S5" s="13" t="inlineStr">
        <is>
          <t>Nivel residual</t>
        </is>
      </c>
      <c r="T5" s="13" t="inlineStr">
        <is>
          <t>Clasificación residual</t>
        </is>
      </c>
      <c r="U5" s="12" t="inlineStr">
        <is>
          <t>Observaciones</t>
        </is>
      </c>
    </row>
    <row r="6">
      <c r="A6" s="14" t="inlineStr">
        <is>
          <t>EJEMPLO</t>
        </is>
      </c>
      <c r="B6" s="15" t="inlineStr">
        <is>
          <t>R01</t>
        </is>
      </c>
      <c r="C6" s="15" t="inlineStr">
        <is>
          <t>Todas las fases</t>
        </is>
      </c>
      <c r="D6" s="15" t="inlineStr">
        <is>
          <t>Planificación temprana (FEL)</t>
        </is>
      </c>
      <c r="E6" s="15" t="inlineStr">
        <is>
          <t>Organización y liderazgo</t>
        </is>
      </c>
      <c r="F6" s="16" t="inlineStr">
        <is>
          <t>Falta de patrocinio del cliente y de la gerencia; AWP percibido como «papeleo adicional».</t>
        </is>
      </c>
      <c r="G6" s="16" t="inlineStr">
        <is>
          <t>Beneficios de AWP no comunicados; presión por avance inmediato.</t>
        </is>
      </c>
      <c r="H6" s="16" t="inlineStr">
        <is>
          <t>Abandono parcial del proceso; KPI sin seguimiento.</t>
        </is>
      </c>
      <c r="I6" s="17" t="n">
        <v>3</v>
      </c>
      <c r="J6" s="17" t="n">
        <v>5</v>
      </c>
      <c r="K6" s="18">
        <f>IF(OR(I6="",J6=""),"",I6*J6)</f>
        <v/>
      </c>
      <c r="L6" s="19">
        <f>IF(K6="","",IF(K6&gt;=12,"Alto",IF(K6&gt;=6,"Medio","Bajo")))</f>
        <v/>
      </c>
      <c r="M6" s="16" t="inlineStr">
        <is>
          <t>Plan firmado por el cliente; Comité AWP mensual con KPI; comunicar resultados tempranos de la Fase 1.</t>
        </is>
      </c>
      <c r="N6" s="15" t="inlineStr">
        <is>
          <t>Gerente del proyecto del cliente</t>
        </is>
      </c>
      <c r="O6" s="20" t="n">
        <v>46935</v>
      </c>
      <c r="P6" s="15" t="inlineStr">
        <is>
          <t>En tratamiento</t>
        </is>
      </c>
      <c r="Q6" s="17" t="n">
        <v>2</v>
      </c>
      <c r="R6" s="17" t="n">
        <v>4</v>
      </c>
      <c r="S6" s="18">
        <f>IF(OR(Q6="",R6=""),"",Q6*R6)</f>
        <v/>
      </c>
      <c r="T6" s="19">
        <f>IF(S6="","",IF(S6&gt;=12,"Alto",IF(S6&gt;=6,"Medio","Bajo")))</f>
        <v/>
      </c>
      <c r="U6" s="16" t="n"/>
    </row>
    <row r="7">
      <c r="A7" s="14" t="inlineStr">
        <is>
          <t>EJEMPLO</t>
        </is>
      </c>
      <c r="B7" s="15" t="inlineStr">
        <is>
          <t>R02</t>
        </is>
      </c>
      <c r="C7" s="15" t="inlineStr">
        <is>
          <t>Fase 2</t>
        </is>
      </c>
      <c r="D7" s="15" t="inlineStr">
        <is>
          <t>Ingeniería</t>
        </is>
      </c>
      <c r="E7" s="15" t="inlineStr">
        <is>
          <t>Procesos</t>
        </is>
      </c>
      <c r="F7" s="16" t="inlineStr">
        <is>
          <t>Ingeniería no entrega EWP en la secuencia del PoC.</t>
        </is>
      </c>
      <c r="G7" s="16" t="inlineStr">
        <is>
          <t>Planificación de ingeniería por disciplina y no por CWP.</t>
        </is>
      </c>
      <c r="H7" s="16" t="inlineStr">
        <is>
          <t>CWP sin planos IFC; backlog insuficiente.</t>
        </is>
      </c>
      <c r="I7" s="17" t="n">
        <v>4</v>
      </c>
      <c r="J7" s="17" t="n">
        <v>4</v>
      </c>
      <c r="K7" s="18">
        <f>IF(OR(I7="",J7=""),"",I7*J7)</f>
        <v/>
      </c>
      <c r="L7" s="19">
        <f>IF(K7="","",IF(K7&gt;=12,"Alto",IF(K7&gt;=6,"Medio","Bajo")))</f>
        <v/>
      </c>
      <c r="M7" s="16" t="inlineStr">
        <is>
          <t>Fechas de EWP derivadas del PoC en el contrato; KPI K01; revisión quincenal del plan de liberación.</t>
        </is>
      </c>
      <c r="N7" s="15" t="inlineStr">
        <is>
          <t>Líder de Ingeniería</t>
        </is>
      </c>
      <c r="O7" s="20" t="n">
        <v>46935</v>
      </c>
      <c r="P7" s="15" t="inlineStr">
        <is>
          <t>En tratamiento</t>
        </is>
      </c>
      <c r="Q7" s="17" t="n">
        <v>3</v>
      </c>
      <c r="R7" s="17" t="n">
        <v>3</v>
      </c>
      <c r="S7" s="18">
        <f>IF(OR(Q7="",R7=""),"",Q7*R7)</f>
        <v/>
      </c>
      <c r="T7" s="19">
        <f>IF(S7="","",IF(S7&gt;=12,"Alto",IF(S7&gt;=6,"Medio","Bajo")))</f>
        <v/>
      </c>
      <c r="U7" s="16" t="n"/>
    </row>
    <row r="8">
      <c r="A8" s="14" t="inlineStr">
        <is>
          <t>EJEMPLO</t>
        </is>
      </c>
      <c r="B8" s="15" t="inlineStr">
        <is>
          <t>R03</t>
        </is>
      </c>
      <c r="C8" s="15" t="inlineStr">
        <is>
          <t>Fase 2</t>
        </is>
      </c>
      <c r="D8" s="15" t="inlineStr">
        <is>
          <t>Construcción</t>
        </is>
      </c>
      <c r="E8" s="15" t="inlineStr">
        <is>
          <t>Personas y competencias</t>
        </is>
      </c>
      <c r="F8" s="16" t="inlineStr">
        <is>
          <t>Falta de planificadores de frente de trabajo con experiencia (y rotación de roles clave).</t>
        </is>
      </c>
      <c r="G8" s="16" t="inlineStr">
        <is>
          <t>Mercado laboral competido; perfil poco conocido.</t>
        </is>
      </c>
      <c r="H8" s="16" t="inlineStr">
        <is>
          <t>IWP de baja calidad; restricciones no detectadas.</t>
        </is>
      </c>
      <c r="I8" s="17" t="n">
        <v>4</v>
      </c>
      <c r="J8" s="17" t="n">
        <v>4</v>
      </c>
      <c r="K8" s="18">
        <f>IF(OR(I8="",J8=""),"",I8*J8)</f>
        <v/>
      </c>
      <c r="L8" s="19">
        <f>IF(K8="","",IF(K8&gt;=12,"Alto",IF(K8&gt;=6,"Medio","Bajo")))</f>
        <v/>
      </c>
      <c r="M8" s="16" t="inlineStr">
        <is>
          <t>Formar planificadores en la Fase 1 y transferirlos; reclutamiento anticipado; formación de 40 h; suplentes para Champion y Líder de WFP.</t>
        </is>
      </c>
      <c r="N8" s="15" t="inlineStr">
        <is>
          <t>AWP Champion</t>
        </is>
      </c>
      <c r="O8" s="20" t="n">
        <v>46935</v>
      </c>
      <c r="P8" s="15" t="inlineStr">
        <is>
          <t>En tratamiento</t>
        </is>
      </c>
      <c r="Q8" s="17" t="n">
        <v>2</v>
      </c>
      <c r="R8" s="17" t="n">
        <v>3</v>
      </c>
      <c r="S8" s="18">
        <f>IF(OR(Q8="",R8=""),"",Q8*R8)</f>
        <v/>
      </c>
      <c r="T8" s="19">
        <f>IF(S8="","",IF(S8&gt;=12,"Alto",IF(S8&gt;=6,"Medio","Bajo")))</f>
        <v/>
      </c>
      <c r="U8" s="16" t="n"/>
    </row>
    <row r="9">
      <c r="A9" s="14" t="inlineStr">
        <is>
          <t>EJEMPLO</t>
        </is>
      </c>
      <c r="B9" s="15" t="inlineStr">
        <is>
          <t>R04</t>
        </is>
      </c>
      <c r="C9" s="15" t="inlineStr">
        <is>
          <t>Fases 1 y 2</t>
        </is>
      </c>
      <c r="D9" s="15" t="inlineStr">
        <is>
          <t>Procura</t>
        </is>
      </c>
      <c r="E9" s="15" t="inlineStr">
        <is>
          <t>Herramientas e información</t>
        </is>
      </c>
      <c r="F9" s="16" t="inlineStr">
        <is>
          <t>Procura no sigue los materiales por CWP/IWP.</t>
        </is>
      </c>
      <c r="G9" s="16" t="inlineStr">
        <is>
          <t>Órdenes de compra sin código de CWP.</t>
        </is>
      </c>
      <c r="H9" s="16" t="inlineStr">
        <is>
          <t>No se sabe qué IWP tiene material completo.</t>
        </is>
      </c>
      <c r="I9" s="17" t="n">
        <v>3</v>
      </c>
      <c r="J9" s="17" t="n">
        <v>4</v>
      </c>
      <c r="K9" s="18">
        <f>IF(OR(I9="",J9=""),"",I9*J9)</f>
        <v/>
      </c>
      <c r="L9" s="19">
        <f>IF(K9="","",IF(K9&gt;=12,"Alto",IF(K9&gt;=6,"Medio","Bajo")))</f>
        <v/>
      </c>
      <c r="M9" s="16" t="inlineStr">
        <is>
          <t>PWP por CWP; código de CWP en órdenes de compra y almacén; reporte semanal de disponibilidad.</t>
        </is>
      </c>
      <c r="N9" s="15" t="inlineStr">
        <is>
          <t>Líder de Procura</t>
        </is>
      </c>
      <c r="O9" s="20" t="n">
        <v>46935</v>
      </c>
      <c r="P9" s="15" t="inlineStr">
        <is>
          <t>En tratamiento</t>
        </is>
      </c>
      <c r="Q9" s="17" t="n">
        <v>2</v>
      </c>
      <c r="R9" s="17" t="n">
        <v>3</v>
      </c>
      <c r="S9" s="18">
        <f>IF(OR(Q9="",R9=""),"",Q9*R9)</f>
        <v/>
      </c>
      <c r="T9" s="19">
        <f>IF(S9="","",IF(S9&gt;=12,"Alto",IF(S9&gt;=6,"Medio","Bajo")))</f>
        <v/>
      </c>
      <c r="U9" s="16" t="n"/>
    </row>
    <row r="10">
      <c r="A10" s="14" t="inlineStr">
        <is>
          <t>EJEMPLO</t>
        </is>
      </c>
      <c r="B10" s="15" t="inlineStr">
        <is>
          <t>R05</t>
        </is>
      </c>
      <c r="C10" s="15" t="inlineStr">
        <is>
          <t>Fases 2 y 3</t>
        </is>
      </c>
      <c r="D10" s="15" t="inlineStr">
        <is>
          <t>Planificación temprana (FEL)</t>
        </is>
      </c>
      <c r="E10" s="15" t="inlineStr">
        <is>
          <t>Contratos</t>
        </is>
      </c>
      <c r="F10" s="16" t="inlineStr">
        <is>
          <t>Subcontratistas sin conocimiento ni obligación contractual de AWP.</t>
        </is>
      </c>
      <c r="G10" s="16" t="inlineStr">
        <is>
          <t>Requisitos AWP no incluidos en los subcontratos.</t>
        </is>
      </c>
      <c r="H10" s="16" t="inlineStr">
        <is>
          <t>Frentes fuera del proceso; datos incompletos.</t>
        </is>
      </c>
      <c r="I10" s="17" t="n">
        <v>3</v>
      </c>
      <c r="J10" s="17" t="n">
        <v>4</v>
      </c>
      <c r="K10" s="18">
        <f>IF(OR(I10="",J10=""),"",I10*J10)</f>
        <v/>
      </c>
      <c r="L10" s="19">
        <f>IF(K10="","",IF(K10&gt;=12,"Alto",IF(K10&gt;=6,"Medio","Bajo")))</f>
        <v/>
      </c>
      <c r="M10" s="16" t="inlineStr">
        <is>
          <t>Cláusulas AWP en subcontratos; formación de inicio; planificadores del subcontratista integrados.</t>
        </is>
      </c>
      <c r="N10" s="15" t="inlineStr">
        <is>
          <t>Gerente de Proyecto</t>
        </is>
      </c>
      <c r="O10" s="20" t="n">
        <v>46935</v>
      </c>
      <c r="P10" s="15" t="inlineStr">
        <is>
          <t>Abierto</t>
        </is>
      </c>
      <c r="Q10" s="17" t="n">
        <v>2</v>
      </c>
      <c r="R10" s="17" t="n">
        <v>3</v>
      </c>
      <c r="S10" s="18">
        <f>IF(OR(Q10="",R10=""),"",Q10*R10)</f>
        <v/>
      </c>
      <c r="T10" s="19">
        <f>IF(S10="","",IF(S10&gt;=12,"Alto",IF(S10&gt;=6,"Medio","Bajo")))</f>
        <v/>
      </c>
      <c r="U10" s="16" t="n"/>
    </row>
    <row r="11">
      <c r="A11" s="14" t="inlineStr">
        <is>
          <t>EJEMPLO</t>
        </is>
      </c>
      <c r="B11" s="15" t="inlineStr">
        <is>
          <t>R06</t>
        </is>
      </c>
      <c r="C11" s="15" t="inlineStr">
        <is>
          <t>Todas las fases</t>
        </is>
      </c>
      <c r="D11" s="15" t="inlineStr">
        <is>
          <t>Construcción</t>
        </is>
      </c>
      <c r="E11" s="15" t="inlineStr">
        <is>
          <t>Procesos</t>
        </is>
      </c>
      <c r="F11" s="16" t="inlineStr">
        <is>
          <t>Se liberan IWP con restricciones abiertas por presión de avance.</t>
        </is>
      </c>
      <c r="G11" s="16" t="inlineStr">
        <is>
          <t>Backlog corto y metas de avance semanales.</t>
        </is>
      </c>
      <c r="H11" s="16" t="inlineStr">
        <is>
          <t>IWP devueltos; tiempo improductivo.</t>
        </is>
      </c>
      <c r="I11" s="17" t="n">
        <v>3</v>
      </c>
      <c r="J11" s="17" t="n">
        <v>4</v>
      </c>
      <c r="K11" s="18">
        <f>IF(OR(I11="",J11=""),"",I11*J11)</f>
        <v/>
      </c>
      <c r="L11" s="19">
        <f>IF(K11="","",IF(K11&gt;=12,"Alto",IF(K11&gt;=6,"Medio","Bajo")))</f>
        <v/>
      </c>
      <c r="M11" s="16" t="inlineStr">
        <is>
          <t>Checklist de liberación obligatorio; KPI K03; auditorías.</t>
        </is>
      </c>
      <c r="N11" s="15" t="inlineStr">
        <is>
          <t>Líder de WFP</t>
        </is>
      </c>
      <c r="O11" s="20" t="n">
        <v>46935</v>
      </c>
      <c r="P11" s="15" t="inlineStr">
        <is>
          <t>En tratamiento</t>
        </is>
      </c>
      <c r="Q11" s="17" t="n">
        <v>2</v>
      </c>
      <c r="R11" s="17" t="n">
        <v>3</v>
      </c>
      <c r="S11" s="18">
        <f>IF(OR(Q11="",R11=""),"",Q11*R11)</f>
        <v/>
      </c>
      <c r="T11" s="19">
        <f>IF(S11="","",IF(S11&gt;=12,"Alto",IF(S11&gt;=6,"Medio","Bajo")))</f>
        <v/>
      </c>
      <c r="U11" s="16" t="n"/>
    </row>
    <row r="12">
      <c r="A12" s="14" t="inlineStr">
        <is>
          <t>EJEMPLO</t>
        </is>
      </c>
      <c r="B12" s="15" t="inlineStr">
        <is>
          <t>R07</t>
        </is>
      </c>
      <c r="C12" s="15" t="inlineStr">
        <is>
          <t>Fase 2</t>
        </is>
      </c>
      <c r="D12" s="15" t="inlineStr">
        <is>
          <t>Planificación temprana (FEL)</t>
        </is>
      </c>
      <c r="E12" s="15" t="inlineStr">
        <is>
          <t>Herramientas e información</t>
        </is>
      </c>
      <c r="F12" s="16" t="inlineStr">
        <is>
          <t>Herramientas y datos desintegrados (modelo 3D, cronograma y materiales).</t>
        </is>
      </c>
      <c r="G12" s="16" t="inlineStr">
        <is>
          <t>Sistemas de distintos proveedores sin codificación común.</t>
        </is>
      </c>
      <c r="H12" s="16" t="inlineStr">
        <is>
          <t>Retrabajo manual; errores en IWP.</t>
        </is>
      </c>
      <c r="I12" s="17" t="n">
        <v>3</v>
      </c>
      <c r="J12" s="17" t="n">
        <v>3</v>
      </c>
      <c r="K12" s="18">
        <f>IF(OR(I12="",J12=""),"",I12*J12)</f>
        <v/>
      </c>
      <c r="L12" s="19">
        <f>IF(K12="","",IF(K12&gt;=12,"Alto",IF(K12&gt;=6,"Medio","Bajo")))</f>
        <v/>
      </c>
      <c r="M12" s="16" t="inlineStr">
        <is>
          <t>Coordinador de IM desde FEL; codificación única; integración probada antes de la construcción.</t>
        </is>
      </c>
      <c r="N12" s="15" t="inlineStr">
        <is>
          <t>Coordinador de gestión de información</t>
        </is>
      </c>
      <c r="O12" s="20" t="n">
        <v>46935</v>
      </c>
      <c r="P12" s="15" t="inlineStr">
        <is>
          <t>En tratamiento</t>
        </is>
      </c>
      <c r="Q12" s="17" t="n">
        <v>2</v>
      </c>
      <c r="R12" s="17" t="n">
        <v>2</v>
      </c>
      <c r="S12" s="18">
        <f>IF(OR(Q12="",R12=""),"",Q12*R12)</f>
        <v/>
      </c>
      <c r="T12" s="19">
        <f>IF(S12="","",IF(S12&gt;=12,"Alto",IF(S12&gt;=6,"Medio","Bajo")))</f>
        <v/>
      </c>
      <c r="U12" s="16" t="n"/>
    </row>
    <row r="13">
      <c r="A13" s="14" t="inlineStr">
        <is>
          <t>EJEMPLO</t>
        </is>
      </c>
      <c r="B13" s="15" t="inlineStr">
        <is>
          <t>R08</t>
        </is>
      </c>
      <c r="C13" s="15" t="inlineStr">
        <is>
          <t>Fase 2</t>
        </is>
      </c>
      <c r="D13" s="15" t="inlineStr">
        <is>
          <t>Construcción</t>
        </is>
      </c>
      <c r="E13" s="15" t="inlineStr">
        <is>
          <t>Procesos</t>
        </is>
      </c>
      <c r="F13" s="16" t="inlineStr">
        <is>
          <t>Backlog insuficiente por avance de ingeniería o procura por detrás del PoC.</t>
        </is>
      </c>
      <c r="G13" s="16" t="inlineStr">
        <is>
          <t>Atrasos de EWP y PWP.</t>
        </is>
      </c>
      <c r="H13" s="16" t="inlineStr">
        <is>
          <t>Cuadrillas sin trabajo liberado; baja productividad.</t>
        </is>
      </c>
      <c r="I13" s="17" t="n">
        <v>3</v>
      </c>
      <c r="J13" s="17" t="n">
        <v>4</v>
      </c>
      <c r="K13" s="18">
        <f>IF(OR(I13="",J13=""),"",I13*J13)</f>
        <v/>
      </c>
      <c r="L13" s="19">
        <f>IF(K13="","",IF(K13&gt;=12,"Alto",IF(K13&gt;=6,"Medio","Bajo")))</f>
        <v/>
      </c>
      <c r="M13" s="16" t="inlineStr">
        <is>
          <t>Seguimiento del backlog proyectado a 8 semanas; alertas tempranas; trabajo de «plan B».</t>
        </is>
      </c>
      <c r="N13" s="15" t="inlineStr">
        <is>
          <t>Gerente de Construcción</t>
        </is>
      </c>
      <c r="O13" s="20" t="n">
        <v>46935</v>
      </c>
      <c r="P13" s="15" t="inlineStr">
        <is>
          <t>Materializado</t>
        </is>
      </c>
      <c r="Q13" s="17" t="n">
        <v>3</v>
      </c>
      <c r="R13" s="17" t="n">
        <v>3</v>
      </c>
      <c r="S13" s="18">
        <f>IF(OR(Q13="",R13=""),"",Q13*R13)</f>
        <v/>
      </c>
      <c r="T13" s="19">
        <f>IF(S13="","",IF(S13&gt;=12,"Alto",IF(S13&gt;=6,"Medio","Bajo")))</f>
        <v/>
      </c>
      <c r="U13" s="16" t="n"/>
    </row>
    <row r="14">
      <c r="A14" s="14" t="inlineStr">
        <is>
          <t>EJEMPLO</t>
        </is>
      </c>
      <c r="B14" s="15" t="inlineStr">
        <is>
          <t>R09</t>
        </is>
      </c>
      <c r="C14" s="15" t="inlineStr">
        <is>
          <t>Fases 2 y 3</t>
        </is>
      </c>
      <c r="D14" s="15" t="inlineStr">
        <is>
          <t>Construcción</t>
        </is>
      </c>
      <c r="E14" s="15" t="inlineStr">
        <is>
          <t>Interfaces entre fases</t>
        </is>
      </c>
      <c r="F14" s="16" t="inlineStr">
        <is>
          <t>Conflictos de recursos e interfaces entre fases superpuestas.</t>
        </is>
      </c>
      <c r="G14" s="16" t="inlineStr">
        <is>
          <t>Grúas, accesos y almacenes compartidos.</t>
        </is>
      </c>
      <c r="H14" s="16" t="inlineStr">
        <is>
          <t>Interferencias y demoras en ambas fases.</t>
        </is>
      </c>
      <c r="I14" s="17" t="n">
        <v>4</v>
      </c>
      <c r="J14" s="17" t="n">
        <v>3</v>
      </c>
      <c r="K14" s="18">
        <f>IF(OR(I14="",J14=""),"",I14*J14)</f>
        <v/>
      </c>
      <c r="L14" s="19">
        <f>IF(K14="","",IF(K14&gt;=12,"Alto",IF(K14&gt;=6,"Medio","Bajo")))</f>
        <v/>
      </c>
      <c r="M14" s="16" t="inlineStr">
        <is>
          <t>Registro único de restricciones; lookahead conjunto; tablero de recursos compartidos.</t>
        </is>
      </c>
      <c r="N14" s="15" t="inlineStr">
        <is>
          <t>Gerente de Construcción</t>
        </is>
      </c>
      <c r="O14" s="20" t="n">
        <v>46935</v>
      </c>
      <c r="P14" s="15" t="inlineStr">
        <is>
          <t>Abierto</t>
        </is>
      </c>
      <c r="Q14" s="17" t="n">
        <v>2</v>
      </c>
      <c r="R14" s="17" t="n">
        <v>3</v>
      </c>
      <c r="S14" s="18">
        <f>IF(OR(Q14="",R14=""),"",Q14*R14)</f>
        <v/>
      </c>
      <c r="T14" s="19">
        <f>IF(S14="","",IF(S14&gt;=12,"Alto",IF(S14&gt;=6,"Medio","Bajo")))</f>
        <v/>
      </c>
      <c r="U14" s="16" t="n"/>
    </row>
    <row r="15">
      <c r="A15" s="14" t="inlineStr">
        <is>
          <t>EJEMPLO</t>
        </is>
      </c>
      <c r="B15" s="15" t="inlineStr">
        <is>
          <t>R10</t>
        </is>
      </c>
      <c r="C15" s="15" t="inlineStr">
        <is>
          <t>Fases 1 y 2</t>
        </is>
      </c>
      <c r="D15" s="15" t="inlineStr">
        <is>
          <t>Comisionamiento</t>
        </is>
      </c>
      <c r="E15" s="15" t="inlineStr">
        <is>
          <t>Medición</t>
        </is>
      </c>
      <c r="F15" s="16" t="inlineStr">
        <is>
          <t>Lecciones de la Fase 1 no se aplican en la Fase 2.</t>
        </is>
      </c>
      <c r="G15" s="16" t="inlineStr">
        <is>
          <t>Falta de tiempo y de responsable de cada lección.</t>
        </is>
      </c>
      <c r="H15" s="16" t="inlineStr">
        <is>
          <t>Se repiten errores; KPI no mejoran entre fases.</t>
        </is>
      </c>
      <c r="I15" s="17" t="n">
        <v>3</v>
      </c>
      <c r="J15" s="17" t="n">
        <v>3</v>
      </c>
      <c r="K15" s="18">
        <f>IF(OR(I15="",J15=""),"",I15*J15)</f>
        <v/>
      </c>
      <c r="L15" s="19">
        <f>IF(K15="","",IF(K15&gt;=12,"Alto",IF(K15&gt;=6,"Medio","Bajo")))</f>
        <v/>
      </c>
      <c r="M15" s="16" t="inlineStr">
        <is>
          <t>Puerta de control con revisión de lecciones; cada lección con responsable y fecha; KPI con fórmulas únicas.</t>
        </is>
      </c>
      <c r="N15" s="15" t="inlineStr">
        <is>
          <t>AWP Champion</t>
        </is>
      </c>
      <c r="O15" s="20" t="n">
        <v>46935</v>
      </c>
      <c r="P15" s="15" t="inlineStr">
        <is>
          <t>Cerrado</t>
        </is>
      </c>
      <c r="Q15" s="17" t="n">
        <v>1</v>
      </c>
      <c r="R15" s="17" t="n">
        <v>3</v>
      </c>
      <c r="S15" s="18">
        <f>IF(OR(Q15="",R15=""),"",Q15*R15)</f>
        <v/>
      </c>
      <c r="T15" s="19">
        <f>IF(S15="","",IF(S15&gt;=12,"Alto",IF(S15&gt;=6,"Medio","Bajo")))</f>
        <v/>
      </c>
      <c r="U15" s="16" t="n"/>
    </row>
    <row r="16">
      <c r="A16" s="21" t="n"/>
      <c r="B16" s="22" t="n"/>
      <c r="C16" s="22" t="n"/>
      <c r="D16" s="22" t="n"/>
      <c r="E16" s="22" t="n"/>
      <c r="F16" s="23" t="n"/>
      <c r="G16" s="23" t="n"/>
      <c r="H16" s="23" t="n"/>
      <c r="I16" s="24" t="n"/>
      <c r="J16" s="24" t="n"/>
      <c r="K16" s="25">
        <f>IF(OR(I16="",J16=""),"",I16*J16)</f>
        <v/>
      </c>
      <c r="L16" s="26">
        <f>IF(K16="","",IF(K16&gt;=12,"Alto",IF(K16&gt;=6,"Medio","Bajo")))</f>
        <v/>
      </c>
      <c r="M16" s="23" t="n"/>
      <c r="N16" s="22" t="n"/>
      <c r="O16" s="27" t="n"/>
      <c r="P16" s="22" t="n"/>
      <c r="Q16" s="24" t="n"/>
      <c r="R16" s="24" t="n"/>
      <c r="S16" s="25">
        <f>IF(OR(Q16="",R16=""),"",Q16*R16)</f>
        <v/>
      </c>
      <c r="T16" s="26">
        <f>IF(S16="","",IF(S16&gt;=12,"Alto",IF(S16&gt;=6,"Medio","Bajo")))</f>
        <v/>
      </c>
      <c r="U16" s="23" t="n"/>
    </row>
    <row r="17">
      <c r="A17" s="21" t="n"/>
      <c r="B17" s="22" t="n"/>
      <c r="C17" s="22" t="n"/>
      <c r="D17" s="22" t="n"/>
      <c r="E17" s="22" t="n"/>
      <c r="F17" s="23" t="n"/>
      <c r="G17" s="23" t="n"/>
      <c r="H17" s="23" t="n"/>
      <c r="I17" s="24" t="n"/>
      <c r="J17" s="24" t="n"/>
      <c r="K17" s="25">
        <f>IF(OR(I17="",J17=""),"",I17*J17)</f>
        <v/>
      </c>
      <c r="L17" s="26">
        <f>IF(K17="","",IF(K17&gt;=12,"Alto",IF(K17&gt;=6,"Medio","Bajo")))</f>
        <v/>
      </c>
      <c r="M17" s="23" t="n"/>
      <c r="N17" s="22" t="n"/>
      <c r="O17" s="27" t="n"/>
      <c r="P17" s="22" t="n"/>
      <c r="Q17" s="24" t="n"/>
      <c r="R17" s="24" t="n"/>
      <c r="S17" s="25">
        <f>IF(OR(Q17="",R17=""),"",Q17*R17)</f>
        <v/>
      </c>
      <c r="T17" s="26">
        <f>IF(S17="","",IF(S17&gt;=12,"Alto",IF(S17&gt;=6,"Medio","Bajo")))</f>
        <v/>
      </c>
      <c r="U17" s="23" t="n"/>
    </row>
    <row r="18">
      <c r="A18" s="21" t="n"/>
      <c r="B18" s="22" t="n"/>
      <c r="C18" s="22" t="n"/>
      <c r="D18" s="22" t="n"/>
      <c r="E18" s="22" t="n"/>
      <c r="F18" s="23" t="n"/>
      <c r="G18" s="23" t="n"/>
      <c r="H18" s="23" t="n"/>
      <c r="I18" s="24" t="n"/>
      <c r="J18" s="24" t="n"/>
      <c r="K18" s="25">
        <f>IF(OR(I18="",J18=""),"",I18*J18)</f>
        <v/>
      </c>
      <c r="L18" s="26">
        <f>IF(K18="","",IF(K18&gt;=12,"Alto",IF(K18&gt;=6,"Medio","Bajo")))</f>
        <v/>
      </c>
      <c r="M18" s="23" t="n"/>
      <c r="N18" s="22" t="n"/>
      <c r="O18" s="27" t="n"/>
      <c r="P18" s="22" t="n"/>
      <c r="Q18" s="24" t="n"/>
      <c r="R18" s="24" t="n"/>
      <c r="S18" s="25">
        <f>IF(OR(Q18="",R18=""),"",Q18*R18)</f>
        <v/>
      </c>
      <c r="T18" s="26">
        <f>IF(S18="","",IF(S18&gt;=12,"Alto",IF(S18&gt;=6,"Medio","Bajo")))</f>
        <v/>
      </c>
      <c r="U18" s="23" t="n"/>
    </row>
    <row r="19">
      <c r="A19" s="21" t="n"/>
      <c r="B19" s="22" t="n"/>
      <c r="C19" s="22" t="n"/>
      <c r="D19" s="22" t="n"/>
      <c r="E19" s="22" t="n"/>
      <c r="F19" s="23" t="n"/>
      <c r="G19" s="23" t="n"/>
      <c r="H19" s="23" t="n"/>
      <c r="I19" s="24" t="n"/>
      <c r="J19" s="24" t="n"/>
      <c r="K19" s="25">
        <f>IF(OR(I19="",J19=""),"",I19*J19)</f>
        <v/>
      </c>
      <c r="L19" s="26">
        <f>IF(K19="","",IF(K19&gt;=12,"Alto",IF(K19&gt;=6,"Medio","Bajo")))</f>
        <v/>
      </c>
      <c r="M19" s="23" t="n"/>
      <c r="N19" s="22" t="n"/>
      <c r="O19" s="27" t="n"/>
      <c r="P19" s="22" t="n"/>
      <c r="Q19" s="24" t="n"/>
      <c r="R19" s="24" t="n"/>
      <c r="S19" s="25">
        <f>IF(OR(Q19="",R19=""),"",Q19*R19)</f>
        <v/>
      </c>
      <c r="T19" s="26">
        <f>IF(S19="","",IF(S19&gt;=12,"Alto",IF(S19&gt;=6,"Medio","Bajo")))</f>
        <v/>
      </c>
      <c r="U19" s="23" t="n"/>
    </row>
    <row r="20">
      <c r="A20" s="21" t="n"/>
      <c r="B20" s="22" t="n"/>
      <c r="C20" s="22" t="n"/>
      <c r="D20" s="22" t="n"/>
      <c r="E20" s="22" t="n"/>
      <c r="F20" s="23" t="n"/>
      <c r="G20" s="23" t="n"/>
      <c r="H20" s="23" t="n"/>
      <c r="I20" s="24" t="n"/>
      <c r="J20" s="24" t="n"/>
      <c r="K20" s="25">
        <f>IF(OR(I20="",J20=""),"",I20*J20)</f>
        <v/>
      </c>
      <c r="L20" s="26">
        <f>IF(K20="","",IF(K20&gt;=12,"Alto",IF(K20&gt;=6,"Medio","Bajo")))</f>
        <v/>
      </c>
      <c r="M20" s="23" t="n"/>
      <c r="N20" s="22" t="n"/>
      <c r="O20" s="27" t="n"/>
      <c r="P20" s="22" t="n"/>
      <c r="Q20" s="24" t="n"/>
      <c r="R20" s="24" t="n"/>
      <c r="S20" s="25">
        <f>IF(OR(Q20="",R20=""),"",Q20*R20)</f>
        <v/>
      </c>
      <c r="T20" s="26">
        <f>IF(S20="","",IF(S20&gt;=12,"Alto",IF(S20&gt;=6,"Medio","Bajo")))</f>
        <v/>
      </c>
      <c r="U20" s="23" t="n"/>
    </row>
    <row r="21">
      <c r="A21" s="21" t="n"/>
      <c r="B21" s="22" t="n"/>
      <c r="C21" s="22" t="n"/>
      <c r="D21" s="22" t="n"/>
      <c r="E21" s="22" t="n"/>
      <c r="F21" s="23" t="n"/>
      <c r="G21" s="23" t="n"/>
      <c r="H21" s="23" t="n"/>
      <c r="I21" s="24" t="n"/>
      <c r="J21" s="24" t="n"/>
      <c r="K21" s="25">
        <f>IF(OR(I21="",J21=""),"",I21*J21)</f>
        <v/>
      </c>
      <c r="L21" s="26">
        <f>IF(K21="","",IF(K21&gt;=12,"Alto",IF(K21&gt;=6,"Medio","Bajo")))</f>
        <v/>
      </c>
      <c r="M21" s="23" t="n"/>
      <c r="N21" s="22" t="n"/>
      <c r="O21" s="27" t="n"/>
      <c r="P21" s="22" t="n"/>
      <c r="Q21" s="24" t="n"/>
      <c r="R21" s="24" t="n"/>
      <c r="S21" s="25">
        <f>IF(OR(Q21="",R21=""),"",Q21*R21)</f>
        <v/>
      </c>
      <c r="T21" s="26">
        <f>IF(S21="","",IF(S21&gt;=12,"Alto",IF(S21&gt;=6,"Medio","Bajo")))</f>
        <v/>
      </c>
      <c r="U21" s="23" t="n"/>
    </row>
    <row r="22">
      <c r="A22" s="21" t="n"/>
      <c r="B22" s="22" t="n"/>
      <c r="C22" s="22" t="n"/>
      <c r="D22" s="22" t="n"/>
      <c r="E22" s="22" t="n"/>
      <c r="F22" s="23" t="n"/>
      <c r="G22" s="23" t="n"/>
      <c r="H22" s="23" t="n"/>
      <c r="I22" s="24" t="n"/>
      <c r="J22" s="24" t="n"/>
      <c r="K22" s="25">
        <f>IF(OR(I22="",J22=""),"",I22*J22)</f>
        <v/>
      </c>
      <c r="L22" s="26">
        <f>IF(K22="","",IF(K22&gt;=12,"Alto",IF(K22&gt;=6,"Medio","Bajo")))</f>
        <v/>
      </c>
      <c r="M22" s="23" t="n"/>
      <c r="N22" s="22" t="n"/>
      <c r="O22" s="27" t="n"/>
      <c r="P22" s="22" t="n"/>
      <c r="Q22" s="24" t="n"/>
      <c r="R22" s="24" t="n"/>
      <c r="S22" s="25">
        <f>IF(OR(Q22="",R22=""),"",Q22*R22)</f>
        <v/>
      </c>
      <c r="T22" s="26">
        <f>IF(S22="","",IF(S22&gt;=12,"Alto",IF(S22&gt;=6,"Medio","Bajo")))</f>
        <v/>
      </c>
      <c r="U22" s="23" t="n"/>
    </row>
    <row r="23">
      <c r="A23" s="21" t="n"/>
      <c r="B23" s="22" t="n"/>
      <c r="C23" s="22" t="n"/>
      <c r="D23" s="22" t="n"/>
      <c r="E23" s="22" t="n"/>
      <c r="F23" s="23" t="n"/>
      <c r="G23" s="23" t="n"/>
      <c r="H23" s="23" t="n"/>
      <c r="I23" s="24" t="n"/>
      <c r="J23" s="24" t="n"/>
      <c r="K23" s="25">
        <f>IF(OR(I23="",J23=""),"",I23*J23)</f>
        <v/>
      </c>
      <c r="L23" s="26">
        <f>IF(K23="","",IF(K23&gt;=12,"Alto",IF(K23&gt;=6,"Medio","Bajo")))</f>
        <v/>
      </c>
      <c r="M23" s="23" t="n"/>
      <c r="N23" s="22" t="n"/>
      <c r="O23" s="27" t="n"/>
      <c r="P23" s="22" t="n"/>
      <c r="Q23" s="24" t="n"/>
      <c r="R23" s="24" t="n"/>
      <c r="S23" s="25">
        <f>IF(OR(Q23="",R23=""),"",Q23*R23)</f>
        <v/>
      </c>
      <c r="T23" s="26">
        <f>IF(S23="","",IF(S23&gt;=12,"Alto",IF(S23&gt;=6,"Medio","Bajo")))</f>
        <v/>
      </c>
      <c r="U23" s="23" t="n"/>
    </row>
    <row r="24">
      <c r="A24" s="21" t="n"/>
      <c r="B24" s="22" t="n"/>
      <c r="C24" s="22" t="n"/>
      <c r="D24" s="22" t="n"/>
      <c r="E24" s="22" t="n"/>
      <c r="F24" s="23" t="n"/>
      <c r="G24" s="23" t="n"/>
      <c r="H24" s="23" t="n"/>
      <c r="I24" s="24" t="n"/>
      <c r="J24" s="24" t="n"/>
      <c r="K24" s="25">
        <f>IF(OR(I24="",J24=""),"",I24*J24)</f>
        <v/>
      </c>
      <c r="L24" s="26">
        <f>IF(K24="","",IF(K24&gt;=12,"Alto",IF(K24&gt;=6,"Medio","Bajo")))</f>
        <v/>
      </c>
      <c r="M24" s="23" t="n"/>
      <c r="N24" s="22" t="n"/>
      <c r="O24" s="27" t="n"/>
      <c r="P24" s="22" t="n"/>
      <c r="Q24" s="24" t="n"/>
      <c r="R24" s="24" t="n"/>
      <c r="S24" s="25">
        <f>IF(OR(Q24="",R24=""),"",Q24*R24)</f>
        <v/>
      </c>
      <c r="T24" s="26">
        <f>IF(S24="","",IF(S24&gt;=12,"Alto",IF(S24&gt;=6,"Medio","Bajo")))</f>
        <v/>
      </c>
      <c r="U24" s="23" t="n"/>
    </row>
    <row r="25">
      <c r="A25" s="21" t="n"/>
      <c r="B25" s="22" t="n"/>
      <c r="C25" s="22" t="n"/>
      <c r="D25" s="22" t="n"/>
      <c r="E25" s="22" t="n"/>
      <c r="F25" s="23" t="n"/>
      <c r="G25" s="23" t="n"/>
      <c r="H25" s="23" t="n"/>
      <c r="I25" s="24" t="n"/>
      <c r="J25" s="24" t="n"/>
      <c r="K25" s="25">
        <f>IF(OR(I25="",J25=""),"",I25*J25)</f>
        <v/>
      </c>
      <c r="L25" s="26">
        <f>IF(K25="","",IF(K25&gt;=12,"Alto",IF(K25&gt;=6,"Medio","Bajo")))</f>
        <v/>
      </c>
      <c r="M25" s="23" t="n"/>
      <c r="N25" s="22" t="n"/>
      <c r="O25" s="27" t="n"/>
      <c r="P25" s="22" t="n"/>
      <c r="Q25" s="24" t="n"/>
      <c r="R25" s="24" t="n"/>
      <c r="S25" s="25">
        <f>IF(OR(Q25="",R25=""),"",Q25*R25)</f>
        <v/>
      </c>
      <c r="T25" s="26">
        <f>IF(S25="","",IF(S25&gt;=12,"Alto",IF(S25&gt;=6,"Medio","Bajo")))</f>
        <v/>
      </c>
      <c r="U25" s="23" t="n"/>
    </row>
    <row r="26">
      <c r="A26" s="21" t="n"/>
      <c r="B26" s="22" t="n"/>
      <c r="C26" s="22" t="n"/>
      <c r="D26" s="22" t="n"/>
      <c r="E26" s="22" t="n"/>
      <c r="F26" s="23" t="n"/>
      <c r="G26" s="23" t="n"/>
      <c r="H26" s="23" t="n"/>
      <c r="I26" s="24" t="n"/>
      <c r="J26" s="24" t="n"/>
      <c r="K26" s="25">
        <f>IF(OR(I26="",J26=""),"",I26*J26)</f>
        <v/>
      </c>
      <c r="L26" s="26">
        <f>IF(K26="","",IF(K26&gt;=12,"Alto",IF(K26&gt;=6,"Medio","Bajo")))</f>
        <v/>
      </c>
      <c r="M26" s="23" t="n"/>
      <c r="N26" s="22" t="n"/>
      <c r="O26" s="27" t="n"/>
      <c r="P26" s="22" t="n"/>
      <c r="Q26" s="24" t="n"/>
      <c r="R26" s="24" t="n"/>
      <c r="S26" s="25">
        <f>IF(OR(Q26="",R26=""),"",Q26*R26)</f>
        <v/>
      </c>
      <c r="T26" s="26">
        <f>IF(S26="","",IF(S26&gt;=12,"Alto",IF(S26&gt;=6,"Medio","Bajo")))</f>
        <v/>
      </c>
      <c r="U26" s="23" t="n"/>
    </row>
    <row r="27">
      <c r="A27" s="21" t="n"/>
      <c r="B27" s="22" t="n"/>
      <c r="C27" s="22" t="n"/>
      <c r="D27" s="22" t="n"/>
      <c r="E27" s="22" t="n"/>
      <c r="F27" s="23" t="n"/>
      <c r="G27" s="23" t="n"/>
      <c r="H27" s="23" t="n"/>
      <c r="I27" s="24" t="n"/>
      <c r="J27" s="24" t="n"/>
      <c r="K27" s="25">
        <f>IF(OR(I27="",J27=""),"",I27*J27)</f>
        <v/>
      </c>
      <c r="L27" s="26">
        <f>IF(K27="","",IF(K27&gt;=12,"Alto",IF(K27&gt;=6,"Medio","Bajo")))</f>
        <v/>
      </c>
      <c r="M27" s="23" t="n"/>
      <c r="N27" s="22" t="n"/>
      <c r="O27" s="27" t="n"/>
      <c r="P27" s="22" t="n"/>
      <c r="Q27" s="24" t="n"/>
      <c r="R27" s="24" t="n"/>
      <c r="S27" s="25">
        <f>IF(OR(Q27="",R27=""),"",Q27*R27)</f>
        <v/>
      </c>
      <c r="T27" s="26">
        <f>IF(S27="","",IF(S27&gt;=12,"Alto",IF(S27&gt;=6,"Medio","Bajo")))</f>
        <v/>
      </c>
      <c r="U27" s="23" t="n"/>
    </row>
    <row r="28">
      <c r="A28" s="21" t="n"/>
      <c r="B28" s="22" t="n"/>
      <c r="C28" s="22" t="n"/>
      <c r="D28" s="22" t="n"/>
      <c r="E28" s="22" t="n"/>
      <c r="F28" s="23" t="n"/>
      <c r="G28" s="23" t="n"/>
      <c r="H28" s="23" t="n"/>
      <c r="I28" s="24" t="n"/>
      <c r="J28" s="24" t="n"/>
      <c r="K28" s="25">
        <f>IF(OR(I28="",J28=""),"",I28*J28)</f>
        <v/>
      </c>
      <c r="L28" s="26">
        <f>IF(K28="","",IF(K28&gt;=12,"Alto",IF(K28&gt;=6,"Medio","Bajo")))</f>
        <v/>
      </c>
      <c r="M28" s="23" t="n"/>
      <c r="N28" s="22" t="n"/>
      <c r="O28" s="27" t="n"/>
      <c r="P28" s="22" t="n"/>
      <c r="Q28" s="24" t="n"/>
      <c r="R28" s="24" t="n"/>
      <c r="S28" s="25">
        <f>IF(OR(Q28="",R28=""),"",Q28*R28)</f>
        <v/>
      </c>
      <c r="T28" s="26">
        <f>IF(S28="","",IF(S28&gt;=12,"Alto",IF(S28&gt;=6,"Medio","Bajo")))</f>
        <v/>
      </c>
      <c r="U28" s="23" t="n"/>
    </row>
    <row r="29">
      <c r="A29" s="21" t="n"/>
      <c r="B29" s="22" t="n"/>
      <c r="C29" s="22" t="n"/>
      <c r="D29" s="22" t="n"/>
      <c r="E29" s="22" t="n"/>
      <c r="F29" s="23" t="n"/>
      <c r="G29" s="23" t="n"/>
      <c r="H29" s="23" t="n"/>
      <c r="I29" s="24" t="n"/>
      <c r="J29" s="24" t="n"/>
      <c r="K29" s="25">
        <f>IF(OR(I29="",J29=""),"",I29*J29)</f>
        <v/>
      </c>
      <c r="L29" s="26">
        <f>IF(K29="","",IF(K29&gt;=12,"Alto",IF(K29&gt;=6,"Medio","Bajo")))</f>
        <v/>
      </c>
      <c r="M29" s="23" t="n"/>
      <c r="N29" s="22" t="n"/>
      <c r="O29" s="27" t="n"/>
      <c r="P29" s="22" t="n"/>
      <c r="Q29" s="24" t="n"/>
      <c r="R29" s="24" t="n"/>
      <c r="S29" s="25">
        <f>IF(OR(Q29="",R29=""),"",Q29*R29)</f>
        <v/>
      </c>
      <c r="T29" s="26">
        <f>IF(S29="","",IF(S29&gt;=12,"Alto",IF(S29&gt;=6,"Medio","Bajo")))</f>
        <v/>
      </c>
      <c r="U29" s="23" t="n"/>
    </row>
    <row r="30">
      <c r="A30" s="21" t="n"/>
      <c r="B30" s="22" t="n"/>
      <c r="C30" s="22" t="n"/>
      <c r="D30" s="22" t="n"/>
      <c r="E30" s="22" t="n"/>
      <c r="F30" s="23" t="n"/>
      <c r="G30" s="23" t="n"/>
      <c r="H30" s="23" t="n"/>
      <c r="I30" s="24" t="n"/>
      <c r="J30" s="24" t="n"/>
      <c r="K30" s="25">
        <f>IF(OR(I30="",J30=""),"",I30*J30)</f>
        <v/>
      </c>
      <c r="L30" s="26">
        <f>IF(K30="","",IF(K30&gt;=12,"Alto",IF(K30&gt;=6,"Medio","Bajo")))</f>
        <v/>
      </c>
      <c r="M30" s="23" t="n"/>
      <c r="N30" s="22" t="n"/>
      <c r="O30" s="27" t="n"/>
      <c r="P30" s="22" t="n"/>
      <c r="Q30" s="24" t="n"/>
      <c r="R30" s="24" t="n"/>
      <c r="S30" s="25">
        <f>IF(OR(Q30="",R30=""),"",Q30*R30)</f>
        <v/>
      </c>
      <c r="T30" s="26">
        <f>IF(S30="","",IF(S30&gt;=12,"Alto",IF(S30&gt;=6,"Medio","Bajo")))</f>
        <v/>
      </c>
      <c r="U30" s="23" t="n"/>
    </row>
    <row r="31">
      <c r="A31" s="21" t="n"/>
      <c r="B31" s="22" t="n"/>
      <c r="C31" s="22" t="n"/>
      <c r="D31" s="22" t="n"/>
      <c r="E31" s="22" t="n"/>
      <c r="F31" s="23" t="n"/>
      <c r="G31" s="23" t="n"/>
      <c r="H31" s="23" t="n"/>
      <c r="I31" s="24" t="n"/>
      <c r="J31" s="24" t="n"/>
      <c r="K31" s="25">
        <f>IF(OR(I31="",J31=""),"",I31*J31)</f>
        <v/>
      </c>
      <c r="L31" s="26">
        <f>IF(K31="","",IF(K31&gt;=12,"Alto",IF(K31&gt;=6,"Medio","Bajo")))</f>
        <v/>
      </c>
      <c r="M31" s="23" t="n"/>
      <c r="N31" s="22" t="n"/>
      <c r="O31" s="27" t="n"/>
      <c r="P31" s="22" t="n"/>
      <c r="Q31" s="24" t="n"/>
      <c r="R31" s="24" t="n"/>
      <c r="S31" s="25">
        <f>IF(OR(Q31="",R31=""),"",Q31*R31)</f>
        <v/>
      </c>
      <c r="T31" s="26">
        <f>IF(S31="","",IF(S31&gt;=12,"Alto",IF(S31&gt;=6,"Medio","Bajo")))</f>
        <v/>
      </c>
      <c r="U31" s="23" t="n"/>
    </row>
    <row r="32">
      <c r="A32" s="21" t="n"/>
      <c r="B32" s="22" t="n"/>
      <c r="C32" s="22" t="n"/>
      <c r="D32" s="22" t="n"/>
      <c r="E32" s="22" t="n"/>
      <c r="F32" s="23" t="n"/>
      <c r="G32" s="23" t="n"/>
      <c r="H32" s="23" t="n"/>
      <c r="I32" s="24" t="n"/>
      <c r="J32" s="24" t="n"/>
      <c r="K32" s="25">
        <f>IF(OR(I32="",J32=""),"",I32*J32)</f>
        <v/>
      </c>
      <c r="L32" s="26">
        <f>IF(K32="","",IF(K32&gt;=12,"Alto",IF(K32&gt;=6,"Medio","Bajo")))</f>
        <v/>
      </c>
      <c r="M32" s="23" t="n"/>
      <c r="N32" s="22" t="n"/>
      <c r="O32" s="27" t="n"/>
      <c r="P32" s="22" t="n"/>
      <c r="Q32" s="24" t="n"/>
      <c r="R32" s="24" t="n"/>
      <c r="S32" s="25">
        <f>IF(OR(Q32="",R32=""),"",Q32*R32)</f>
        <v/>
      </c>
      <c r="T32" s="26">
        <f>IF(S32="","",IF(S32&gt;=12,"Alto",IF(S32&gt;=6,"Medio","Bajo")))</f>
        <v/>
      </c>
      <c r="U32" s="23" t="n"/>
    </row>
    <row r="33">
      <c r="A33" s="21" t="n"/>
      <c r="B33" s="22" t="n"/>
      <c r="C33" s="22" t="n"/>
      <c r="D33" s="22" t="n"/>
      <c r="E33" s="22" t="n"/>
      <c r="F33" s="23" t="n"/>
      <c r="G33" s="23" t="n"/>
      <c r="H33" s="23" t="n"/>
      <c r="I33" s="24" t="n"/>
      <c r="J33" s="24" t="n"/>
      <c r="K33" s="25">
        <f>IF(OR(I33="",J33=""),"",I33*J33)</f>
        <v/>
      </c>
      <c r="L33" s="26">
        <f>IF(K33="","",IF(K33&gt;=12,"Alto",IF(K33&gt;=6,"Medio","Bajo")))</f>
        <v/>
      </c>
      <c r="M33" s="23" t="n"/>
      <c r="N33" s="22" t="n"/>
      <c r="O33" s="27" t="n"/>
      <c r="P33" s="22" t="n"/>
      <c r="Q33" s="24" t="n"/>
      <c r="R33" s="24" t="n"/>
      <c r="S33" s="25">
        <f>IF(OR(Q33="",R33=""),"",Q33*R33)</f>
        <v/>
      </c>
      <c r="T33" s="26">
        <f>IF(S33="","",IF(S33&gt;=12,"Alto",IF(S33&gt;=6,"Medio","Bajo")))</f>
        <v/>
      </c>
      <c r="U33" s="23" t="n"/>
    </row>
    <row r="34">
      <c r="A34" s="21" t="n"/>
      <c r="B34" s="22" t="n"/>
      <c r="C34" s="22" t="n"/>
      <c r="D34" s="22" t="n"/>
      <c r="E34" s="22" t="n"/>
      <c r="F34" s="23" t="n"/>
      <c r="G34" s="23" t="n"/>
      <c r="H34" s="23" t="n"/>
      <c r="I34" s="24" t="n"/>
      <c r="J34" s="24" t="n"/>
      <c r="K34" s="25">
        <f>IF(OR(I34="",J34=""),"",I34*J34)</f>
        <v/>
      </c>
      <c r="L34" s="26">
        <f>IF(K34="","",IF(K34&gt;=12,"Alto",IF(K34&gt;=6,"Medio","Bajo")))</f>
        <v/>
      </c>
      <c r="M34" s="23" t="n"/>
      <c r="N34" s="22" t="n"/>
      <c r="O34" s="27" t="n"/>
      <c r="P34" s="22" t="n"/>
      <c r="Q34" s="24" t="n"/>
      <c r="R34" s="24" t="n"/>
      <c r="S34" s="25">
        <f>IF(OR(Q34="",R34=""),"",Q34*R34)</f>
        <v/>
      </c>
      <c r="T34" s="26">
        <f>IF(S34="","",IF(S34&gt;=12,"Alto",IF(S34&gt;=6,"Medio","Bajo")))</f>
        <v/>
      </c>
      <c r="U34" s="23" t="n"/>
    </row>
    <row r="35">
      <c r="A35" s="21" t="n"/>
      <c r="B35" s="22" t="n"/>
      <c r="C35" s="22" t="n"/>
      <c r="D35" s="22" t="n"/>
      <c r="E35" s="22" t="n"/>
      <c r="F35" s="23" t="n"/>
      <c r="G35" s="23" t="n"/>
      <c r="H35" s="23" t="n"/>
      <c r="I35" s="24" t="n"/>
      <c r="J35" s="24" t="n"/>
      <c r="K35" s="25">
        <f>IF(OR(I35="",J35=""),"",I35*J35)</f>
        <v/>
      </c>
      <c r="L35" s="26">
        <f>IF(K35="","",IF(K35&gt;=12,"Alto",IF(K35&gt;=6,"Medio","Bajo")))</f>
        <v/>
      </c>
      <c r="M35" s="23" t="n"/>
      <c r="N35" s="22" t="n"/>
      <c r="O35" s="27" t="n"/>
      <c r="P35" s="22" t="n"/>
      <c r="Q35" s="24" t="n"/>
      <c r="R35" s="24" t="n"/>
      <c r="S35" s="25">
        <f>IF(OR(Q35="",R35=""),"",Q35*R35)</f>
        <v/>
      </c>
      <c r="T35" s="26">
        <f>IF(S35="","",IF(S35&gt;=12,"Alto",IF(S35&gt;=6,"Medio","Bajo")))</f>
        <v/>
      </c>
      <c r="U35" s="23" t="n"/>
    </row>
    <row r="36">
      <c r="A36" s="21" t="n"/>
      <c r="B36" s="22" t="n"/>
      <c r="C36" s="22" t="n"/>
      <c r="D36" s="22" t="n"/>
      <c r="E36" s="22" t="n"/>
      <c r="F36" s="23" t="n"/>
      <c r="G36" s="23" t="n"/>
      <c r="H36" s="23" t="n"/>
      <c r="I36" s="24" t="n"/>
      <c r="J36" s="24" t="n"/>
      <c r="K36" s="25">
        <f>IF(OR(I36="",J36=""),"",I36*J36)</f>
        <v/>
      </c>
      <c r="L36" s="26">
        <f>IF(K36="","",IF(K36&gt;=12,"Alto",IF(K36&gt;=6,"Medio","Bajo")))</f>
        <v/>
      </c>
      <c r="M36" s="23" t="n"/>
      <c r="N36" s="22" t="n"/>
      <c r="O36" s="27" t="n"/>
      <c r="P36" s="22" t="n"/>
      <c r="Q36" s="24" t="n"/>
      <c r="R36" s="24" t="n"/>
      <c r="S36" s="25">
        <f>IF(OR(Q36="",R36=""),"",Q36*R36)</f>
        <v/>
      </c>
      <c r="T36" s="26">
        <f>IF(S36="","",IF(S36&gt;=12,"Alto",IF(S36&gt;=6,"Medio","Bajo")))</f>
        <v/>
      </c>
      <c r="U36" s="23" t="n"/>
    </row>
    <row r="37">
      <c r="A37" s="21" t="n"/>
      <c r="B37" s="22" t="n"/>
      <c r="C37" s="22" t="n"/>
      <c r="D37" s="22" t="n"/>
      <c r="E37" s="22" t="n"/>
      <c r="F37" s="23" t="n"/>
      <c r="G37" s="23" t="n"/>
      <c r="H37" s="23" t="n"/>
      <c r="I37" s="24" t="n"/>
      <c r="J37" s="24" t="n"/>
      <c r="K37" s="25">
        <f>IF(OR(I37="",J37=""),"",I37*J37)</f>
        <v/>
      </c>
      <c r="L37" s="26">
        <f>IF(K37="","",IF(K37&gt;=12,"Alto",IF(K37&gt;=6,"Medio","Bajo")))</f>
        <v/>
      </c>
      <c r="M37" s="23" t="n"/>
      <c r="N37" s="22" t="n"/>
      <c r="O37" s="27" t="n"/>
      <c r="P37" s="22" t="n"/>
      <c r="Q37" s="24" t="n"/>
      <c r="R37" s="24" t="n"/>
      <c r="S37" s="25">
        <f>IF(OR(Q37="",R37=""),"",Q37*R37)</f>
        <v/>
      </c>
      <c r="T37" s="26">
        <f>IF(S37="","",IF(S37&gt;=12,"Alto",IF(S37&gt;=6,"Medio","Bajo")))</f>
        <v/>
      </c>
      <c r="U37" s="23" t="n"/>
    </row>
    <row r="38">
      <c r="A38" s="21" t="n"/>
      <c r="B38" s="22" t="n"/>
      <c r="C38" s="22" t="n"/>
      <c r="D38" s="22" t="n"/>
      <c r="E38" s="22" t="n"/>
      <c r="F38" s="23" t="n"/>
      <c r="G38" s="23" t="n"/>
      <c r="H38" s="23" t="n"/>
      <c r="I38" s="24" t="n"/>
      <c r="J38" s="24" t="n"/>
      <c r="K38" s="25">
        <f>IF(OR(I38="",J38=""),"",I38*J38)</f>
        <v/>
      </c>
      <c r="L38" s="26">
        <f>IF(K38="","",IF(K38&gt;=12,"Alto",IF(K38&gt;=6,"Medio","Bajo")))</f>
        <v/>
      </c>
      <c r="M38" s="23" t="n"/>
      <c r="N38" s="22" t="n"/>
      <c r="O38" s="27" t="n"/>
      <c r="P38" s="22" t="n"/>
      <c r="Q38" s="24" t="n"/>
      <c r="R38" s="24" t="n"/>
      <c r="S38" s="25">
        <f>IF(OR(Q38="",R38=""),"",Q38*R38)</f>
        <v/>
      </c>
      <c r="T38" s="26">
        <f>IF(S38="","",IF(S38&gt;=12,"Alto",IF(S38&gt;=6,"Medio","Bajo")))</f>
        <v/>
      </c>
      <c r="U38" s="23" t="n"/>
    </row>
    <row r="39">
      <c r="A39" s="21" t="n"/>
      <c r="B39" s="22" t="n"/>
      <c r="C39" s="22" t="n"/>
      <c r="D39" s="22" t="n"/>
      <c r="E39" s="22" t="n"/>
      <c r="F39" s="23" t="n"/>
      <c r="G39" s="23" t="n"/>
      <c r="H39" s="23" t="n"/>
      <c r="I39" s="24" t="n"/>
      <c r="J39" s="24" t="n"/>
      <c r="K39" s="25">
        <f>IF(OR(I39="",J39=""),"",I39*J39)</f>
        <v/>
      </c>
      <c r="L39" s="26">
        <f>IF(K39="","",IF(K39&gt;=12,"Alto",IF(K39&gt;=6,"Medio","Bajo")))</f>
        <v/>
      </c>
      <c r="M39" s="23" t="n"/>
      <c r="N39" s="22" t="n"/>
      <c r="O39" s="27" t="n"/>
      <c r="P39" s="22" t="n"/>
      <c r="Q39" s="24" t="n"/>
      <c r="R39" s="24" t="n"/>
      <c r="S39" s="25">
        <f>IF(OR(Q39="",R39=""),"",Q39*R39)</f>
        <v/>
      </c>
      <c r="T39" s="26">
        <f>IF(S39="","",IF(S39&gt;=12,"Alto",IF(S39&gt;=6,"Medio","Bajo")))</f>
        <v/>
      </c>
      <c r="U39" s="23" t="n"/>
    </row>
    <row r="40">
      <c r="A40" s="21" t="n"/>
      <c r="B40" s="22" t="n"/>
      <c r="C40" s="22" t="n"/>
      <c r="D40" s="22" t="n"/>
      <c r="E40" s="22" t="n"/>
      <c r="F40" s="23" t="n"/>
      <c r="G40" s="23" t="n"/>
      <c r="H40" s="23" t="n"/>
      <c r="I40" s="24" t="n"/>
      <c r="J40" s="24" t="n"/>
      <c r="K40" s="25">
        <f>IF(OR(I40="",J40=""),"",I40*J40)</f>
        <v/>
      </c>
      <c r="L40" s="26">
        <f>IF(K40="","",IF(K40&gt;=12,"Alto",IF(K40&gt;=6,"Medio","Bajo")))</f>
        <v/>
      </c>
      <c r="M40" s="23" t="n"/>
      <c r="N40" s="22" t="n"/>
      <c r="O40" s="27" t="n"/>
      <c r="P40" s="22" t="n"/>
      <c r="Q40" s="24" t="n"/>
      <c r="R40" s="24" t="n"/>
      <c r="S40" s="25">
        <f>IF(OR(Q40="",R40=""),"",Q40*R40)</f>
        <v/>
      </c>
      <c r="T40" s="26">
        <f>IF(S40="","",IF(S40&gt;=12,"Alto",IF(S40&gt;=6,"Medio","Bajo")))</f>
        <v/>
      </c>
      <c r="U40" s="23" t="n"/>
    </row>
    <row r="41">
      <c r="A41" s="21" t="n"/>
      <c r="B41" s="22" t="n"/>
      <c r="C41" s="22" t="n"/>
      <c r="D41" s="22" t="n"/>
      <c r="E41" s="22" t="n"/>
      <c r="F41" s="23" t="n"/>
      <c r="G41" s="23" t="n"/>
      <c r="H41" s="23" t="n"/>
      <c r="I41" s="24" t="n"/>
      <c r="J41" s="24" t="n"/>
      <c r="K41" s="25">
        <f>IF(OR(I41="",J41=""),"",I41*J41)</f>
        <v/>
      </c>
      <c r="L41" s="26">
        <f>IF(K41="","",IF(K41&gt;=12,"Alto",IF(K41&gt;=6,"Medio","Bajo")))</f>
        <v/>
      </c>
      <c r="M41" s="23" t="n"/>
      <c r="N41" s="22" t="n"/>
      <c r="O41" s="27" t="n"/>
      <c r="P41" s="22" t="n"/>
      <c r="Q41" s="24" t="n"/>
      <c r="R41" s="24" t="n"/>
      <c r="S41" s="25">
        <f>IF(OR(Q41="",R41=""),"",Q41*R41)</f>
        <v/>
      </c>
      <c r="T41" s="26">
        <f>IF(S41="","",IF(S41&gt;=12,"Alto",IF(S41&gt;=6,"Medio","Bajo")))</f>
        <v/>
      </c>
      <c r="U41" s="23" t="n"/>
    </row>
    <row r="42">
      <c r="A42" s="21" t="n"/>
      <c r="B42" s="22" t="n"/>
      <c r="C42" s="22" t="n"/>
      <c r="D42" s="22" t="n"/>
      <c r="E42" s="22" t="n"/>
      <c r="F42" s="23" t="n"/>
      <c r="G42" s="23" t="n"/>
      <c r="H42" s="23" t="n"/>
      <c r="I42" s="24" t="n"/>
      <c r="J42" s="24" t="n"/>
      <c r="K42" s="25">
        <f>IF(OR(I42="",J42=""),"",I42*J42)</f>
        <v/>
      </c>
      <c r="L42" s="26">
        <f>IF(K42="","",IF(K42&gt;=12,"Alto",IF(K42&gt;=6,"Medio","Bajo")))</f>
        <v/>
      </c>
      <c r="M42" s="23" t="n"/>
      <c r="N42" s="22" t="n"/>
      <c r="O42" s="27" t="n"/>
      <c r="P42" s="22" t="n"/>
      <c r="Q42" s="24" t="n"/>
      <c r="R42" s="24" t="n"/>
      <c r="S42" s="25">
        <f>IF(OR(Q42="",R42=""),"",Q42*R42)</f>
        <v/>
      </c>
      <c r="T42" s="26">
        <f>IF(S42="","",IF(S42&gt;=12,"Alto",IF(S42&gt;=6,"Medio","Bajo")))</f>
        <v/>
      </c>
      <c r="U42" s="23" t="n"/>
    </row>
    <row r="43">
      <c r="A43" s="21" t="n"/>
      <c r="B43" s="22" t="n"/>
      <c r="C43" s="22" t="n"/>
      <c r="D43" s="22" t="n"/>
      <c r="E43" s="22" t="n"/>
      <c r="F43" s="23" t="n"/>
      <c r="G43" s="23" t="n"/>
      <c r="H43" s="23" t="n"/>
      <c r="I43" s="24" t="n"/>
      <c r="J43" s="24" t="n"/>
      <c r="K43" s="25">
        <f>IF(OR(I43="",J43=""),"",I43*J43)</f>
        <v/>
      </c>
      <c r="L43" s="26">
        <f>IF(K43="","",IF(K43&gt;=12,"Alto",IF(K43&gt;=6,"Medio","Bajo")))</f>
        <v/>
      </c>
      <c r="M43" s="23" t="n"/>
      <c r="N43" s="22" t="n"/>
      <c r="O43" s="27" t="n"/>
      <c r="P43" s="22" t="n"/>
      <c r="Q43" s="24" t="n"/>
      <c r="R43" s="24" t="n"/>
      <c r="S43" s="25">
        <f>IF(OR(Q43="",R43=""),"",Q43*R43)</f>
        <v/>
      </c>
      <c r="T43" s="26">
        <f>IF(S43="","",IF(S43&gt;=12,"Alto",IF(S43&gt;=6,"Medio","Bajo")))</f>
        <v/>
      </c>
      <c r="U43" s="23" t="n"/>
    </row>
    <row r="44">
      <c r="A44" s="21" t="n"/>
      <c r="B44" s="22" t="n"/>
      <c r="C44" s="22" t="n"/>
      <c r="D44" s="22" t="n"/>
      <c r="E44" s="22" t="n"/>
      <c r="F44" s="23" t="n"/>
      <c r="G44" s="23" t="n"/>
      <c r="H44" s="23" t="n"/>
      <c r="I44" s="24" t="n"/>
      <c r="J44" s="24" t="n"/>
      <c r="K44" s="25">
        <f>IF(OR(I44="",J44=""),"",I44*J44)</f>
        <v/>
      </c>
      <c r="L44" s="26">
        <f>IF(K44="","",IF(K44&gt;=12,"Alto",IF(K44&gt;=6,"Medio","Bajo")))</f>
        <v/>
      </c>
      <c r="M44" s="23" t="n"/>
      <c r="N44" s="22" t="n"/>
      <c r="O44" s="27" t="n"/>
      <c r="P44" s="22" t="n"/>
      <c r="Q44" s="24" t="n"/>
      <c r="R44" s="24" t="n"/>
      <c r="S44" s="25">
        <f>IF(OR(Q44="",R44=""),"",Q44*R44)</f>
        <v/>
      </c>
      <c r="T44" s="26">
        <f>IF(S44="","",IF(S44&gt;=12,"Alto",IF(S44&gt;=6,"Medio","Bajo")))</f>
        <v/>
      </c>
      <c r="U44" s="23" t="n"/>
    </row>
    <row r="45">
      <c r="A45" s="21" t="n"/>
      <c r="B45" s="22" t="n"/>
      <c r="C45" s="22" t="n"/>
      <c r="D45" s="22" t="n"/>
      <c r="E45" s="22" t="n"/>
      <c r="F45" s="23" t="n"/>
      <c r="G45" s="23" t="n"/>
      <c r="H45" s="23" t="n"/>
      <c r="I45" s="24" t="n"/>
      <c r="J45" s="24" t="n"/>
      <c r="K45" s="25">
        <f>IF(OR(I45="",J45=""),"",I45*J45)</f>
        <v/>
      </c>
      <c r="L45" s="26">
        <f>IF(K45="","",IF(K45&gt;=12,"Alto",IF(K45&gt;=6,"Medio","Bajo")))</f>
        <v/>
      </c>
      <c r="M45" s="23" t="n"/>
      <c r="N45" s="22" t="n"/>
      <c r="O45" s="27" t="n"/>
      <c r="P45" s="22" t="n"/>
      <c r="Q45" s="24" t="n"/>
      <c r="R45" s="24" t="n"/>
      <c r="S45" s="25">
        <f>IF(OR(Q45="",R45=""),"",Q45*R45)</f>
        <v/>
      </c>
      <c r="T45" s="26">
        <f>IF(S45="","",IF(S45&gt;=12,"Alto",IF(S45&gt;=6,"Medio","Bajo")))</f>
        <v/>
      </c>
      <c r="U45" s="23" t="n"/>
    </row>
    <row r="46">
      <c r="A46" s="21" t="n"/>
      <c r="B46" s="22" t="n"/>
      <c r="C46" s="22" t="n"/>
      <c r="D46" s="22" t="n"/>
      <c r="E46" s="22" t="n"/>
      <c r="F46" s="23" t="n"/>
      <c r="G46" s="23" t="n"/>
      <c r="H46" s="23" t="n"/>
      <c r="I46" s="24" t="n"/>
      <c r="J46" s="24" t="n"/>
      <c r="K46" s="25">
        <f>IF(OR(I46="",J46=""),"",I46*J46)</f>
        <v/>
      </c>
      <c r="L46" s="26">
        <f>IF(K46="","",IF(K46&gt;=12,"Alto",IF(K46&gt;=6,"Medio","Bajo")))</f>
        <v/>
      </c>
      <c r="M46" s="23" t="n"/>
      <c r="N46" s="22" t="n"/>
      <c r="O46" s="27" t="n"/>
      <c r="P46" s="22" t="n"/>
      <c r="Q46" s="24" t="n"/>
      <c r="R46" s="24" t="n"/>
      <c r="S46" s="25">
        <f>IF(OR(Q46="",R46=""),"",Q46*R46)</f>
        <v/>
      </c>
      <c r="T46" s="26">
        <f>IF(S46="","",IF(S46&gt;=12,"Alto",IF(S46&gt;=6,"Medio","Bajo")))</f>
        <v/>
      </c>
      <c r="U46" s="23" t="n"/>
    </row>
    <row r="47">
      <c r="A47" s="21" t="n"/>
      <c r="B47" s="22" t="n"/>
      <c r="C47" s="22" t="n"/>
      <c r="D47" s="22" t="n"/>
      <c r="E47" s="22" t="n"/>
      <c r="F47" s="23" t="n"/>
      <c r="G47" s="23" t="n"/>
      <c r="H47" s="23" t="n"/>
      <c r="I47" s="24" t="n"/>
      <c r="J47" s="24" t="n"/>
      <c r="K47" s="25">
        <f>IF(OR(I47="",J47=""),"",I47*J47)</f>
        <v/>
      </c>
      <c r="L47" s="26">
        <f>IF(K47="","",IF(K47&gt;=12,"Alto",IF(K47&gt;=6,"Medio","Bajo")))</f>
        <v/>
      </c>
      <c r="M47" s="23" t="n"/>
      <c r="N47" s="22" t="n"/>
      <c r="O47" s="27" t="n"/>
      <c r="P47" s="22" t="n"/>
      <c r="Q47" s="24" t="n"/>
      <c r="R47" s="24" t="n"/>
      <c r="S47" s="25">
        <f>IF(OR(Q47="",R47=""),"",Q47*R47)</f>
        <v/>
      </c>
      <c r="T47" s="26">
        <f>IF(S47="","",IF(S47&gt;=12,"Alto",IF(S47&gt;=6,"Medio","Bajo")))</f>
        <v/>
      </c>
      <c r="U47" s="23" t="n"/>
    </row>
    <row r="48">
      <c r="A48" s="21" t="n"/>
      <c r="B48" s="22" t="n"/>
      <c r="C48" s="22" t="n"/>
      <c r="D48" s="22" t="n"/>
      <c r="E48" s="22" t="n"/>
      <c r="F48" s="23" t="n"/>
      <c r="G48" s="23" t="n"/>
      <c r="H48" s="23" t="n"/>
      <c r="I48" s="24" t="n"/>
      <c r="J48" s="24" t="n"/>
      <c r="K48" s="25">
        <f>IF(OR(I48="",J48=""),"",I48*J48)</f>
        <v/>
      </c>
      <c r="L48" s="26">
        <f>IF(K48="","",IF(K48&gt;=12,"Alto",IF(K48&gt;=6,"Medio","Bajo")))</f>
        <v/>
      </c>
      <c r="M48" s="23" t="n"/>
      <c r="N48" s="22" t="n"/>
      <c r="O48" s="27" t="n"/>
      <c r="P48" s="22" t="n"/>
      <c r="Q48" s="24" t="n"/>
      <c r="R48" s="24" t="n"/>
      <c r="S48" s="25">
        <f>IF(OR(Q48="",R48=""),"",Q48*R48)</f>
        <v/>
      </c>
      <c r="T48" s="26">
        <f>IF(S48="","",IF(S48&gt;=12,"Alto",IF(S48&gt;=6,"Medio","Bajo")))</f>
        <v/>
      </c>
      <c r="U48" s="23" t="n"/>
    </row>
    <row r="49">
      <c r="A49" s="21" t="n"/>
      <c r="B49" s="22" t="n"/>
      <c r="C49" s="22" t="n"/>
      <c r="D49" s="22" t="n"/>
      <c r="E49" s="22" t="n"/>
      <c r="F49" s="23" t="n"/>
      <c r="G49" s="23" t="n"/>
      <c r="H49" s="23" t="n"/>
      <c r="I49" s="24" t="n"/>
      <c r="J49" s="24" t="n"/>
      <c r="K49" s="25">
        <f>IF(OR(I49="",J49=""),"",I49*J49)</f>
        <v/>
      </c>
      <c r="L49" s="26">
        <f>IF(K49="","",IF(K49&gt;=12,"Alto",IF(K49&gt;=6,"Medio","Bajo")))</f>
        <v/>
      </c>
      <c r="M49" s="23" t="n"/>
      <c r="N49" s="22" t="n"/>
      <c r="O49" s="27" t="n"/>
      <c r="P49" s="22" t="n"/>
      <c r="Q49" s="24" t="n"/>
      <c r="R49" s="24" t="n"/>
      <c r="S49" s="25">
        <f>IF(OR(Q49="",R49=""),"",Q49*R49)</f>
        <v/>
      </c>
      <c r="T49" s="26">
        <f>IF(S49="","",IF(S49&gt;=12,"Alto",IF(S49&gt;=6,"Medio","Bajo")))</f>
        <v/>
      </c>
      <c r="U49" s="23" t="n"/>
    </row>
    <row r="50">
      <c r="A50" s="21" t="n"/>
      <c r="B50" s="22" t="n"/>
      <c r="C50" s="22" t="n"/>
      <c r="D50" s="22" t="n"/>
      <c r="E50" s="22" t="n"/>
      <c r="F50" s="23" t="n"/>
      <c r="G50" s="23" t="n"/>
      <c r="H50" s="23" t="n"/>
      <c r="I50" s="24" t="n"/>
      <c r="J50" s="24" t="n"/>
      <c r="K50" s="25">
        <f>IF(OR(I50="",J50=""),"",I50*J50)</f>
        <v/>
      </c>
      <c r="L50" s="26">
        <f>IF(K50="","",IF(K50&gt;=12,"Alto",IF(K50&gt;=6,"Medio","Bajo")))</f>
        <v/>
      </c>
      <c r="M50" s="23" t="n"/>
      <c r="N50" s="22" t="n"/>
      <c r="O50" s="27" t="n"/>
      <c r="P50" s="22" t="n"/>
      <c r="Q50" s="24" t="n"/>
      <c r="R50" s="24" t="n"/>
      <c r="S50" s="25">
        <f>IF(OR(Q50="",R50=""),"",Q50*R50)</f>
        <v/>
      </c>
      <c r="T50" s="26">
        <f>IF(S50="","",IF(S50&gt;=12,"Alto",IF(S50&gt;=6,"Medio","Bajo")))</f>
        <v/>
      </c>
      <c r="U50" s="23" t="n"/>
    </row>
    <row r="51">
      <c r="A51" s="21" t="n"/>
      <c r="B51" s="22" t="n"/>
      <c r="C51" s="22" t="n"/>
      <c r="D51" s="22" t="n"/>
      <c r="E51" s="22" t="n"/>
      <c r="F51" s="23" t="n"/>
      <c r="G51" s="23" t="n"/>
      <c r="H51" s="23" t="n"/>
      <c r="I51" s="24" t="n"/>
      <c r="J51" s="24" t="n"/>
      <c r="K51" s="25">
        <f>IF(OR(I51="",J51=""),"",I51*J51)</f>
        <v/>
      </c>
      <c r="L51" s="26">
        <f>IF(K51="","",IF(K51&gt;=12,"Alto",IF(K51&gt;=6,"Medio","Bajo")))</f>
        <v/>
      </c>
      <c r="M51" s="23" t="n"/>
      <c r="N51" s="22" t="n"/>
      <c r="O51" s="27" t="n"/>
      <c r="P51" s="22" t="n"/>
      <c r="Q51" s="24" t="n"/>
      <c r="R51" s="24" t="n"/>
      <c r="S51" s="25">
        <f>IF(OR(Q51="",R51=""),"",Q51*R51)</f>
        <v/>
      </c>
      <c r="T51" s="26">
        <f>IF(S51="","",IF(S51&gt;=12,"Alto",IF(S51&gt;=6,"Medio","Bajo")))</f>
        <v/>
      </c>
      <c r="U51" s="23" t="n"/>
    </row>
    <row r="52">
      <c r="A52" s="21" t="n"/>
      <c r="B52" s="22" t="n"/>
      <c r="C52" s="22" t="n"/>
      <c r="D52" s="22" t="n"/>
      <c r="E52" s="22" t="n"/>
      <c r="F52" s="23" t="n"/>
      <c r="G52" s="23" t="n"/>
      <c r="H52" s="23" t="n"/>
      <c r="I52" s="24" t="n"/>
      <c r="J52" s="24" t="n"/>
      <c r="K52" s="25">
        <f>IF(OR(I52="",J52=""),"",I52*J52)</f>
        <v/>
      </c>
      <c r="L52" s="26">
        <f>IF(K52="","",IF(K52&gt;=12,"Alto",IF(K52&gt;=6,"Medio","Bajo")))</f>
        <v/>
      </c>
      <c r="M52" s="23" t="n"/>
      <c r="N52" s="22" t="n"/>
      <c r="O52" s="27" t="n"/>
      <c r="P52" s="22" t="n"/>
      <c r="Q52" s="24" t="n"/>
      <c r="R52" s="24" t="n"/>
      <c r="S52" s="25">
        <f>IF(OR(Q52="",R52=""),"",Q52*R52)</f>
        <v/>
      </c>
      <c r="T52" s="26">
        <f>IF(S52="","",IF(S52&gt;=12,"Alto",IF(S52&gt;=6,"Medio","Bajo")))</f>
        <v/>
      </c>
      <c r="U52" s="23" t="n"/>
    </row>
    <row r="53">
      <c r="A53" s="21" t="n"/>
      <c r="B53" s="22" t="n"/>
      <c r="C53" s="22" t="n"/>
      <c r="D53" s="22" t="n"/>
      <c r="E53" s="22" t="n"/>
      <c r="F53" s="23" t="n"/>
      <c r="G53" s="23" t="n"/>
      <c r="H53" s="23" t="n"/>
      <c r="I53" s="24" t="n"/>
      <c r="J53" s="24" t="n"/>
      <c r="K53" s="25">
        <f>IF(OR(I53="",J53=""),"",I53*J53)</f>
        <v/>
      </c>
      <c r="L53" s="26">
        <f>IF(K53="","",IF(K53&gt;=12,"Alto",IF(K53&gt;=6,"Medio","Bajo")))</f>
        <v/>
      </c>
      <c r="M53" s="23" t="n"/>
      <c r="N53" s="22" t="n"/>
      <c r="O53" s="27" t="n"/>
      <c r="P53" s="22" t="n"/>
      <c r="Q53" s="24" t="n"/>
      <c r="R53" s="24" t="n"/>
      <c r="S53" s="25">
        <f>IF(OR(Q53="",R53=""),"",Q53*R53)</f>
        <v/>
      </c>
      <c r="T53" s="26">
        <f>IF(S53="","",IF(S53&gt;=12,"Alto",IF(S53&gt;=6,"Medio","Bajo")))</f>
        <v/>
      </c>
      <c r="U53" s="23" t="n"/>
    </row>
    <row r="54">
      <c r="A54" s="21" t="n"/>
      <c r="B54" s="22" t="n"/>
      <c r="C54" s="22" t="n"/>
      <c r="D54" s="22" t="n"/>
      <c r="E54" s="22" t="n"/>
      <c r="F54" s="23" t="n"/>
      <c r="G54" s="23" t="n"/>
      <c r="H54" s="23" t="n"/>
      <c r="I54" s="24" t="n"/>
      <c r="J54" s="24" t="n"/>
      <c r="K54" s="25">
        <f>IF(OR(I54="",J54=""),"",I54*J54)</f>
        <v/>
      </c>
      <c r="L54" s="26">
        <f>IF(K54="","",IF(K54&gt;=12,"Alto",IF(K54&gt;=6,"Medio","Bajo")))</f>
        <v/>
      </c>
      <c r="M54" s="23" t="n"/>
      <c r="N54" s="22" t="n"/>
      <c r="O54" s="27" t="n"/>
      <c r="P54" s="22" t="n"/>
      <c r="Q54" s="24" t="n"/>
      <c r="R54" s="24" t="n"/>
      <c r="S54" s="25">
        <f>IF(OR(Q54="",R54=""),"",Q54*R54)</f>
        <v/>
      </c>
      <c r="T54" s="26">
        <f>IF(S54="","",IF(S54&gt;=12,"Alto",IF(S54&gt;=6,"Medio","Bajo")))</f>
        <v/>
      </c>
      <c r="U54" s="23" t="n"/>
    </row>
    <row r="55">
      <c r="A55" s="21" t="n"/>
      <c r="B55" s="22" t="n"/>
      <c r="C55" s="22" t="n"/>
      <c r="D55" s="22" t="n"/>
      <c r="E55" s="22" t="n"/>
      <c r="F55" s="23" t="n"/>
      <c r="G55" s="23" t="n"/>
      <c r="H55" s="23" t="n"/>
      <c r="I55" s="24" t="n"/>
      <c r="J55" s="24" t="n"/>
      <c r="K55" s="25">
        <f>IF(OR(I55="",J55=""),"",I55*J55)</f>
        <v/>
      </c>
      <c r="L55" s="26">
        <f>IF(K55="","",IF(K55&gt;=12,"Alto",IF(K55&gt;=6,"Medio","Bajo")))</f>
        <v/>
      </c>
      <c r="M55" s="23" t="n"/>
      <c r="N55" s="22" t="n"/>
      <c r="O55" s="27" t="n"/>
      <c r="P55" s="22" t="n"/>
      <c r="Q55" s="24" t="n"/>
      <c r="R55" s="24" t="n"/>
      <c r="S55" s="25">
        <f>IF(OR(Q55="",R55=""),"",Q55*R55)</f>
        <v/>
      </c>
      <c r="T55" s="26">
        <f>IF(S55="","",IF(S55&gt;=12,"Alto",IF(S55&gt;=6,"Medio","Bajo")))</f>
        <v/>
      </c>
      <c r="U55" s="23" t="n"/>
    </row>
    <row r="56">
      <c r="A56" s="21" t="n"/>
      <c r="B56" s="22" t="n"/>
      <c r="C56" s="22" t="n"/>
      <c r="D56" s="22" t="n"/>
      <c r="E56" s="22" t="n"/>
      <c r="F56" s="23" t="n"/>
      <c r="G56" s="23" t="n"/>
      <c r="H56" s="23" t="n"/>
      <c r="I56" s="24" t="n"/>
      <c r="J56" s="24" t="n"/>
      <c r="K56" s="25">
        <f>IF(OR(I56="",J56=""),"",I56*J56)</f>
        <v/>
      </c>
      <c r="L56" s="26">
        <f>IF(K56="","",IF(K56&gt;=12,"Alto",IF(K56&gt;=6,"Medio","Bajo")))</f>
        <v/>
      </c>
      <c r="M56" s="23" t="n"/>
      <c r="N56" s="22" t="n"/>
      <c r="O56" s="27" t="n"/>
      <c r="P56" s="22" t="n"/>
      <c r="Q56" s="24" t="n"/>
      <c r="R56" s="24" t="n"/>
      <c r="S56" s="25">
        <f>IF(OR(Q56="",R56=""),"",Q56*R56)</f>
        <v/>
      </c>
      <c r="T56" s="26">
        <f>IF(S56="","",IF(S56&gt;=12,"Alto",IF(S56&gt;=6,"Medio","Bajo")))</f>
        <v/>
      </c>
      <c r="U56" s="23" t="n"/>
    </row>
    <row r="57">
      <c r="A57" s="21" t="n"/>
      <c r="B57" s="22" t="n"/>
      <c r="C57" s="22" t="n"/>
      <c r="D57" s="22" t="n"/>
      <c r="E57" s="22" t="n"/>
      <c r="F57" s="23" t="n"/>
      <c r="G57" s="23" t="n"/>
      <c r="H57" s="23" t="n"/>
      <c r="I57" s="24" t="n"/>
      <c r="J57" s="24" t="n"/>
      <c r="K57" s="25">
        <f>IF(OR(I57="",J57=""),"",I57*J57)</f>
        <v/>
      </c>
      <c r="L57" s="26">
        <f>IF(K57="","",IF(K57&gt;=12,"Alto",IF(K57&gt;=6,"Medio","Bajo")))</f>
        <v/>
      </c>
      <c r="M57" s="23" t="n"/>
      <c r="N57" s="22" t="n"/>
      <c r="O57" s="27" t="n"/>
      <c r="P57" s="22" t="n"/>
      <c r="Q57" s="24" t="n"/>
      <c r="R57" s="24" t="n"/>
      <c r="S57" s="25">
        <f>IF(OR(Q57="",R57=""),"",Q57*R57)</f>
        <v/>
      </c>
      <c r="T57" s="26">
        <f>IF(S57="","",IF(S57&gt;=12,"Alto",IF(S57&gt;=6,"Medio","Bajo")))</f>
        <v/>
      </c>
      <c r="U57" s="23" t="n"/>
    </row>
    <row r="58">
      <c r="A58" s="21" t="n"/>
      <c r="B58" s="22" t="n"/>
      <c r="C58" s="22" t="n"/>
      <c r="D58" s="22" t="n"/>
      <c r="E58" s="22" t="n"/>
      <c r="F58" s="23" t="n"/>
      <c r="G58" s="23" t="n"/>
      <c r="H58" s="23" t="n"/>
      <c r="I58" s="24" t="n"/>
      <c r="J58" s="24" t="n"/>
      <c r="K58" s="25">
        <f>IF(OR(I58="",J58=""),"",I58*J58)</f>
        <v/>
      </c>
      <c r="L58" s="26">
        <f>IF(K58="","",IF(K58&gt;=12,"Alto",IF(K58&gt;=6,"Medio","Bajo")))</f>
        <v/>
      </c>
      <c r="M58" s="23" t="n"/>
      <c r="N58" s="22" t="n"/>
      <c r="O58" s="27" t="n"/>
      <c r="P58" s="22" t="n"/>
      <c r="Q58" s="24" t="n"/>
      <c r="R58" s="24" t="n"/>
      <c r="S58" s="25">
        <f>IF(OR(Q58="",R58=""),"",Q58*R58)</f>
        <v/>
      </c>
      <c r="T58" s="26">
        <f>IF(S58="","",IF(S58&gt;=12,"Alto",IF(S58&gt;=6,"Medio","Bajo")))</f>
        <v/>
      </c>
      <c r="U58" s="23" t="n"/>
    </row>
    <row r="59">
      <c r="A59" s="21" t="n"/>
      <c r="B59" s="22" t="n"/>
      <c r="C59" s="22" t="n"/>
      <c r="D59" s="22" t="n"/>
      <c r="E59" s="22" t="n"/>
      <c r="F59" s="23" t="n"/>
      <c r="G59" s="23" t="n"/>
      <c r="H59" s="23" t="n"/>
      <c r="I59" s="24" t="n"/>
      <c r="J59" s="24" t="n"/>
      <c r="K59" s="25">
        <f>IF(OR(I59="",J59=""),"",I59*J59)</f>
        <v/>
      </c>
      <c r="L59" s="26">
        <f>IF(K59="","",IF(K59&gt;=12,"Alto",IF(K59&gt;=6,"Medio","Bajo")))</f>
        <v/>
      </c>
      <c r="M59" s="23" t="n"/>
      <c r="N59" s="22" t="n"/>
      <c r="O59" s="27" t="n"/>
      <c r="P59" s="22" t="n"/>
      <c r="Q59" s="24" t="n"/>
      <c r="R59" s="24" t="n"/>
      <c r="S59" s="25">
        <f>IF(OR(Q59="",R59=""),"",Q59*R59)</f>
        <v/>
      </c>
      <c r="T59" s="26">
        <f>IF(S59="","",IF(S59&gt;=12,"Alto",IF(S59&gt;=6,"Medio","Bajo")))</f>
        <v/>
      </c>
      <c r="U59" s="23" t="n"/>
    </row>
    <row r="60">
      <c r="A60" s="21" t="n"/>
      <c r="B60" s="22" t="n"/>
      <c r="C60" s="22" t="n"/>
      <c r="D60" s="22" t="n"/>
      <c r="E60" s="22" t="n"/>
      <c r="F60" s="23" t="n"/>
      <c r="G60" s="23" t="n"/>
      <c r="H60" s="23" t="n"/>
      <c r="I60" s="24" t="n"/>
      <c r="J60" s="24" t="n"/>
      <c r="K60" s="25">
        <f>IF(OR(I60="",J60=""),"",I60*J60)</f>
        <v/>
      </c>
      <c r="L60" s="26">
        <f>IF(K60="","",IF(K60&gt;=12,"Alto",IF(K60&gt;=6,"Medio","Bajo")))</f>
        <v/>
      </c>
      <c r="M60" s="23" t="n"/>
      <c r="N60" s="22" t="n"/>
      <c r="O60" s="27" t="n"/>
      <c r="P60" s="22" t="n"/>
      <c r="Q60" s="24" t="n"/>
      <c r="R60" s="24" t="n"/>
      <c r="S60" s="25">
        <f>IF(OR(Q60="",R60=""),"",Q60*R60)</f>
        <v/>
      </c>
      <c r="T60" s="26">
        <f>IF(S60="","",IF(S60&gt;=12,"Alto",IF(S60&gt;=6,"Medio","Bajo")))</f>
        <v/>
      </c>
      <c r="U60" s="23" t="n"/>
    </row>
    <row r="61">
      <c r="A61" s="21" t="n"/>
      <c r="B61" s="22" t="n"/>
      <c r="C61" s="22" t="n"/>
      <c r="D61" s="22" t="n"/>
      <c r="E61" s="22" t="n"/>
      <c r="F61" s="23" t="n"/>
      <c r="G61" s="23" t="n"/>
      <c r="H61" s="23" t="n"/>
      <c r="I61" s="24" t="n"/>
      <c r="J61" s="24" t="n"/>
      <c r="K61" s="25">
        <f>IF(OR(I61="",J61=""),"",I61*J61)</f>
        <v/>
      </c>
      <c r="L61" s="26">
        <f>IF(K61="","",IF(K61&gt;=12,"Alto",IF(K61&gt;=6,"Medio","Bajo")))</f>
        <v/>
      </c>
      <c r="M61" s="23" t="n"/>
      <c r="N61" s="22" t="n"/>
      <c r="O61" s="27" t="n"/>
      <c r="P61" s="22" t="n"/>
      <c r="Q61" s="24" t="n"/>
      <c r="R61" s="24" t="n"/>
      <c r="S61" s="25">
        <f>IF(OR(Q61="",R61=""),"",Q61*R61)</f>
        <v/>
      </c>
      <c r="T61" s="26">
        <f>IF(S61="","",IF(S61&gt;=12,"Alto",IF(S61&gt;=6,"Medio","Bajo")))</f>
        <v/>
      </c>
      <c r="U61" s="23" t="n"/>
    </row>
    <row r="62">
      <c r="A62" s="21" t="n"/>
      <c r="B62" s="22" t="n"/>
      <c r="C62" s="22" t="n"/>
      <c r="D62" s="22" t="n"/>
      <c r="E62" s="22" t="n"/>
      <c r="F62" s="23" t="n"/>
      <c r="G62" s="23" t="n"/>
      <c r="H62" s="23" t="n"/>
      <c r="I62" s="24" t="n"/>
      <c r="J62" s="24" t="n"/>
      <c r="K62" s="25">
        <f>IF(OR(I62="",J62=""),"",I62*J62)</f>
        <v/>
      </c>
      <c r="L62" s="26">
        <f>IF(K62="","",IF(K62&gt;=12,"Alto",IF(K62&gt;=6,"Medio","Bajo")))</f>
        <v/>
      </c>
      <c r="M62" s="23" t="n"/>
      <c r="N62" s="22" t="n"/>
      <c r="O62" s="27" t="n"/>
      <c r="P62" s="22" t="n"/>
      <c r="Q62" s="24" t="n"/>
      <c r="R62" s="24" t="n"/>
      <c r="S62" s="25">
        <f>IF(OR(Q62="",R62=""),"",Q62*R62)</f>
        <v/>
      </c>
      <c r="T62" s="26">
        <f>IF(S62="","",IF(S62&gt;=12,"Alto",IF(S62&gt;=6,"Medio","Bajo")))</f>
        <v/>
      </c>
      <c r="U62" s="23" t="n"/>
    </row>
    <row r="63">
      <c r="A63" s="21" t="n"/>
      <c r="B63" s="22" t="n"/>
      <c r="C63" s="22" t="n"/>
      <c r="D63" s="22" t="n"/>
      <c r="E63" s="22" t="n"/>
      <c r="F63" s="23" t="n"/>
      <c r="G63" s="23" t="n"/>
      <c r="H63" s="23" t="n"/>
      <c r="I63" s="24" t="n"/>
      <c r="J63" s="24" t="n"/>
      <c r="K63" s="25">
        <f>IF(OR(I63="",J63=""),"",I63*J63)</f>
        <v/>
      </c>
      <c r="L63" s="26">
        <f>IF(K63="","",IF(K63&gt;=12,"Alto",IF(K63&gt;=6,"Medio","Bajo")))</f>
        <v/>
      </c>
      <c r="M63" s="23" t="n"/>
      <c r="N63" s="22" t="n"/>
      <c r="O63" s="27" t="n"/>
      <c r="P63" s="22" t="n"/>
      <c r="Q63" s="24" t="n"/>
      <c r="R63" s="24" t="n"/>
      <c r="S63" s="25">
        <f>IF(OR(Q63="",R63=""),"",Q63*R63)</f>
        <v/>
      </c>
      <c r="T63" s="26">
        <f>IF(S63="","",IF(S63&gt;=12,"Alto",IF(S63&gt;=6,"Medio","Bajo")))</f>
        <v/>
      </c>
      <c r="U63" s="23" t="n"/>
    </row>
    <row r="64">
      <c r="A64" s="21" t="n"/>
      <c r="B64" s="22" t="n"/>
      <c r="C64" s="22" t="n"/>
      <c r="D64" s="22" t="n"/>
      <c r="E64" s="22" t="n"/>
      <c r="F64" s="23" t="n"/>
      <c r="G64" s="23" t="n"/>
      <c r="H64" s="23" t="n"/>
      <c r="I64" s="24" t="n"/>
      <c r="J64" s="24" t="n"/>
      <c r="K64" s="25">
        <f>IF(OR(I64="",J64=""),"",I64*J64)</f>
        <v/>
      </c>
      <c r="L64" s="26">
        <f>IF(K64="","",IF(K64&gt;=12,"Alto",IF(K64&gt;=6,"Medio","Bajo")))</f>
        <v/>
      </c>
      <c r="M64" s="23" t="n"/>
      <c r="N64" s="22" t="n"/>
      <c r="O64" s="27" t="n"/>
      <c r="P64" s="22" t="n"/>
      <c r="Q64" s="24" t="n"/>
      <c r="R64" s="24" t="n"/>
      <c r="S64" s="25">
        <f>IF(OR(Q64="",R64=""),"",Q64*R64)</f>
        <v/>
      </c>
      <c r="T64" s="26">
        <f>IF(S64="","",IF(S64&gt;=12,"Alto",IF(S64&gt;=6,"Medio","Bajo")))</f>
        <v/>
      </c>
      <c r="U64" s="23" t="n"/>
    </row>
    <row r="65">
      <c r="A65" s="21" t="n"/>
      <c r="B65" s="22" t="n"/>
      <c r="C65" s="22" t="n"/>
      <c r="D65" s="22" t="n"/>
      <c r="E65" s="22" t="n"/>
      <c r="F65" s="23" t="n"/>
      <c r="G65" s="23" t="n"/>
      <c r="H65" s="23" t="n"/>
      <c r="I65" s="24" t="n"/>
      <c r="J65" s="24" t="n"/>
      <c r="K65" s="25">
        <f>IF(OR(I65="",J65=""),"",I65*J65)</f>
        <v/>
      </c>
      <c r="L65" s="26">
        <f>IF(K65="","",IF(K65&gt;=12,"Alto",IF(K65&gt;=6,"Medio","Bajo")))</f>
        <v/>
      </c>
      <c r="M65" s="23" t="n"/>
      <c r="N65" s="22" t="n"/>
      <c r="O65" s="27" t="n"/>
      <c r="P65" s="22" t="n"/>
      <c r="Q65" s="24" t="n"/>
      <c r="R65" s="24" t="n"/>
      <c r="S65" s="25">
        <f>IF(OR(Q65="",R65=""),"",Q65*R65)</f>
        <v/>
      </c>
      <c r="T65" s="26">
        <f>IF(S65="","",IF(S65&gt;=12,"Alto",IF(S65&gt;=6,"Medio","Bajo")))</f>
        <v/>
      </c>
      <c r="U65" s="23" t="n"/>
    </row>
    <row r="66">
      <c r="A66" s="21" t="n"/>
      <c r="B66" s="22" t="n"/>
      <c r="C66" s="22" t="n"/>
      <c r="D66" s="22" t="n"/>
      <c r="E66" s="22" t="n"/>
      <c r="F66" s="23" t="n"/>
      <c r="G66" s="23" t="n"/>
      <c r="H66" s="23" t="n"/>
      <c r="I66" s="24" t="n"/>
      <c r="J66" s="24" t="n"/>
      <c r="K66" s="25">
        <f>IF(OR(I66="",J66=""),"",I66*J66)</f>
        <v/>
      </c>
      <c r="L66" s="26">
        <f>IF(K66="","",IF(K66&gt;=12,"Alto",IF(K66&gt;=6,"Medio","Bajo")))</f>
        <v/>
      </c>
      <c r="M66" s="23" t="n"/>
      <c r="N66" s="22" t="n"/>
      <c r="O66" s="27" t="n"/>
      <c r="P66" s="22" t="n"/>
      <c r="Q66" s="24" t="n"/>
      <c r="R66" s="24" t="n"/>
      <c r="S66" s="25">
        <f>IF(OR(Q66="",R66=""),"",Q66*R66)</f>
        <v/>
      </c>
      <c r="T66" s="26">
        <f>IF(S66="","",IF(S66&gt;=12,"Alto",IF(S66&gt;=6,"Medio","Bajo")))</f>
        <v/>
      </c>
      <c r="U66" s="23" t="n"/>
    </row>
    <row r="67">
      <c r="A67" s="21" t="n"/>
      <c r="B67" s="22" t="n"/>
      <c r="C67" s="22" t="n"/>
      <c r="D67" s="22" t="n"/>
      <c r="E67" s="22" t="n"/>
      <c r="F67" s="23" t="n"/>
      <c r="G67" s="23" t="n"/>
      <c r="H67" s="23" t="n"/>
      <c r="I67" s="24" t="n"/>
      <c r="J67" s="24" t="n"/>
      <c r="K67" s="25">
        <f>IF(OR(I67="",J67=""),"",I67*J67)</f>
        <v/>
      </c>
      <c r="L67" s="26">
        <f>IF(K67="","",IF(K67&gt;=12,"Alto",IF(K67&gt;=6,"Medio","Bajo")))</f>
        <v/>
      </c>
      <c r="M67" s="23" t="n"/>
      <c r="N67" s="22" t="n"/>
      <c r="O67" s="27" t="n"/>
      <c r="P67" s="22" t="n"/>
      <c r="Q67" s="24" t="n"/>
      <c r="R67" s="24" t="n"/>
      <c r="S67" s="25">
        <f>IF(OR(Q67="",R67=""),"",Q67*R67)</f>
        <v/>
      </c>
      <c r="T67" s="26">
        <f>IF(S67="","",IF(S67&gt;=12,"Alto",IF(S67&gt;=6,"Medio","Bajo")))</f>
        <v/>
      </c>
      <c r="U67" s="23" t="n"/>
    </row>
    <row r="68">
      <c r="A68" s="21" t="n"/>
      <c r="B68" s="22" t="n"/>
      <c r="C68" s="22" t="n"/>
      <c r="D68" s="22" t="n"/>
      <c r="E68" s="22" t="n"/>
      <c r="F68" s="23" t="n"/>
      <c r="G68" s="23" t="n"/>
      <c r="H68" s="23" t="n"/>
      <c r="I68" s="24" t="n"/>
      <c r="J68" s="24" t="n"/>
      <c r="K68" s="25">
        <f>IF(OR(I68="",J68=""),"",I68*J68)</f>
        <v/>
      </c>
      <c r="L68" s="26">
        <f>IF(K68="","",IF(K68&gt;=12,"Alto",IF(K68&gt;=6,"Medio","Bajo")))</f>
        <v/>
      </c>
      <c r="M68" s="23" t="n"/>
      <c r="N68" s="22" t="n"/>
      <c r="O68" s="27" t="n"/>
      <c r="P68" s="22" t="n"/>
      <c r="Q68" s="24" t="n"/>
      <c r="R68" s="24" t="n"/>
      <c r="S68" s="25">
        <f>IF(OR(Q68="",R68=""),"",Q68*R68)</f>
        <v/>
      </c>
      <c r="T68" s="26">
        <f>IF(S68="","",IF(S68&gt;=12,"Alto",IF(S68&gt;=6,"Medio","Bajo")))</f>
        <v/>
      </c>
      <c r="U68" s="23" t="n"/>
    </row>
    <row r="69">
      <c r="A69" s="21" t="n"/>
      <c r="B69" s="22" t="n"/>
      <c r="C69" s="22" t="n"/>
      <c r="D69" s="22" t="n"/>
      <c r="E69" s="22" t="n"/>
      <c r="F69" s="23" t="n"/>
      <c r="G69" s="23" t="n"/>
      <c r="H69" s="23" t="n"/>
      <c r="I69" s="24" t="n"/>
      <c r="J69" s="24" t="n"/>
      <c r="K69" s="25">
        <f>IF(OR(I69="",J69=""),"",I69*J69)</f>
        <v/>
      </c>
      <c r="L69" s="26">
        <f>IF(K69="","",IF(K69&gt;=12,"Alto",IF(K69&gt;=6,"Medio","Bajo")))</f>
        <v/>
      </c>
      <c r="M69" s="23" t="n"/>
      <c r="N69" s="22" t="n"/>
      <c r="O69" s="27" t="n"/>
      <c r="P69" s="22" t="n"/>
      <c r="Q69" s="24" t="n"/>
      <c r="R69" s="24" t="n"/>
      <c r="S69" s="25">
        <f>IF(OR(Q69="",R69=""),"",Q69*R69)</f>
        <v/>
      </c>
      <c r="T69" s="26">
        <f>IF(S69="","",IF(S69&gt;=12,"Alto",IF(S69&gt;=6,"Medio","Bajo")))</f>
        <v/>
      </c>
      <c r="U69" s="23" t="n"/>
    </row>
    <row r="70">
      <c r="A70" s="21" t="n"/>
      <c r="B70" s="22" t="n"/>
      <c r="C70" s="22" t="n"/>
      <c r="D70" s="22" t="n"/>
      <c r="E70" s="22" t="n"/>
      <c r="F70" s="23" t="n"/>
      <c r="G70" s="23" t="n"/>
      <c r="H70" s="23" t="n"/>
      <c r="I70" s="24" t="n"/>
      <c r="J70" s="24" t="n"/>
      <c r="K70" s="25">
        <f>IF(OR(I70="",J70=""),"",I70*J70)</f>
        <v/>
      </c>
      <c r="L70" s="26">
        <f>IF(K70="","",IF(K70&gt;=12,"Alto",IF(K70&gt;=6,"Medio","Bajo")))</f>
        <v/>
      </c>
      <c r="M70" s="23" t="n"/>
      <c r="N70" s="22" t="n"/>
      <c r="O70" s="27" t="n"/>
      <c r="P70" s="22" t="n"/>
      <c r="Q70" s="24" t="n"/>
      <c r="R70" s="24" t="n"/>
      <c r="S70" s="25">
        <f>IF(OR(Q70="",R70=""),"",Q70*R70)</f>
        <v/>
      </c>
      <c r="T70" s="26">
        <f>IF(S70="","",IF(S70&gt;=12,"Alto",IF(S70&gt;=6,"Medio","Bajo")))</f>
        <v/>
      </c>
      <c r="U70" s="23" t="n"/>
    </row>
    <row r="71">
      <c r="A71" s="21" t="n"/>
      <c r="B71" s="22" t="n"/>
      <c r="C71" s="22" t="n"/>
      <c r="D71" s="22" t="n"/>
      <c r="E71" s="22" t="n"/>
      <c r="F71" s="23" t="n"/>
      <c r="G71" s="23" t="n"/>
      <c r="H71" s="23" t="n"/>
      <c r="I71" s="24" t="n"/>
      <c r="J71" s="24" t="n"/>
      <c r="K71" s="25">
        <f>IF(OR(I71="",J71=""),"",I71*J71)</f>
        <v/>
      </c>
      <c r="L71" s="26">
        <f>IF(K71="","",IF(K71&gt;=12,"Alto",IF(K71&gt;=6,"Medio","Bajo")))</f>
        <v/>
      </c>
      <c r="M71" s="23" t="n"/>
      <c r="N71" s="22" t="n"/>
      <c r="O71" s="27" t="n"/>
      <c r="P71" s="22" t="n"/>
      <c r="Q71" s="24" t="n"/>
      <c r="R71" s="24" t="n"/>
      <c r="S71" s="25">
        <f>IF(OR(Q71="",R71=""),"",Q71*R71)</f>
        <v/>
      </c>
      <c r="T71" s="26">
        <f>IF(S71="","",IF(S71&gt;=12,"Alto",IF(S71&gt;=6,"Medio","Bajo")))</f>
        <v/>
      </c>
      <c r="U71" s="23" t="n"/>
    </row>
    <row r="72">
      <c r="A72" s="21" t="n"/>
      <c r="B72" s="22" t="n"/>
      <c r="C72" s="22" t="n"/>
      <c r="D72" s="22" t="n"/>
      <c r="E72" s="22" t="n"/>
      <c r="F72" s="23" t="n"/>
      <c r="G72" s="23" t="n"/>
      <c r="H72" s="23" t="n"/>
      <c r="I72" s="24" t="n"/>
      <c r="J72" s="24" t="n"/>
      <c r="K72" s="25">
        <f>IF(OR(I72="",J72=""),"",I72*J72)</f>
        <v/>
      </c>
      <c r="L72" s="26">
        <f>IF(K72="","",IF(K72&gt;=12,"Alto",IF(K72&gt;=6,"Medio","Bajo")))</f>
        <v/>
      </c>
      <c r="M72" s="23" t="n"/>
      <c r="N72" s="22" t="n"/>
      <c r="O72" s="27" t="n"/>
      <c r="P72" s="22" t="n"/>
      <c r="Q72" s="24" t="n"/>
      <c r="R72" s="24" t="n"/>
      <c r="S72" s="25">
        <f>IF(OR(Q72="",R72=""),"",Q72*R72)</f>
        <v/>
      </c>
      <c r="T72" s="26">
        <f>IF(S72="","",IF(S72&gt;=12,"Alto",IF(S72&gt;=6,"Medio","Bajo")))</f>
        <v/>
      </c>
      <c r="U72" s="23" t="n"/>
    </row>
    <row r="73">
      <c r="A73" s="21" t="n"/>
      <c r="B73" s="22" t="n"/>
      <c r="C73" s="22" t="n"/>
      <c r="D73" s="22" t="n"/>
      <c r="E73" s="22" t="n"/>
      <c r="F73" s="23" t="n"/>
      <c r="G73" s="23" t="n"/>
      <c r="H73" s="23" t="n"/>
      <c r="I73" s="24" t="n"/>
      <c r="J73" s="24" t="n"/>
      <c r="K73" s="25">
        <f>IF(OR(I73="",J73=""),"",I73*J73)</f>
        <v/>
      </c>
      <c r="L73" s="26">
        <f>IF(K73="","",IF(K73&gt;=12,"Alto",IF(K73&gt;=6,"Medio","Bajo")))</f>
        <v/>
      </c>
      <c r="M73" s="23" t="n"/>
      <c r="N73" s="22" t="n"/>
      <c r="O73" s="27" t="n"/>
      <c r="P73" s="22" t="n"/>
      <c r="Q73" s="24" t="n"/>
      <c r="R73" s="24" t="n"/>
      <c r="S73" s="25">
        <f>IF(OR(Q73="",R73=""),"",Q73*R73)</f>
        <v/>
      </c>
      <c r="T73" s="26">
        <f>IF(S73="","",IF(S73&gt;=12,"Alto",IF(S73&gt;=6,"Medio","Bajo")))</f>
        <v/>
      </c>
      <c r="U73" s="23" t="n"/>
    </row>
    <row r="74">
      <c r="A74" s="21" t="n"/>
      <c r="B74" s="22" t="n"/>
      <c r="C74" s="22" t="n"/>
      <c r="D74" s="22" t="n"/>
      <c r="E74" s="22" t="n"/>
      <c r="F74" s="23" t="n"/>
      <c r="G74" s="23" t="n"/>
      <c r="H74" s="23" t="n"/>
      <c r="I74" s="24" t="n"/>
      <c r="J74" s="24" t="n"/>
      <c r="K74" s="25">
        <f>IF(OR(I74="",J74=""),"",I74*J74)</f>
        <v/>
      </c>
      <c r="L74" s="26">
        <f>IF(K74="","",IF(K74&gt;=12,"Alto",IF(K74&gt;=6,"Medio","Bajo")))</f>
        <v/>
      </c>
      <c r="M74" s="23" t="n"/>
      <c r="N74" s="22" t="n"/>
      <c r="O74" s="27" t="n"/>
      <c r="P74" s="22" t="n"/>
      <c r="Q74" s="24" t="n"/>
      <c r="R74" s="24" t="n"/>
      <c r="S74" s="25">
        <f>IF(OR(Q74="",R74=""),"",Q74*R74)</f>
        <v/>
      </c>
      <c r="T74" s="26">
        <f>IF(S74="","",IF(S74&gt;=12,"Alto",IF(S74&gt;=6,"Medio","Bajo")))</f>
        <v/>
      </c>
      <c r="U74" s="23" t="n"/>
    </row>
    <row r="75">
      <c r="A75" s="21" t="n"/>
      <c r="B75" s="22" t="n"/>
      <c r="C75" s="22" t="n"/>
      <c r="D75" s="22" t="n"/>
      <c r="E75" s="22" t="n"/>
      <c r="F75" s="23" t="n"/>
      <c r="G75" s="23" t="n"/>
      <c r="H75" s="23" t="n"/>
      <c r="I75" s="24" t="n"/>
      <c r="J75" s="24" t="n"/>
      <c r="K75" s="25">
        <f>IF(OR(I75="",J75=""),"",I75*J75)</f>
        <v/>
      </c>
      <c r="L75" s="26">
        <f>IF(K75="","",IF(K75&gt;=12,"Alto",IF(K75&gt;=6,"Medio","Bajo")))</f>
        <v/>
      </c>
      <c r="M75" s="23" t="n"/>
      <c r="N75" s="22" t="n"/>
      <c r="O75" s="27" t="n"/>
      <c r="P75" s="22" t="n"/>
      <c r="Q75" s="24" t="n"/>
      <c r="R75" s="24" t="n"/>
      <c r="S75" s="25">
        <f>IF(OR(Q75="",R75=""),"",Q75*R75)</f>
        <v/>
      </c>
      <c r="T75" s="26">
        <f>IF(S75="","",IF(S75&gt;=12,"Alto",IF(S75&gt;=6,"Medio","Bajo")))</f>
        <v/>
      </c>
      <c r="U75" s="23" t="n"/>
    </row>
    <row r="76">
      <c r="A76" s="21" t="n"/>
      <c r="B76" s="22" t="n"/>
      <c r="C76" s="22" t="n"/>
      <c r="D76" s="22" t="n"/>
      <c r="E76" s="22" t="n"/>
      <c r="F76" s="23" t="n"/>
      <c r="G76" s="23" t="n"/>
      <c r="H76" s="23" t="n"/>
      <c r="I76" s="24" t="n"/>
      <c r="J76" s="24" t="n"/>
      <c r="K76" s="25">
        <f>IF(OR(I76="",J76=""),"",I76*J76)</f>
        <v/>
      </c>
      <c r="L76" s="26">
        <f>IF(K76="","",IF(K76&gt;=12,"Alto",IF(K76&gt;=6,"Medio","Bajo")))</f>
        <v/>
      </c>
      <c r="M76" s="23" t="n"/>
      <c r="N76" s="22" t="n"/>
      <c r="O76" s="27" t="n"/>
      <c r="P76" s="22" t="n"/>
      <c r="Q76" s="24" t="n"/>
      <c r="R76" s="24" t="n"/>
      <c r="S76" s="25">
        <f>IF(OR(Q76="",R76=""),"",Q76*R76)</f>
        <v/>
      </c>
      <c r="T76" s="26">
        <f>IF(S76="","",IF(S76&gt;=12,"Alto",IF(S76&gt;=6,"Medio","Bajo")))</f>
        <v/>
      </c>
      <c r="U76" s="23" t="n"/>
    </row>
    <row r="77">
      <c r="A77" s="21" t="n"/>
      <c r="B77" s="22" t="n"/>
      <c r="C77" s="22" t="n"/>
      <c r="D77" s="22" t="n"/>
      <c r="E77" s="22" t="n"/>
      <c r="F77" s="23" t="n"/>
      <c r="G77" s="23" t="n"/>
      <c r="H77" s="23" t="n"/>
      <c r="I77" s="24" t="n"/>
      <c r="J77" s="24" t="n"/>
      <c r="K77" s="25">
        <f>IF(OR(I77="",J77=""),"",I77*J77)</f>
        <v/>
      </c>
      <c r="L77" s="26">
        <f>IF(K77="","",IF(K77&gt;=12,"Alto",IF(K77&gt;=6,"Medio","Bajo")))</f>
        <v/>
      </c>
      <c r="M77" s="23" t="n"/>
      <c r="N77" s="22" t="n"/>
      <c r="O77" s="27" t="n"/>
      <c r="P77" s="22" t="n"/>
      <c r="Q77" s="24" t="n"/>
      <c r="R77" s="24" t="n"/>
      <c r="S77" s="25">
        <f>IF(OR(Q77="",R77=""),"",Q77*R77)</f>
        <v/>
      </c>
      <c r="T77" s="26">
        <f>IF(S77="","",IF(S77&gt;=12,"Alto",IF(S77&gt;=6,"Medio","Bajo")))</f>
        <v/>
      </c>
      <c r="U77" s="23" t="n"/>
    </row>
    <row r="78">
      <c r="A78" s="21" t="n"/>
      <c r="B78" s="22" t="n"/>
      <c r="C78" s="22" t="n"/>
      <c r="D78" s="22" t="n"/>
      <c r="E78" s="22" t="n"/>
      <c r="F78" s="23" t="n"/>
      <c r="G78" s="23" t="n"/>
      <c r="H78" s="23" t="n"/>
      <c r="I78" s="24" t="n"/>
      <c r="J78" s="24" t="n"/>
      <c r="K78" s="25">
        <f>IF(OR(I78="",J78=""),"",I78*J78)</f>
        <v/>
      </c>
      <c r="L78" s="26">
        <f>IF(K78="","",IF(K78&gt;=12,"Alto",IF(K78&gt;=6,"Medio","Bajo")))</f>
        <v/>
      </c>
      <c r="M78" s="23" t="n"/>
      <c r="N78" s="22" t="n"/>
      <c r="O78" s="27" t="n"/>
      <c r="P78" s="22" t="n"/>
      <c r="Q78" s="24" t="n"/>
      <c r="R78" s="24" t="n"/>
      <c r="S78" s="25">
        <f>IF(OR(Q78="",R78=""),"",Q78*R78)</f>
        <v/>
      </c>
      <c r="T78" s="26">
        <f>IF(S78="","",IF(S78&gt;=12,"Alto",IF(S78&gt;=6,"Medio","Bajo")))</f>
        <v/>
      </c>
      <c r="U78" s="23" t="n"/>
    </row>
    <row r="79">
      <c r="A79" s="21" t="n"/>
      <c r="B79" s="22" t="n"/>
      <c r="C79" s="22" t="n"/>
      <c r="D79" s="22" t="n"/>
      <c r="E79" s="22" t="n"/>
      <c r="F79" s="23" t="n"/>
      <c r="G79" s="23" t="n"/>
      <c r="H79" s="23" t="n"/>
      <c r="I79" s="24" t="n"/>
      <c r="J79" s="24" t="n"/>
      <c r="K79" s="25">
        <f>IF(OR(I79="",J79=""),"",I79*J79)</f>
        <v/>
      </c>
      <c r="L79" s="26">
        <f>IF(K79="","",IF(K79&gt;=12,"Alto",IF(K79&gt;=6,"Medio","Bajo")))</f>
        <v/>
      </c>
      <c r="M79" s="23" t="n"/>
      <c r="N79" s="22" t="n"/>
      <c r="O79" s="27" t="n"/>
      <c r="P79" s="22" t="n"/>
      <c r="Q79" s="24" t="n"/>
      <c r="R79" s="24" t="n"/>
      <c r="S79" s="25">
        <f>IF(OR(Q79="",R79=""),"",Q79*R79)</f>
        <v/>
      </c>
      <c r="T79" s="26">
        <f>IF(S79="","",IF(S79&gt;=12,"Alto",IF(S79&gt;=6,"Medio","Bajo")))</f>
        <v/>
      </c>
      <c r="U79" s="23" t="n"/>
    </row>
    <row r="80">
      <c r="A80" s="21" t="n"/>
      <c r="B80" s="22" t="n"/>
      <c r="C80" s="22" t="n"/>
      <c r="D80" s="22" t="n"/>
      <c r="E80" s="22" t="n"/>
      <c r="F80" s="23" t="n"/>
      <c r="G80" s="23" t="n"/>
      <c r="H80" s="23" t="n"/>
      <c r="I80" s="24" t="n"/>
      <c r="J80" s="24" t="n"/>
      <c r="K80" s="25">
        <f>IF(OR(I80="",J80=""),"",I80*J80)</f>
        <v/>
      </c>
      <c r="L80" s="26">
        <f>IF(K80="","",IF(K80&gt;=12,"Alto",IF(K80&gt;=6,"Medio","Bajo")))</f>
        <v/>
      </c>
      <c r="M80" s="23" t="n"/>
      <c r="N80" s="22" t="n"/>
      <c r="O80" s="27" t="n"/>
      <c r="P80" s="22" t="n"/>
      <c r="Q80" s="24" t="n"/>
      <c r="R80" s="24" t="n"/>
      <c r="S80" s="25">
        <f>IF(OR(Q80="",R80=""),"",Q80*R80)</f>
        <v/>
      </c>
      <c r="T80" s="26">
        <f>IF(S80="","",IF(S80&gt;=12,"Alto",IF(S80&gt;=6,"Medio","Bajo")))</f>
        <v/>
      </c>
      <c r="U80" s="23" t="n"/>
    </row>
    <row r="81">
      <c r="A81" s="21" t="n"/>
      <c r="B81" s="22" t="n"/>
      <c r="C81" s="22" t="n"/>
      <c r="D81" s="22" t="n"/>
      <c r="E81" s="22" t="n"/>
      <c r="F81" s="23" t="n"/>
      <c r="G81" s="23" t="n"/>
      <c r="H81" s="23" t="n"/>
      <c r="I81" s="24" t="n"/>
      <c r="J81" s="24" t="n"/>
      <c r="K81" s="25">
        <f>IF(OR(I81="",J81=""),"",I81*J81)</f>
        <v/>
      </c>
      <c r="L81" s="26">
        <f>IF(K81="","",IF(K81&gt;=12,"Alto",IF(K81&gt;=6,"Medio","Bajo")))</f>
        <v/>
      </c>
      <c r="M81" s="23" t="n"/>
      <c r="N81" s="22" t="n"/>
      <c r="O81" s="27" t="n"/>
      <c r="P81" s="22" t="n"/>
      <c r="Q81" s="24" t="n"/>
      <c r="R81" s="24" t="n"/>
      <c r="S81" s="25">
        <f>IF(OR(Q81="",R81=""),"",Q81*R81)</f>
        <v/>
      </c>
      <c r="T81" s="26">
        <f>IF(S81="","",IF(S81&gt;=12,"Alto",IF(S81&gt;=6,"Medio","Bajo")))</f>
        <v/>
      </c>
      <c r="U81" s="23" t="n"/>
    </row>
    <row r="82">
      <c r="A82" s="21" t="n"/>
      <c r="B82" s="22" t="n"/>
      <c r="C82" s="22" t="n"/>
      <c r="D82" s="22" t="n"/>
      <c r="E82" s="22" t="n"/>
      <c r="F82" s="23" t="n"/>
      <c r="G82" s="23" t="n"/>
      <c r="H82" s="23" t="n"/>
      <c r="I82" s="24" t="n"/>
      <c r="J82" s="24" t="n"/>
      <c r="K82" s="25">
        <f>IF(OR(I82="",J82=""),"",I82*J82)</f>
        <v/>
      </c>
      <c r="L82" s="26">
        <f>IF(K82="","",IF(K82&gt;=12,"Alto",IF(K82&gt;=6,"Medio","Bajo")))</f>
        <v/>
      </c>
      <c r="M82" s="23" t="n"/>
      <c r="N82" s="22" t="n"/>
      <c r="O82" s="27" t="n"/>
      <c r="P82" s="22" t="n"/>
      <c r="Q82" s="24" t="n"/>
      <c r="R82" s="24" t="n"/>
      <c r="S82" s="25">
        <f>IF(OR(Q82="",R82=""),"",Q82*R82)</f>
        <v/>
      </c>
      <c r="T82" s="26">
        <f>IF(S82="","",IF(S82&gt;=12,"Alto",IF(S82&gt;=6,"Medio","Bajo")))</f>
        <v/>
      </c>
      <c r="U82" s="23" t="n"/>
    </row>
    <row r="83">
      <c r="A83" s="21" t="n"/>
      <c r="B83" s="22" t="n"/>
      <c r="C83" s="22" t="n"/>
      <c r="D83" s="22" t="n"/>
      <c r="E83" s="22" t="n"/>
      <c r="F83" s="23" t="n"/>
      <c r="G83" s="23" t="n"/>
      <c r="H83" s="23" t="n"/>
      <c r="I83" s="24" t="n"/>
      <c r="J83" s="24" t="n"/>
      <c r="K83" s="25">
        <f>IF(OR(I83="",J83=""),"",I83*J83)</f>
        <v/>
      </c>
      <c r="L83" s="26">
        <f>IF(K83="","",IF(K83&gt;=12,"Alto",IF(K83&gt;=6,"Medio","Bajo")))</f>
        <v/>
      </c>
      <c r="M83" s="23" t="n"/>
      <c r="N83" s="22" t="n"/>
      <c r="O83" s="27" t="n"/>
      <c r="P83" s="22" t="n"/>
      <c r="Q83" s="24" t="n"/>
      <c r="R83" s="24" t="n"/>
      <c r="S83" s="25">
        <f>IF(OR(Q83="",R83=""),"",Q83*R83)</f>
        <v/>
      </c>
      <c r="T83" s="26">
        <f>IF(S83="","",IF(S83&gt;=12,"Alto",IF(S83&gt;=6,"Medio","Bajo")))</f>
        <v/>
      </c>
      <c r="U83" s="23" t="n"/>
    </row>
    <row r="84">
      <c r="A84" s="21" t="n"/>
      <c r="B84" s="22" t="n"/>
      <c r="C84" s="22" t="n"/>
      <c r="D84" s="22" t="n"/>
      <c r="E84" s="22" t="n"/>
      <c r="F84" s="23" t="n"/>
      <c r="G84" s="23" t="n"/>
      <c r="H84" s="23" t="n"/>
      <c r="I84" s="24" t="n"/>
      <c r="J84" s="24" t="n"/>
      <c r="K84" s="25">
        <f>IF(OR(I84="",J84=""),"",I84*J84)</f>
        <v/>
      </c>
      <c r="L84" s="26">
        <f>IF(K84="","",IF(K84&gt;=12,"Alto",IF(K84&gt;=6,"Medio","Bajo")))</f>
        <v/>
      </c>
      <c r="M84" s="23" t="n"/>
      <c r="N84" s="22" t="n"/>
      <c r="O84" s="27" t="n"/>
      <c r="P84" s="22" t="n"/>
      <c r="Q84" s="24" t="n"/>
      <c r="R84" s="24" t="n"/>
      <c r="S84" s="25">
        <f>IF(OR(Q84="",R84=""),"",Q84*R84)</f>
        <v/>
      </c>
      <c r="T84" s="26">
        <f>IF(S84="","",IF(S84&gt;=12,"Alto",IF(S84&gt;=6,"Medio","Bajo")))</f>
        <v/>
      </c>
      <c r="U84" s="23" t="n"/>
    </row>
    <row r="85">
      <c r="A85" s="21" t="n"/>
      <c r="B85" s="22" t="n"/>
      <c r="C85" s="22" t="n"/>
      <c r="D85" s="22" t="n"/>
      <c r="E85" s="22" t="n"/>
      <c r="F85" s="23" t="n"/>
      <c r="G85" s="23" t="n"/>
      <c r="H85" s="23" t="n"/>
      <c r="I85" s="24" t="n"/>
      <c r="J85" s="24" t="n"/>
      <c r="K85" s="25">
        <f>IF(OR(I85="",J85=""),"",I85*J85)</f>
        <v/>
      </c>
      <c r="L85" s="26">
        <f>IF(K85="","",IF(K85&gt;=12,"Alto",IF(K85&gt;=6,"Medio","Bajo")))</f>
        <v/>
      </c>
      <c r="M85" s="23" t="n"/>
      <c r="N85" s="22" t="n"/>
      <c r="O85" s="27" t="n"/>
      <c r="P85" s="22" t="n"/>
      <c r="Q85" s="24" t="n"/>
      <c r="R85" s="24" t="n"/>
      <c r="S85" s="25">
        <f>IF(OR(Q85="",R85=""),"",Q85*R85)</f>
        <v/>
      </c>
      <c r="T85" s="26">
        <f>IF(S85="","",IF(S85&gt;=12,"Alto",IF(S85&gt;=6,"Medio","Bajo")))</f>
        <v/>
      </c>
      <c r="U85" s="23" t="n"/>
    </row>
    <row r="86">
      <c r="A86" s="21" t="n"/>
      <c r="B86" s="22" t="n"/>
      <c r="C86" s="22" t="n"/>
      <c r="D86" s="22" t="n"/>
      <c r="E86" s="22" t="n"/>
      <c r="F86" s="23" t="n"/>
      <c r="G86" s="23" t="n"/>
      <c r="H86" s="23" t="n"/>
      <c r="I86" s="24" t="n"/>
      <c r="J86" s="24" t="n"/>
      <c r="K86" s="25">
        <f>IF(OR(I86="",J86=""),"",I86*J86)</f>
        <v/>
      </c>
      <c r="L86" s="26">
        <f>IF(K86="","",IF(K86&gt;=12,"Alto",IF(K86&gt;=6,"Medio","Bajo")))</f>
        <v/>
      </c>
      <c r="M86" s="23" t="n"/>
      <c r="N86" s="22" t="n"/>
      <c r="O86" s="27" t="n"/>
      <c r="P86" s="22" t="n"/>
      <c r="Q86" s="24" t="n"/>
      <c r="R86" s="24" t="n"/>
      <c r="S86" s="25">
        <f>IF(OR(Q86="",R86=""),"",Q86*R86)</f>
        <v/>
      </c>
      <c r="T86" s="26">
        <f>IF(S86="","",IF(S86&gt;=12,"Alto",IF(S86&gt;=6,"Medio","Bajo")))</f>
        <v/>
      </c>
      <c r="U86" s="23" t="n"/>
    </row>
    <row r="87">
      <c r="A87" s="21" t="n"/>
      <c r="B87" s="22" t="n"/>
      <c r="C87" s="22" t="n"/>
      <c r="D87" s="22" t="n"/>
      <c r="E87" s="22" t="n"/>
      <c r="F87" s="23" t="n"/>
      <c r="G87" s="23" t="n"/>
      <c r="H87" s="23" t="n"/>
      <c r="I87" s="24" t="n"/>
      <c r="J87" s="24" t="n"/>
      <c r="K87" s="25">
        <f>IF(OR(I87="",J87=""),"",I87*J87)</f>
        <v/>
      </c>
      <c r="L87" s="26">
        <f>IF(K87="","",IF(K87&gt;=12,"Alto",IF(K87&gt;=6,"Medio","Bajo")))</f>
        <v/>
      </c>
      <c r="M87" s="23" t="n"/>
      <c r="N87" s="22" t="n"/>
      <c r="O87" s="27" t="n"/>
      <c r="P87" s="22" t="n"/>
      <c r="Q87" s="24" t="n"/>
      <c r="R87" s="24" t="n"/>
      <c r="S87" s="25">
        <f>IF(OR(Q87="",R87=""),"",Q87*R87)</f>
        <v/>
      </c>
      <c r="T87" s="26">
        <f>IF(S87="","",IF(S87&gt;=12,"Alto",IF(S87&gt;=6,"Medio","Bajo")))</f>
        <v/>
      </c>
      <c r="U87" s="23" t="n"/>
    </row>
    <row r="88">
      <c r="A88" s="21" t="n"/>
      <c r="B88" s="22" t="n"/>
      <c r="C88" s="22" t="n"/>
      <c r="D88" s="22" t="n"/>
      <c r="E88" s="22" t="n"/>
      <c r="F88" s="23" t="n"/>
      <c r="G88" s="23" t="n"/>
      <c r="H88" s="23" t="n"/>
      <c r="I88" s="24" t="n"/>
      <c r="J88" s="24" t="n"/>
      <c r="K88" s="25">
        <f>IF(OR(I88="",J88=""),"",I88*J88)</f>
        <v/>
      </c>
      <c r="L88" s="26">
        <f>IF(K88="","",IF(K88&gt;=12,"Alto",IF(K88&gt;=6,"Medio","Bajo")))</f>
        <v/>
      </c>
      <c r="M88" s="23" t="n"/>
      <c r="N88" s="22" t="n"/>
      <c r="O88" s="27" t="n"/>
      <c r="P88" s="22" t="n"/>
      <c r="Q88" s="24" t="n"/>
      <c r="R88" s="24" t="n"/>
      <c r="S88" s="25">
        <f>IF(OR(Q88="",R88=""),"",Q88*R88)</f>
        <v/>
      </c>
      <c r="T88" s="26">
        <f>IF(S88="","",IF(S88&gt;=12,"Alto",IF(S88&gt;=6,"Medio","Bajo")))</f>
        <v/>
      </c>
      <c r="U88" s="23" t="n"/>
    </row>
    <row r="89">
      <c r="A89" s="21" t="n"/>
      <c r="B89" s="22" t="n"/>
      <c r="C89" s="22" t="n"/>
      <c r="D89" s="22" t="n"/>
      <c r="E89" s="22" t="n"/>
      <c r="F89" s="23" t="n"/>
      <c r="G89" s="23" t="n"/>
      <c r="H89" s="23" t="n"/>
      <c r="I89" s="24" t="n"/>
      <c r="J89" s="24" t="n"/>
      <c r="K89" s="25">
        <f>IF(OR(I89="",J89=""),"",I89*J89)</f>
        <v/>
      </c>
      <c r="L89" s="26">
        <f>IF(K89="","",IF(K89&gt;=12,"Alto",IF(K89&gt;=6,"Medio","Bajo")))</f>
        <v/>
      </c>
      <c r="M89" s="23" t="n"/>
      <c r="N89" s="22" t="n"/>
      <c r="O89" s="27" t="n"/>
      <c r="P89" s="22" t="n"/>
      <c r="Q89" s="24" t="n"/>
      <c r="R89" s="24" t="n"/>
      <c r="S89" s="25">
        <f>IF(OR(Q89="",R89=""),"",Q89*R89)</f>
        <v/>
      </c>
      <c r="T89" s="26">
        <f>IF(S89="","",IF(S89&gt;=12,"Alto",IF(S89&gt;=6,"Medio","Bajo")))</f>
        <v/>
      </c>
      <c r="U89" s="23" t="n"/>
    </row>
    <row r="90">
      <c r="A90" s="21" t="n"/>
      <c r="B90" s="22" t="n"/>
      <c r="C90" s="22" t="n"/>
      <c r="D90" s="22" t="n"/>
      <c r="E90" s="22" t="n"/>
      <c r="F90" s="23" t="n"/>
      <c r="G90" s="23" t="n"/>
      <c r="H90" s="23" t="n"/>
      <c r="I90" s="24" t="n"/>
      <c r="J90" s="24" t="n"/>
      <c r="K90" s="25">
        <f>IF(OR(I90="",J90=""),"",I90*J90)</f>
        <v/>
      </c>
      <c r="L90" s="26">
        <f>IF(K90="","",IF(K90&gt;=12,"Alto",IF(K90&gt;=6,"Medio","Bajo")))</f>
        <v/>
      </c>
      <c r="M90" s="23" t="n"/>
      <c r="N90" s="22" t="n"/>
      <c r="O90" s="27" t="n"/>
      <c r="P90" s="22" t="n"/>
      <c r="Q90" s="24" t="n"/>
      <c r="R90" s="24" t="n"/>
      <c r="S90" s="25">
        <f>IF(OR(Q90="",R90=""),"",Q90*R90)</f>
        <v/>
      </c>
      <c r="T90" s="26">
        <f>IF(S90="","",IF(S90&gt;=12,"Alto",IF(S90&gt;=6,"Medio","Bajo")))</f>
        <v/>
      </c>
      <c r="U90" s="23" t="n"/>
    </row>
    <row r="91">
      <c r="A91" s="21" t="n"/>
      <c r="B91" s="22" t="n"/>
      <c r="C91" s="22" t="n"/>
      <c r="D91" s="22" t="n"/>
      <c r="E91" s="22" t="n"/>
      <c r="F91" s="23" t="n"/>
      <c r="G91" s="23" t="n"/>
      <c r="H91" s="23" t="n"/>
      <c r="I91" s="24" t="n"/>
      <c r="J91" s="24" t="n"/>
      <c r="K91" s="25">
        <f>IF(OR(I91="",J91=""),"",I91*J91)</f>
        <v/>
      </c>
      <c r="L91" s="26">
        <f>IF(K91="","",IF(K91&gt;=12,"Alto",IF(K91&gt;=6,"Medio","Bajo")))</f>
        <v/>
      </c>
      <c r="M91" s="23" t="n"/>
      <c r="N91" s="22" t="n"/>
      <c r="O91" s="27" t="n"/>
      <c r="P91" s="22" t="n"/>
      <c r="Q91" s="24" t="n"/>
      <c r="R91" s="24" t="n"/>
      <c r="S91" s="25">
        <f>IF(OR(Q91="",R91=""),"",Q91*R91)</f>
        <v/>
      </c>
      <c r="T91" s="26">
        <f>IF(S91="","",IF(S91&gt;=12,"Alto",IF(S91&gt;=6,"Medio","Bajo")))</f>
        <v/>
      </c>
      <c r="U91" s="23" t="n"/>
    </row>
    <row r="92">
      <c r="A92" s="21" t="n"/>
      <c r="B92" s="22" t="n"/>
      <c r="C92" s="22" t="n"/>
      <c r="D92" s="22" t="n"/>
      <c r="E92" s="22" t="n"/>
      <c r="F92" s="23" t="n"/>
      <c r="G92" s="23" t="n"/>
      <c r="H92" s="23" t="n"/>
      <c r="I92" s="24" t="n"/>
      <c r="J92" s="24" t="n"/>
      <c r="K92" s="25">
        <f>IF(OR(I92="",J92=""),"",I92*J92)</f>
        <v/>
      </c>
      <c r="L92" s="26">
        <f>IF(K92="","",IF(K92&gt;=12,"Alto",IF(K92&gt;=6,"Medio","Bajo")))</f>
        <v/>
      </c>
      <c r="M92" s="23" t="n"/>
      <c r="N92" s="22" t="n"/>
      <c r="O92" s="27" t="n"/>
      <c r="P92" s="22" t="n"/>
      <c r="Q92" s="24" t="n"/>
      <c r="R92" s="24" t="n"/>
      <c r="S92" s="25">
        <f>IF(OR(Q92="",R92=""),"",Q92*R92)</f>
        <v/>
      </c>
      <c r="T92" s="26">
        <f>IF(S92="","",IF(S92&gt;=12,"Alto",IF(S92&gt;=6,"Medio","Bajo")))</f>
        <v/>
      </c>
      <c r="U92" s="23" t="n"/>
    </row>
    <row r="93">
      <c r="A93" s="21" t="n"/>
      <c r="B93" s="22" t="n"/>
      <c r="C93" s="22" t="n"/>
      <c r="D93" s="22" t="n"/>
      <c r="E93" s="22" t="n"/>
      <c r="F93" s="23" t="n"/>
      <c r="G93" s="23" t="n"/>
      <c r="H93" s="23" t="n"/>
      <c r="I93" s="24" t="n"/>
      <c r="J93" s="24" t="n"/>
      <c r="K93" s="25">
        <f>IF(OR(I93="",J93=""),"",I93*J93)</f>
        <v/>
      </c>
      <c r="L93" s="26">
        <f>IF(K93="","",IF(K93&gt;=12,"Alto",IF(K93&gt;=6,"Medio","Bajo")))</f>
        <v/>
      </c>
      <c r="M93" s="23" t="n"/>
      <c r="N93" s="22" t="n"/>
      <c r="O93" s="27" t="n"/>
      <c r="P93" s="22" t="n"/>
      <c r="Q93" s="24" t="n"/>
      <c r="R93" s="24" t="n"/>
      <c r="S93" s="25">
        <f>IF(OR(Q93="",R93=""),"",Q93*R93)</f>
        <v/>
      </c>
      <c r="T93" s="26">
        <f>IF(S93="","",IF(S93&gt;=12,"Alto",IF(S93&gt;=6,"Medio","Bajo")))</f>
        <v/>
      </c>
      <c r="U93" s="23" t="n"/>
    </row>
    <row r="94">
      <c r="A94" s="21" t="n"/>
      <c r="B94" s="22" t="n"/>
      <c r="C94" s="22" t="n"/>
      <c r="D94" s="22" t="n"/>
      <c r="E94" s="22" t="n"/>
      <c r="F94" s="23" t="n"/>
      <c r="G94" s="23" t="n"/>
      <c r="H94" s="23" t="n"/>
      <c r="I94" s="24" t="n"/>
      <c r="J94" s="24" t="n"/>
      <c r="K94" s="25">
        <f>IF(OR(I94="",J94=""),"",I94*J94)</f>
        <v/>
      </c>
      <c r="L94" s="26">
        <f>IF(K94="","",IF(K94&gt;=12,"Alto",IF(K94&gt;=6,"Medio","Bajo")))</f>
        <v/>
      </c>
      <c r="M94" s="23" t="n"/>
      <c r="N94" s="22" t="n"/>
      <c r="O94" s="27" t="n"/>
      <c r="P94" s="22" t="n"/>
      <c r="Q94" s="24" t="n"/>
      <c r="R94" s="24" t="n"/>
      <c r="S94" s="25">
        <f>IF(OR(Q94="",R94=""),"",Q94*R94)</f>
        <v/>
      </c>
      <c r="T94" s="26">
        <f>IF(S94="","",IF(S94&gt;=12,"Alto",IF(S94&gt;=6,"Medio","Bajo")))</f>
        <v/>
      </c>
      <c r="U94" s="23" t="n"/>
    </row>
    <row r="95">
      <c r="A95" s="21" t="n"/>
      <c r="B95" s="22" t="n"/>
      <c r="C95" s="22" t="n"/>
      <c r="D95" s="22" t="n"/>
      <c r="E95" s="22" t="n"/>
      <c r="F95" s="23" t="n"/>
      <c r="G95" s="23" t="n"/>
      <c r="H95" s="23" t="n"/>
      <c r="I95" s="24" t="n"/>
      <c r="J95" s="24" t="n"/>
      <c r="K95" s="25">
        <f>IF(OR(I95="",J95=""),"",I95*J95)</f>
        <v/>
      </c>
      <c r="L95" s="26">
        <f>IF(K95="","",IF(K95&gt;=12,"Alto",IF(K95&gt;=6,"Medio","Bajo")))</f>
        <v/>
      </c>
      <c r="M95" s="23" t="n"/>
      <c r="N95" s="22" t="n"/>
      <c r="O95" s="27" t="n"/>
      <c r="P95" s="22" t="n"/>
      <c r="Q95" s="24" t="n"/>
      <c r="R95" s="24" t="n"/>
      <c r="S95" s="25">
        <f>IF(OR(Q95="",R95=""),"",Q95*R95)</f>
        <v/>
      </c>
      <c r="T95" s="26">
        <f>IF(S95="","",IF(S95&gt;=12,"Alto",IF(S95&gt;=6,"Medio","Bajo")))</f>
        <v/>
      </c>
      <c r="U95" s="23" t="n"/>
    </row>
    <row r="96">
      <c r="A96" s="21" t="n"/>
      <c r="B96" s="22" t="n"/>
      <c r="C96" s="22" t="n"/>
      <c r="D96" s="22" t="n"/>
      <c r="E96" s="22" t="n"/>
      <c r="F96" s="23" t="n"/>
      <c r="G96" s="23" t="n"/>
      <c r="H96" s="23" t="n"/>
      <c r="I96" s="24" t="n"/>
      <c r="J96" s="24" t="n"/>
      <c r="K96" s="25">
        <f>IF(OR(I96="",J96=""),"",I96*J96)</f>
        <v/>
      </c>
      <c r="L96" s="26">
        <f>IF(K96="","",IF(K96&gt;=12,"Alto",IF(K96&gt;=6,"Medio","Bajo")))</f>
        <v/>
      </c>
      <c r="M96" s="23" t="n"/>
      <c r="N96" s="22" t="n"/>
      <c r="O96" s="27" t="n"/>
      <c r="P96" s="22" t="n"/>
      <c r="Q96" s="24" t="n"/>
      <c r="R96" s="24" t="n"/>
      <c r="S96" s="25">
        <f>IF(OR(Q96="",R96=""),"",Q96*R96)</f>
        <v/>
      </c>
      <c r="T96" s="26">
        <f>IF(S96="","",IF(S96&gt;=12,"Alto",IF(S96&gt;=6,"Medio","Bajo")))</f>
        <v/>
      </c>
      <c r="U96" s="23" t="n"/>
    </row>
    <row r="97">
      <c r="A97" s="21" t="n"/>
      <c r="B97" s="22" t="n"/>
      <c r="C97" s="22" t="n"/>
      <c r="D97" s="22" t="n"/>
      <c r="E97" s="22" t="n"/>
      <c r="F97" s="23" t="n"/>
      <c r="G97" s="23" t="n"/>
      <c r="H97" s="23" t="n"/>
      <c r="I97" s="24" t="n"/>
      <c r="J97" s="24" t="n"/>
      <c r="K97" s="25">
        <f>IF(OR(I97="",J97=""),"",I97*J97)</f>
        <v/>
      </c>
      <c r="L97" s="26">
        <f>IF(K97="","",IF(K97&gt;=12,"Alto",IF(K97&gt;=6,"Medio","Bajo")))</f>
        <v/>
      </c>
      <c r="M97" s="23" t="n"/>
      <c r="N97" s="22" t="n"/>
      <c r="O97" s="27" t="n"/>
      <c r="P97" s="22" t="n"/>
      <c r="Q97" s="24" t="n"/>
      <c r="R97" s="24" t="n"/>
      <c r="S97" s="25">
        <f>IF(OR(Q97="",R97=""),"",Q97*R97)</f>
        <v/>
      </c>
      <c r="T97" s="26">
        <f>IF(S97="","",IF(S97&gt;=12,"Alto",IF(S97&gt;=6,"Medio","Bajo")))</f>
        <v/>
      </c>
      <c r="U97" s="23" t="n"/>
    </row>
    <row r="98">
      <c r="A98" s="21" t="n"/>
      <c r="B98" s="22" t="n"/>
      <c r="C98" s="22" t="n"/>
      <c r="D98" s="22" t="n"/>
      <c r="E98" s="22" t="n"/>
      <c r="F98" s="23" t="n"/>
      <c r="G98" s="23" t="n"/>
      <c r="H98" s="23" t="n"/>
      <c r="I98" s="24" t="n"/>
      <c r="J98" s="24" t="n"/>
      <c r="K98" s="25">
        <f>IF(OR(I98="",J98=""),"",I98*J98)</f>
        <v/>
      </c>
      <c r="L98" s="26">
        <f>IF(K98="","",IF(K98&gt;=12,"Alto",IF(K98&gt;=6,"Medio","Bajo")))</f>
        <v/>
      </c>
      <c r="M98" s="23" t="n"/>
      <c r="N98" s="22" t="n"/>
      <c r="O98" s="27" t="n"/>
      <c r="P98" s="22" t="n"/>
      <c r="Q98" s="24" t="n"/>
      <c r="R98" s="24" t="n"/>
      <c r="S98" s="25">
        <f>IF(OR(Q98="",R98=""),"",Q98*R98)</f>
        <v/>
      </c>
      <c r="T98" s="26">
        <f>IF(S98="","",IF(S98&gt;=12,"Alto",IF(S98&gt;=6,"Medio","Bajo")))</f>
        <v/>
      </c>
      <c r="U98" s="23" t="n"/>
    </row>
    <row r="99">
      <c r="A99" s="21" t="n"/>
      <c r="B99" s="22" t="n"/>
      <c r="C99" s="22" t="n"/>
      <c r="D99" s="22" t="n"/>
      <c r="E99" s="22" t="n"/>
      <c r="F99" s="23" t="n"/>
      <c r="G99" s="23" t="n"/>
      <c r="H99" s="23" t="n"/>
      <c r="I99" s="24" t="n"/>
      <c r="J99" s="24" t="n"/>
      <c r="K99" s="25">
        <f>IF(OR(I99="",J99=""),"",I99*J99)</f>
        <v/>
      </c>
      <c r="L99" s="26">
        <f>IF(K99="","",IF(K99&gt;=12,"Alto",IF(K99&gt;=6,"Medio","Bajo")))</f>
        <v/>
      </c>
      <c r="M99" s="23" t="n"/>
      <c r="N99" s="22" t="n"/>
      <c r="O99" s="27" t="n"/>
      <c r="P99" s="22" t="n"/>
      <c r="Q99" s="24" t="n"/>
      <c r="R99" s="24" t="n"/>
      <c r="S99" s="25">
        <f>IF(OR(Q99="",R99=""),"",Q99*R99)</f>
        <v/>
      </c>
      <c r="T99" s="26">
        <f>IF(S99="","",IF(S99&gt;=12,"Alto",IF(S99&gt;=6,"Medio","Bajo")))</f>
        <v/>
      </c>
      <c r="U99" s="23" t="n"/>
    </row>
    <row r="100">
      <c r="A100" s="21" t="n"/>
      <c r="B100" s="22" t="n"/>
      <c r="C100" s="22" t="n"/>
      <c r="D100" s="22" t="n"/>
      <c r="E100" s="22" t="n"/>
      <c r="F100" s="23" t="n"/>
      <c r="G100" s="23" t="n"/>
      <c r="H100" s="23" t="n"/>
      <c r="I100" s="24" t="n"/>
      <c r="J100" s="24" t="n"/>
      <c r="K100" s="25">
        <f>IF(OR(I100="",J100=""),"",I100*J100)</f>
        <v/>
      </c>
      <c r="L100" s="26">
        <f>IF(K100="","",IF(K100&gt;=12,"Alto",IF(K100&gt;=6,"Medio","Bajo")))</f>
        <v/>
      </c>
      <c r="M100" s="23" t="n"/>
      <c r="N100" s="22" t="n"/>
      <c r="O100" s="27" t="n"/>
      <c r="P100" s="22" t="n"/>
      <c r="Q100" s="24" t="n"/>
      <c r="R100" s="24" t="n"/>
      <c r="S100" s="25">
        <f>IF(OR(Q100="",R100=""),"",Q100*R100)</f>
        <v/>
      </c>
      <c r="T100" s="26">
        <f>IF(S100="","",IF(S100&gt;=12,"Alto",IF(S100&gt;=6,"Medio","Bajo")))</f>
        <v/>
      </c>
      <c r="U100" s="23" t="n"/>
    </row>
    <row r="101">
      <c r="A101" s="21" t="n"/>
      <c r="B101" s="22" t="n"/>
      <c r="C101" s="22" t="n"/>
      <c r="D101" s="22" t="n"/>
      <c r="E101" s="22" t="n"/>
      <c r="F101" s="23" t="n"/>
      <c r="G101" s="23" t="n"/>
      <c r="H101" s="23" t="n"/>
      <c r="I101" s="24" t="n"/>
      <c r="J101" s="24" t="n"/>
      <c r="K101" s="25">
        <f>IF(OR(I101="",J101=""),"",I101*J101)</f>
        <v/>
      </c>
      <c r="L101" s="26">
        <f>IF(K101="","",IF(K101&gt;=12,"Alto",IF(K101&gt;=6,"Medio","Bajo")))</f>
        <v/>
      </c>
      <c r="M101" s="23" t="n"/>
      <c r="N101" s="22" t="n"/>
      <c r="O101" s="27" t="n"/>
      <c r="P101" s="22" t="n"/>
      <c r="Q101" s="24" t="n"/>
      <c r="R101" s="24" t="n"/>
      <c r="S101" s="25">
        <f>IF(OR(Q101="",R101=""),"",Q101*R101)</f>
        <v/>
      </c>
      <c r="T101" s="26">
        <f>IF(S101="","",IF(S101&gt;=12,"Alto",IF(S101&gt;=6,"Medio","Bajo")))</f>
        <v/>
      </c>
      <c r="U101" s="23" t="n"/>
    </row>
    <row r="102">
      <c r="A102" s="21" t="n"/>
      <c r="B102" s="22" t="n"/>
      <c r="C102" s="22" t="n"/>
      <c r="D102" s="22" t="n"/>
      <c r="E102" s="22" t="n"/>
      <c r="F102" s="23" t="n"/>
      <c r="G102" s="23" t="n"/>
      <c r="H102" s="23" t="n"/>
      <c r="I102" s="24" t="n"/>
      <c r="J102" s="24" t="n"/>
      <c r="K102" s="25">
        <f>IF(OR(I102="",J102=""),"",I102*J102)</f>
        <v/>
      </c>
      <c r="L102" s="26">
        <f>IF(K102="","",IF(K102&gt;=12,"Alto",IF(K102&gt;=6,"Medio","Bajo")))</f>
        <v/>
      </c>
      <c r="M102" s="23" t="n"/>
      <c r="N102" s="22" t="n"/>
      <c r="O102" s="27" t="n"/>
      <c r="P102" s="22" t="n"/>
      <c r="Q102" s="24" t="n"/>
      <c r="R102" s="24" t="n"/>
      <c r="S102" s="25">
        <f>IF(OR(Q102="",R102=""),"",Q102*R102)</f>
        <v/>
      </c>
      <c r="T102" s="26">
        <f>IF(S102="","",IF(S102&gt;=12,"Alto",IF(S102&gt;=6,"Medio","Bajo")))</f>
        <v/>
      </c>
      <c r="U102" s="23" t="n"/>
    </row>
    <row r="103">
      <c r="A103" s="21" t="n"/>
      <c r="B103" s="22" t="n"/>
      <c r="C103" s="22" t="n"/>
      <c r="D103" s="22" t="n"/>
      <c r="E103" s="22" t="n"/>
      <c r="F103" s="23" t="n"/>
      <c r="G103" s="23" t="n"/>
      <c r="H103" s="23" t="n"/>
      <c r="I103" s="24" t="n"/>
      <c r="J103" s="24" t="n"/>
      <c r="K103" s="25">
        <f>IF(OR(I103="",J103=""),"",I103*J103)</f>
        <v/>
      </c>
      <c r="L103" s="26">
        <f>IF(K103="","",IF(K103&gt;=12,"Alto",IF(K103&gt;=6,"Medio","Bajo")))</f>
        <v/>
      </c>
      <c r="M103" s="23" t="n"/>
      <c r="N103" s="22" t="n"/>
      <c r="O103" s="27" t="n"/>
      <c r="P103" s="22" t="n"/>
      <c r="Q103" s="24" t="n"/>
      <c r="R103" s="24" t="n"/>
      <c r="S103" s="25">
        <f>IF(OR(Q103="",R103=""),"",Q103*R103)</f>
        <v/>
      </c>
      <c r="T103" s="26">
        <f>IF(S103="","",IF(S103&gt;=12,"Alto",IF(S103&gt;=6,"Medio","Bajo")))</f>
        <v/>
      </c>
      <c r="U103" s="23" t="n"/>
    </row>
    <row r="104">
      <c r="A104" s="21" t="n"/>
      <c r="B104" s="22" t="n"/>
      <c r="C104" s="22" t="n"/>
      <c r="D104" s="22" t="n"/>
      <c r="E104" s="22" t="n"/>
      <c r="F104" s="23" t="n"/>
      <c r="G104" s="23" t="n"/>
      <c r="H104" s="23" t="n"/>
      <c r="I104" s="24" t="n"/>
      <c r="J104" s="24" t="n"/>
      <c r="K104" s="25">
        <f>IF(OR(I104="",J104=""),"",I104*J104)</f>
        <v/>
      </c>
      <c r="L104" s="26">
        <f>IF(K104="","",IF(K104&gt;=12,"Alto",IF(K104&gt;=6,"Medio","Bajo")))</f>
        <v/>
      </c>
      <c r="M104" s="23" t="n"/>
      <c r="N104" s="22" t="n"/>
      <c r="O104" s="27" t="n"/>
      <c r="P104" s="22" t="n"/>
      <c r="Q104" s="24" t="n"/>
      <c r="R104" s="24" t="n"/>
      <c r="S104" s="25">
        <f>IF(OR(Q104="",R104=""),"",Q104*R104)</f>
        <v/>
      </c>
      <c r="T104" s="26">
        <f>IF(S104="","",IF(S104&gt;=12,"Alto",IF(S104&gt;=6,"Medio","Bajo")))</f>
        <v/>
      </c>
      <c r="U104" s="23" t="n"/>
    </row>
    <row r="105">
      <c r="A105" s="21" t="n"/>
      <c r="B105" s="22" t="n"/>
      <c r="C105" s="22" t="n"/>
      <c r="D105" s="22" t="n"/>
      <c r="E105" s="22" t="n"/>
      <c r="F105" s="23" t="n"/>
      <c r="G105" s="23" t="n"/>
      <c r="H105" s="23" t="n"/>
      <c r="I105" s="24" t="n"/>
      <c r="J105" s="24" t="n"/>
      <c r="K105" s="25">
        <f>IF(OR(I105="",J105=""),"",I105*J105)</f>
        <v/>
      </c>
      <c r="L105" s="26">
        <f>IF(K105="","",IF(K105&gt;=12,"Alto",IF(K105&gt;=6,"Medio","Bajo")))</f>
        <v/>
      </c>
      <c r="M105" s="23" t="n"/>
      <c r="N105" s="22" t="n"/>
      <c r="O105" s="27" t="n"/>
      <c r="P105" s="22" t="n"/>
      <c r="Q105" s="24" t="n"/>
      <c r="R105" s="24" t="n"/>
      <c r="S105" s="25">
        <f>IF(OR(Q105="",R105=""),"",Q105*R105)</f>
        <v/>
      </c>
      <c r="T105" s="26">
        <f>IF(S105="","",IF(S105&gt;=12,"Alto",IF(S105&gt;=6,"Medio","Bajo")))</f>
        <v/>
      </c>
      <c r="U105" s="23" t="n"/>
    </row>
    <row r="106">
      <c r="A106" s="21" t="n"/>
      <c r="B106" s="22" t="n"/>
      <c r="C106" s="22" t="n"/>
      <c r="D106" s="22" t="n"/>
      <c r="E106" s="22" t="n"/>
      <c r="F106" s="23" t="n"/>
      <c r="G106" s="23" t="n"/>
      <c r="H106" s="23" t="n"/>
      <c r="I106" s="24" t="n"/>
      <c r="J106" s="24" t="n"/>
      <c r="K106" s="25">
        <f>IF(OR(I106="",J106=""),"",I106*J106)</f>
        <v/>
      </c>
      <c r="L106" s="26">
        <f>IF(K106="","",IF(K106&gt;=12,"Alto",IF(K106&gt;=6,"Medio","Bajo")))</f>
        <v/>
      </c>
      <c r="M106" s="23" t="n"/>
      <c r="N106" s="22" t="n"/>
      <c r="O106" s="27" t="n"/>
      <c r="P106" s="22" t="n"/>
      <c r="Q106" s="24" t="n"/>
      <c r="R106" s="24" t="n"/>
      <c r="S106" s="25">
        <f>IF(OR(Q106="",R106=""),"",Q106*R106)</f>
        <v/>
      </c>
      <c r="T106" s="26">
        <f>IF(S106="","",IF(S106&gt;=12,"Alto",IF(S106&gt;=6,"Medio","Bajo")))</f>
        <v/>
      </c>
      <c r="U106" s="23" t="n"/>
    </row>
    <row r="107">
      <c r="A107" s="21" t="n"/>
      <c r="B107" s="22" t="n"/>
      <c r="C107" s="22" t="n"/>
      <c r="D107" s="22" t="n"/>
      <c r="E107" s="22" t="n"/>
      <c r="F107" s="23" t="n"/>
      <c r="G107" s="23" t="n"/>
      <c r="H107" s="23" t="n"/>
      <c r="I107" s="24" t="n"/>
      <c r="J107" s="24" t="n"/>
      <c r="K107" s="25">
        <f>IF(OR(I107="",J107=""),"",I107*J107)</f>
        <v/>
      </c>
      <c r="L107" s="26">
        <f>IF(K107="","",IF(K107&gt;=12,"Alto",IF(K107&gt;=6,"Medio","Bajo")))</f>
        <v/>
      </c>
      <c r="M107" s="23" t="n"/>
      <c r="N107" s="22" t="n"/>
      <c r="O107" s="27" t="n"/>
      <c r="P107" s="22" t="n"/>
      <c r="Q107" s="24" t="n"/>
      <c r="R107" s="24" t="n"/>
      <c r="S107" s="25">
        <f>IF(OR(Q107="",R107=""),"",Q107*R107)</f>
        <v/>
      </c>
      <c r="T107" s="26">
        <f>IF(S107="","",IF(S107&gt;=12,"Alto",IF(S107&gt;=6,"Medio","Bajo")))</f>
        <v/>
      </c>
      <c r="U107" s="23" t="n"/>
    </row>
    <row r="108">
      <c r="A108" s="21" t="n"/>
      <c r="B108" s="22" t="n"/>
      <c r="C108" s="22" t="n"/>
      <c r="D108" s="22" t="n"/>
      <c r="E108" s="22" t="n"/>
      <c r="F108" s="23" t="n"/>
      <c r="G108" s="23" t="n"/>
      <c r="H108" s="23" t="n"/>
      <c r="I108" s="24" t="n"/>
      <c r="J108" s="24" t="n"/>
      <c r="K108" s="25">
        <f>IF(OR(I108="",J108=""),"",I108*J108)</f>
        <v/>
      </c>
      <c r="L108" s="26">
        <f>IF(K108="","",IF(K108&gt;=12,"Alto",IF(K108&gt;=6,"Medio","Bajo")))</f>
        <v/>
      </c>
      <c r="M108" s="23" t="n"/>
      <c r="N108" s="22" t="n"/>
      <c r="O108" s="27" t="n"/>
      <c r="P108" s="22" t="n"/>
      <c r="Q108" s="24" t="n"/>
      <c r="R108" s="24" t="n"/>
      <c r="S108" s="25">
        <f>IF(OR(Q108="",R108=""),"",Q108*R108)</f>
        <v/>
      </c>
      <c r="T108" s="26">
        <f>IF(S108="","",IF(S108&gt;=12,"Alto",IF(S108&gt;=6,"Medio","Bajo")))</f>
        <v/>
      </c>
      <c r="U108" s="23" t="n"/>
    </row>
    <row r="109">
      <c r="A109" s="21" t="n"/>
      <c r="B109" s="22" t="n"/>
      <c r="C109" s="22" t="n"/>
      <c r="D109" s="22" t="n"/>
      <c r="E109" s="22" t="n"/>
      <c r="F109" s="23" t="n"/>
      <c r="G109" s="23" t="n"/>
      <c r="H109" s="23" t="n"/>
      <c r="I109" s="24" t="n"/>
      <c r="J109" s="24" t="n"/>
      <c r="K109" s="25">
        <f>IF(OR(I109="",J109=""),"",I109*J109)</f>
        <v/>
      </c>
      <c r="L109" s="26">
        <f>IF(K109="","",IF(K109&gt;=12,"Alto",IF(K109&gt;=6,"Medio","Bajo")))</f>
        <v/>
      </c>
      <c r="M109" s="23" t="n"/>
      <c r="N109" s="22" t="n"/>
      <c r="O109" s="27" t="n"/>
      <c r="P109" s="22" t="n"/>
      <c r="Q109" s="24" t="n"/>
      <c r="R109" s="24" t="n"/>
      <c r="S109" s="25">
        <f>IF(OR(Q109="",R109=""),"",Q109*R109)</f>
        <v/>
      </c>
      <c r="T109" s="26">
        <f>IF(S109="","",IF(S109&gt;=12,"Alto",IF(S109&gt;=6,"Medio","Bajo")))</f>
        <v/>
      </c>
      <c r="U109" s="23" t="n"/>
    </row>
    <row r="110">
      <c r="A110" s="21" t="n"/>
      <c r="B110" s="22" t="n"/>
      <c r="C110" s="22" t="n"/>
      <c r="D110" s="22" t="n"/>
      <c r="E110" s="22" t="n"/>
      <c r="F110" s="23" t="n"/>
      <c r="G110" s="23" t="n"/>
      <c r="H110" s="23" t="n"/>
      <c r="I110" s="24" t="n"/>
      <c r="J110" s="24" t="n"/>
      <c r="K110" s="25">
        <f>IF(OR(I110="",J110=""),"",I110*J110)</f>
        <v/>
      </c>
      <c r="L110" s="26">
        <f>IF(K110="","",IF(K110&gt;=12,"Alto",IF(K110&gt;=6,"Medio","Bajo")))</f>
        <v/>
      </c>
      <c r="M110" s="23" t="n"/>
      <c r="N110" s="22" t="n"/>
      <c r="O110" s="27" t="n"/>
      <c r="P110" s="22" t="n"/>
      <c r="Q110" s="24" t="n"/>
      <c r="R110" s="24" t="n"/>
      <c r="S110" s="25">
        <f>IF(OR(Q110="",R110=""),"",Q110*R110)</f>
        <v/>
      </c>
      <c r="T110" s="26">
        <f>IF(S110="","",IF(S110&gt;=12,"Alto",IF(S110&gt;=6,"Medio","Bajo")))</f>
        <v/>
      </c>
      <c r="U110" s="23" t="n"/>
    </row>
    <row r="111">
      <c r="A111" s="21" t="n"/>
      <c r="B111" s="22" t="n"/>
      <c r="C111" s="22" t="n"/>
      <c r="D111" s="22" t="n"/>
      <c r="E111" s="22" t="n"/>
      <c r="F111" s="23" t="n"/>
      <c r="G111" s="23" t="n"/>
      <c r="H111" s="23" t="n"/>
      <c r="I111" s="24" t="n"/>
      <c r="J111" s="24" t="n"/>
      <c r="K111" s="25">
        <f>IF(OR(I111="",J111=""),"",I111*J111)</f>
        <v/>
      </c>
      <c r="L111" s="26">
        <f>IF(K111="","",IF(K111&gt;=12,"Alto",IF(K111&gt;=6,"Medio","Bajo")))</f>
        <v/>
      </c>
      <c r="M111" s="23" t="n"/>
      <c r="N111" s="22" t="n"/>
      <c r="O111" s="27" t="n"/>
      <c r="P111" s="22" t="n"/>
      <c r="Q111" s="24" t="n"/>
      <c r="R111" s="24" t="n"/>
      <c r="S111" s="25">
        <f>IF(OR(Q111="",R111=""),"",Q111*R111)</f>
        <v/>
      </c>
      <c r="T111" s="26">
        <f>IF(S111="","",IF(S111&gt;=12,"Alto",IF(S111&gt;=6,"Medio","Bajo")))</f>
        <v/>
      </c>
      <c r="U111" s="23" t="n"/>
    </row>
    <row r="112">
      <c r="A112" s="21" t="n"/>
      <c r="B112" s="22" t="n"/>
      <c r="C112" s="22" t="n"/>
      <c r="D112" s="22" t="n"/>
      <c r="E112" s="22" t="n"/>
      <c r="F112" s="23" t="n"/>
      <c r="G112" s="23" t="n"/>
      <c r="H112" s="23" t="n"/>
      <c r="I112" s="24" t="n"/>
      <c r="J112" s="24" t="n"/>
      <c r="K112" s="25">
        <f>IF(OR(I112="",J112=""),"",I112*J112)</f>
        <v/>
      </c>
      <c r="L112" s="26">
        <f>IF(K112="","",IF(K112&gt;=12,"Alto",IF(K112&gt;=6,"Medio","Bajo")))</f>
        <v/>
      </c>
      <c r="M112" s="23" t="n"/>
      <c r="N112" s="22" t="n"/>
      <c r="O112" s="27" t="n"/>
      <c r="P112" s="22" t="n"/>
      <c r="Q112" s="24" t="n"/>
      <c r="R112" s="24" t="n"/>
      <c r="S112" s="25">
        <f>IF(OR(Q112="",R112=""),"",Q112*R112)</f>
        <v/>
      </c>
      <c r="T112" s="26">
        <f>IF(S112="","",IF(S112&gt;=12,"Alto",IF(S112&gt;=6,"Medio","Bajo")))</f>
        <v/>
      </c>
      <c r="U112" s="23" t="n"/>
    </row>
    <row r="113">
      <c r="A113" s="21" t="n"/>
      <c r="B113" s="22" t="n"/>
      <c r="C113" s="22" t="n"/>
      <c r="D113" s="22" t="n"/>
      <c r="E113" s="22" t="n"/>
      <c r="F113" s="23" t="n"/>
      <c r="G113" s="23" t="n"/>
      <c r="H113" s="23" t="n"/>
      <c r="I113" s="24" t="n"/>
      <c r="J113" s="24" t="n"/>
      <c r="K113" s="25">
        <f>IF(OR(I113="",J113=""),"",I113*J113)</f>
        <v/>
      </c>
      <c r="L113" s="26">
        <f>IF(K113="","",IF(K113&gt;=12,"Alto",IF(K113&gt;=6,"Medio","Bajo")))</f>
        <v/>
      </c>
      <c r="M113" s="23" t="n"/>
      <c r="N113" s="22" t="n"/>
      <c r="O113" s="27" t="n"/>
      <c r="P113" s="22" t="n"/>
      <c r="Q113" s="24" t="n"/>
      <c r="R113" s="24" t="n"/>
      <c r="S113" s="25">
        <f>IF(OR(Q113="",R113=""),"",Q113*R113)</f>
        <v/>
      </c>
      <c r="T113" s="26">
        <f>IF(S113="","",IF(S113&gt;=12,"Alto",IF(S113&gt;=6,"Medio","Bajo")))</f>
        <v/>
      </c>
      <c r="U113" s="23" t="n"/>
    </row>
    <row r="114">
      <c r="A114" s="21" t="n"/>
      <c r="B114" s="22" t="n"/>
      <c r="C114" s="22" t="n"/>
      <c r="D114" s="22" t="n"/>
      <c r="E114" s="22" t="n"/>
      <c r="F114" s="23" t="n"/>
      <c r="G114" s="23" t="n"/>
      <c r="H114" s="23" t="n"/>
      <c r="I114" s="24" t="n"/>
      <c r="J114" s="24" t="n"/>
      <c r="K114" s="25">
        <f>IF(OR(I114="",J114=""),"",I114*J114)</f>
        <v/>
      </c>
      <c r="L114" s="26">
        <f>IF(K114="","",IF(K114&gt;=12,"Alto",IF(K114&gt;=6,"Medio","Bajo")))</f>
        <v/>
      </c>
      <c r="M114" s="23" t="n"/>
      <c r="N114" s="22" t="n"/>
      <c r="O114" s="27" t="n"/>
      <c r="P114" s="22" t="n"/>
      <c r="Q114" s="24" t="n"/>
      <c r="R114" s="24" t="n"/>
      <c r="S114" s="25">
        <f>IF(OR(Q114="",R114=""),"",Q114*R114)</f>
        <v/>
      </c>
      <c r="T114" s="26">
        <f>IF(S114="","",IF(S114&gt;=12,"Alto",IF(S114&gt;=6,"Medio","Bajo")))</f>
        <v/>
      </c>
      <c r="U114" s="23" t="n"/>
    </row>
    <row r="115">
      <c r="A115" s="21" t="n"/>
      <c r="B115" s="22" t="n"/>
      <c r="C115" s="22" t="n"/>
      <c r="D115" s="22" t="n"/>
      <c r="E115" s="22" t="n"/>
      <c r="F115" s="23" t="n"/>
      <c r="G115" s="23" t="n"/>
      <c r="H115" s="23" t="n"/>
      <c r="I115" s="24" t="n"/>
      <c r="J115" s="24" t="n"/>
      <c r="K115" s="25">
        <f>IF(OR(I115="",J115=""),"",I115*J115)</f>
        <v/>
      </c>
      <c r="L115" s="26">
        <f>IF(K115="","",IF(K115&gt;=12,"Alto",IF(K115&gt;=6,"Medio","Bajo")))</f>
        <v/>
      </c>
      <c r="M115" s="23" t="n"/>
      <c r="N115" s="22" t="n"/>
      <c r="O115" s="27" t="n"/>
      <c r="P115" s="22" t="n"/>
      <c r="Q115" s="24" t="n"/>
      <c r="R115" s="24" t="n"/>
      <c r="S115" s="25">
        <f>IF(OR(Q115="",R115=""),"",Q115*R115)</f>
        <v/>
      </c>
      <c r="T115" s="26">
        <f>IF(S115="","",IF(S115&gt;=12,"Alto",IF(S115&gt;=6,"Medio","Bajo")))</f>
        <v/>
      </c>
      <c r="U115" s="23" t="n"/>
    </row>
    <row r="116">
      <c r="A116" s="21" t="n"/>
      <c r="B116" s="22" t="n"/>
      <c r="C116" s="22" t="n"/>
      <c r="D116" s="22" t="n"/>
      <c r="E116" s="22" t="n"/>
      <c r="F116" s="23" t="n"/>
      <c r="G116" s="23" t="n"/>
      <c r="H116" s="23" t="n"/>
      <c r="I116" s="24" t="n"/>
      <c r="J116" s="24" t="n"/>
      <c r="K116" s="25">
        <f>IF(OR(I116="",J116=""),"",I116*J116)</f>
        <v/>
      </c>
      <c r="L116" s="26">
        <f>IF(K116="","",IF(K116&gt;=12,"Alto",IF(K116&gt;=6,"Medio","Bajo")))</f>
        <v/>
      </c>
      <c r="M116" s="23" t="n"/>
      <c r="N116" s="22" t="n"/>
      <c r="O116" s="27" t="n"/>
      <c r="P116" s="22" t="n"/>
      <c r="Q116" s="24" t="n"/>
      <c r="R116" s="24" t="n"/>
      <c r="S116" s="25">
        <f>IF(OR(Q116="",R116=""),"",Q116*R116)</f>
        <v/>
      </c>
      <c r="T116" s="26">
        <f>IF(S116="","",IF(S116&gt;=12,"Alto",IF(S116&gt;=6,"Medio","Bajo")))</f>
        <v/>
      </c>
      <c r="U116" s="23" t="n"/>
    </row>
    <row r="117">
      <c r="A117" s="21" t="n"/>
      <c r="B117" s="22" t="n"/>
      <c r="C117" s="22" t="n"/>
      <c r="D117" s="22" t="n"/>
      <c r="E117" s="22" t="n"/>
      <c r="F117" s="23" t="n"/>
      <c r="G117" s="23" t="n"/>
      <c r="H117" s="23" t="n"/>
      <c r="I117" s="24" t="n"/>
      <c r="J117" s="24" t="n"/>
      <c r="K117" s="25">
        <f>IF(OR(I117="",J117=""),"",I117*J117)</f>
        <v/>
      </c>
      <c r="L117" s="26">
        <f>IF(K117="","",IF(K117&gt;=12,"Alto",IF(K117&gt;=6,"Medio","Bajo")))</f>
        <v/>
      </c>
      <c r="M117" s="23" t="n"/>
      <c r="N117" s="22" t="n"/>
      <c r="O117" s="27" t="n"/>
      <c r="P117" s="22" t="n"/>
      <c r="Q117" s="24" t="n"/>
      <c r="R117" s="24" t="n"/>
      <c r="S117" s="25">
        <f>IF(OR(Q117="",R117=""),"",Q117*R117)</f>
        <v/>
      </c>
      <c r="T117" s="26">
        <f>IF(S117="","",IF(S117&gt;=12,"Alto",IF(S117&gt;=6,"Medio","Bajo")))</f>
        <v/>
      </c>
      <c r="U117" s="23" t="n"/>
    </row>
    <row r="118">
      <c r="A118" s="21" t="n"/>
      <c r="B118" s="22" t="n"/>
      <c r="C118" s="22" t="n"/>
      <c r="D118" s="22" t="n"/>
      <c r="E118" s="22" t="n"/>
      <c r="F118" s="23" t="n"/>
      <c r="G118" s="23" t="n"/>
      <c r="H118" s="23" t="n"/>
      <c r="I118" s="24" t="n"/>
      <c r="J118" s="24" t="n"/>
      <c r="K118" s="25">
        <f>IF(OR(I118="",J118=""),"",I118*J118)</f>
        <v/>
      </c>
      <c r="L118" s="26">
        <f>IF(K118="","",IF(K118&gt;=12,"Alto",IF(K118&gt;=6,"Medio","Bajo")))</f>
        <v/>
      </c>
      <c r="M118" s="23" t="n"/>
      <c r="N118" s="22" t="n"/>
      <c r="O118" s="27" t="n"/>
      <c r="P118" s="22" t="n"/>
      <c r="Q118" s="24" t="n"/>
      <c r="R118" s="24" t="n"/>
      <c r="S118" s="25">
        <f>IF(OR(Q118="",R118=""),"",Q118*R118)</f>
        <v/>
      </c>
      <c r="T118" s="26">
        <f>IF(S118="","",IF(S118&gt;=12,"Alto",IF(S118&gt;=6,"Medio","Bajo")))</f>
        <v/>
      </c>
      <c r="U118" s="23" t="n"/>
    </row>
    <row r="119">
      <c r="A119" s="21" t="n"/>
      <c r="B119" s="22" t="n"/>
      <c r="C119" s="22" t="n"/>
      <c r="D119" s="22" t="n"/>
      <c r="E119" s="22" t="n"/>
      <c r="F119" s="23" t="n"/>
      <c r="G119" s="23" t="n"/>
      <c r="H119" s="23" t="n"/>
      <c r="I119" s="24" t="n"/>
      <c r="J119" s="24" t="n"/>
      <c r="K119" s="25">
        <f>IF(OR(I119="",J119=""),"",I119*J119)</f>
        <v/>
      </c>
      <c r="L119" s="26">
        <f>IF(K119="","",IF(K119&gt;=12,"Alto",IF(K119&gt;=6,"Medio","Bajo")))</f>
        <v/>
      </c>
      <c r="M119" s="23" t="n"/>
      <c r="N119" s="22" t="n"/>
      <c r="O119" s="27" t="n"/>
      <c r="P119" s="22" t="n"/>
      <c r="Q119" s="24" t="n"/>
      <c r="R119" s="24" t="n"/>
      <c r="S119" s="25">
        <f>IF(OR(Q119="",R119=""),"",Q119*R119)</f>
        <v/>
      </c>
      <c r="T119" s="26">
        <f>IF(S119="","",IF(S119&gt;=12,"Alto",IF(S119&gt;=6,"Medio","Bajo")))</f>
        <v/>
      </c>
      <c r="U119" s="23" t="n"/>
    </row>
    <row r="120">
      <c r="A120" s="21" t="n"/>
      <c r="B120" s="22" t="n"/>
      <c r="C120" s="22" t="n"/>
      <c r="D120" s="22" t="n"/>
      <c r="E120" s="22" t="n"/>
      <c r="F120" s="23" t="n"/>
      <c r="G120" s="23" t="n"/>
      <c r="H120" s="23" t="n"/>
      <c r="I120" s="24" t="n"/>
      <c r="J120" s="24" t="n"/>
      <c r="K120" s="25">
        <f>IF(OR(I120="",J120=""),"",I120*J120)</f>
        <v/>
      </c>
      <c r="L120" s="26">
        <f>IF(K120="","",IF(K120&gt;=12,"Alto",IF(K120&gt;=6,"Medio","Bajo")))</f>
        <v/>
      </c>
      <c r="M120" s="23" t="n"/>
      <c r="N120" s="22" t="n"/>
      <c r="O120" s="27" t="n"/>
      <c r="P120" s="22" t="n"/>
      <c r="Q120" s="24" t="n"/>
      <c r="R120" s="24" t="n"/>
      <c r="S120" s="25">
        <f>IF(OR(Q120="",R120=""),"",Q120*R120)</f>
        <v/>
      </c>
      <c r="T120" s="26">
        <f>IF(S120="","",IF(S120&gt;=12,"Alto",IF(S120&gt;=6,"Medio","Bajo")))</f>
        <v/>
      </c>
      <c r="U120" s="23" t="n"/>
    </row>
    <row r="121">
      <c r="A121" s="21" t="n"/>
      <c r="B121" s="22" t="n"/>
      <c r="C121" s="22" t="n"/>
      <c r="D121" s="22" t="n"/>
      <c r="E121" s="22" t="n"/>
      <c r="F121" s="23" t="n"/>
      <c r="G121" s="23" t="n"/>
      <c r="H121" s="23" t="n"/>
      <c r="I121" s="24" t="n"/>
      <c r="J121" s="24" t="n"/>
      <c r="K121" s="25">
        <f>IF(OR(I121="",J121=""),"",I121*J121)</f>
        <v/>
      </c>
      <c r="L121" s="26">
        <f>IF(K121="","",IF(K121&gt;=12,"Alto",IF(K121&gt;=6,"Medio","Bajo")))</f>
        <v/>
      </c>
      <c r="M121" s="23" t="n"/>
      <c r="N121" s="22" t="n"/>
      <c r="O121" s="27" t="n"/>
      <c r="P121" s="22" t="n"/>
      <c r="Q121" s="24" t="n"/>
      <c r="R121" s="24" t="n"/>
      <c r="S121" s="25">
        <f>IF(OR(Q121="",R121=""),"",Q121*R121)</f>
        <v/>
      </c>
      <c r="T121" s="26">
        <f>IF(S121="","",IF(S121&gt;=12,"Alto",IF(S121&gt;=6,"Medio","Bajo")))</f>
        <v/>
      </c>
      <c r="U121" s="23" t="n"/>
    </row>
    <row r="122">
      <c r="A122" s="21" t="n"/>
      <c r="B122" s="22" t="n"/>
      <c r="C122" s="22" t="n"/>
      <c r="D122" s="22" t="n"/>
      <c r="E122" s="22" t="n"/>
      <c r="F122" s="23" t="n"/>
      <c r="G122" s="23" t="n"/>
      <c r="H122" s="23" t="n"/>
      <c r="I122" s="24" t="n"/>
      <c r="J122" s="24" t="n"/>
      <c r="K122" s="25">
        <f>IF(OR(I122="",J122=""),"",I122*J122)</f>
        <v/>
      </c>
      <c r="L122" s="26">
        <f>IF(K122="","",IF(K122&gt;=12,"Alto",IF(K122&gt;=6,"Medio","Bajo")))</f>
        <v/>
      </c>
      <c r="M122" s="23" t="n"/>
      <c r="N122" s="22" t="n"/>
      <c r="O122" s="27" t="n"/>
      <c r="P122" s="22" t="n"/>
      <c r="Q122" s="24" t="n"/>
      <c r="R122" s="24" t="n"/>
      <c r="S122" s="25">
        <f>IF(OR(Q122="",R122=""),"",Q122*R122)</f>
        <v/>
      </c>
      <c r="T122" s="26">
        <f>IF(S122="","",IF(S122&gt;=12,"Alto",IF(S122&gt;=6,"Medio","Bajo")))</f>
        <v/>
      </c>
      <c r="U122" s="23" t="n"/>
    </row>
    <row r="123">
      <c r="A123" s="21" t="n"/>
      <c r="B123" s="22" t="n"/>
      <c r="C123" s="22" t="n"/>
      <c r="D123" s="22" t="n"/>
      <c r="E123" s="22" t="n"/>
      <c r="F123" s="23" t="n"/>
      <c r="G123" s="23" t="n"/>
      <c r="H123" s="23" t="n"/>
      <c r="I123" s="24" t="n"/>
      <c r="J123" s="24" t="n"/>
      <c r="K123" s="25">
        <f>IF(OR(I123="",J123=""),"",I123*J123)</f>
        <v/>
      </c>
      <c r="L123" s="26">
        <f>IF(K123="","",IF(K123&gt;=12,"Alto",IF(K123&gt;=6,"Medio","Bajo")))</f>
        <v/>
      </c>
      <c r="M123" s="23" t="n"/>
      <c r="N123" s="22" t="n"/>
      <c r="O123" s="27" t="n"/>
      <c r="P123" s="22" t="n"/>
      <c r="Q123" s="24" t="n"/>
      <c r="R123" s="24" t="n"/>
      <c r="S123" s="25">
        <f>IF(OR(Q123="",R123=""),"",Q123*R123)</f>
        <v/>
      </c>
      <c r="T123" s="26">
        <f>IF(S123="","",IF(S123&gt;=12,"Alto",IF(S123&gt;=6,"Medio","Bajo")))</f>
        <v/>
      </c>
      <c r="U123" s="23" t="n"/>
    </row>
    <row r="124">
      <c r="A124" s="21" t="n"/>
      <c r="B124" s="22" t="n"/>
      <c r="C124" s="22" t="n"/>
      <c r="D124" s="22" t="n"/>
      <c r="E124" s="22" t="n"/>
      <c r="F124" s="23" t="n"/>
      <c r="G124" s="23" t="n"/>
      <c r="H124" s="23" t="n"/>
      <c r="I124" s="24" t="n"/>
      <c r="J124" s="24" t="n"/>
      <c r="K124" s="25">
        <f>IF(OR(I124="",J124=""),"",I124*J124)</f>
        <v/>
      </c>
      <c r="L124" s="26">
        <f>IF(K124="","",IF(K124&gt;=12,"Alto",IF(K124&gt;=6,"Medio","Bajo")))</f>
        <v/>
      </c>
      <c r="M124" s="23" t="n"/>
      <c r="N124" s="22" t="n"/>
      <c r="O124" s="27" t="n"/>
      <c r="P124" s="22" t="n"/>
      <c r="Q124" s="24" t="n"/>
      <c r="R124" s="24" t="n"/>
      <c r="S124" s="25">
        <f>IF(OR(Q124="",R124=""),"",Q124*R124)</f>
        <v/>
      </c>
      <c r="T124" s="26">
        <f>IF(S124="","",IF(S124&gt;=12,"Alto",IF(S124&gt;=6,"Medio","Bajo")))</f>
        <v/>
      </c>
      <c r="U124" s="23" t="n"/>
    </row>
    <row r="125">
      <c r="A125" s="21" t="n"/>
      <c r="B125" s="22" t="n"/>
      <c r="C125" s="22" t="n"/>
      <c r="D125" s="22" t="n"/>
      <c r="E125" s="22" t="n"/>
      <c r="F125" s="23" t="n"/>
      <c r="G125" s="23" t="n"/>
      <c r="H125" s="23" t="n"/>
      <c r="I125" s="24" t="n"/>
      <c r="J125" s="24" t="n"/>
      <c r="K125" s="25">
        <f>IF(OR(I125="",J125=""),"",I125*J125)</f>
        <v/>
      </c>
      <c r="L125" s="26">
        <f>IF(K125="","",IF(K125&gt;=12,"Alto",IF(K125&gt;=6,"Medio","Bajo")))</f>
        <v/>
      </c>
      <c r="M125" s="23" t="n"/>
      <c r="N125" s="22" t="n"/>
      <c r="O125" s="27" t="n"/>
      <c r="P125" s="22" t="n"/>
      <c r="Q125" s="24" t="n"/>
      <c r="R125" s="24" t="n"/>
      <c r="S125" s="25">
        <f>IF(OR(Q125="",R125=""),"",Q125*R125)</f>
        <v/>
      </c>
      <c r="T125" s="26">
        <f>IF(S125="","",IF(S125&gt;=12,"Alto",IF(S125&gt;=6,"Medio","Bajo")))</f>
        <v/>
      </c>
      <c r="U125" s="23" t="n"/>
    </row>
    <row r="126">
      <c r="A126" s="21" t="n"/>
      <c r="B126" s="22" t="n"/>
      <c r="C126" s="22" t="n"/>
      <c r="D126" s="22" t="n"/>
      <c r="E126" s="22" t="n"/>
      <c r="F126" s="23" t="n"/>
      <c r="G126" s="23" t="n"/>
      <c r="H126" s="23" t="n"/>
      <c r="I126" s="24" t="n"/>
      <c r="J126" s="24" t="n"/>
      <c r="K126" s="25">
        <f>IF(OR(I126="",J126=""),"",I126*J126)</f>
        <v/>
      </c>
      <c r="L126" s="26">
        <f>IF(K126="","",IF(K126&gt;=12,"Alto",IF(K126&gt;=6,"Medio","Bajo")))</f>
        <v/>
      </c>
      <c r="M126" s="23" t="n"/>
      <c r="N126" s="22" t="n"/>
      <c r="O126" s="27" t="n"/>
      <c r="P126" s="22" t="n"/>
      <c r="Q126" s="24" t="n"/>
      <c r="R126" s="24" t="n"/>
      <c r="S126" s="25">
        <f>IF(OR(Q126="",R126=""),"",Q126*R126)</f>
        <v/>
      </c>
      <c r="T126" s="26">
        <f>IF(S126="","",IF(S126&gt;=12,"Alto",IF(S126&gt;=6,"Medio","Bajo")))</f>
        <v/>
      </c>
      <c r="U126" s="23" t="n"/>
    </row>
    <row r="127">
      <c r="A127" s="21" t="n"/>
      <c r="B127" s="22" t="n"/>
      <c r="C127" s="22" t="n"/>
      <c r="D127" s="22" t="n"/>
      <c r="E127" s="22" t="n"/>
      <c r="F127" s="23" t="n"/>
      <c r="G127" s="23" t="n"/>
      <c r="H127" s="23" t="n"/>
      <c r="I127" s="24" t="n"/>
      <c r="J127" s="24" t="n"/>
      <c r="K127" s="25">
        <f>IF(OR(I127="",J127=""),"",I127*J127)</f>
        <v/>
      </c>
      <c r="L127" s="26">
        <f>IF(K127="","",IF(K127&gt;=12,"Alto",IF(K127&gt;=6,"Medio","Bajo")))</f>
        <v/>
      </c>
      <c r="M127" s="23" t="n"/>
      <c r="N127" s="22" t="n"/>
      <c r="O127" s="27" t="n"/>
      <c r="P127" s="22" t="n"/>
      <c r="Q127" s="24" t="n"/>
      <c r="R127" s="24" t="n"/>
      <c r="S127" s="25">
        <f>IF(OR(Q127="",R127=""),"",Q127*R127)</f>
        <v/>
      </c>
      <c r="T127" s="26">
        <f>IF(S127="","",IF(S127&gt;=12,"Alto",IF(S127&gt;=6,"Medio","Bajo")))</f>
        <v/>
      </c>
      <c r="U127" s="23" t="n"/>
    </row>
    <row r="128">
      <c r="A128" s="21" t="n"/>
      <c r="B128" s="22" t="n"/>
      <c r="C128" s="22" t="n"/>
      <c r="D128" s="22" t="n"/>
      <c r="E128" s="22" t="n"/>
      <c r="F128" s="23" t="n"/>
      <c r="G128" s="23" t="n"/>
      <c r="H128" s="23" t="n"/>
      <c r="I128" s="24" t="n"/>
      <c r="J128" s="24" t="n"/>
      <c r="K128" s="25">
        <f>IF(OR(I128="",J128=""),"",I128*J128)</f>
        <v/>
      </c>
      <c r="L128" s="26">
        <f>IF(K128="","",IF(K128&gt;=12,"Alto",IF(K128&gt;=6,"Medio","Bajo")))</f>
        <v/>
      </c>
      <c r="M128" s="23" t="n"/>
      <c r="N128" s="22" t="n"/>
      <c r="O128" s="27" t="n"/>
      <c r="P128" s="22" t="n"/>
      <c r="Q128" s="24" t="n"/>
      <c r="R128" s="24" t="n"/>
      <c r="S128" s="25">
        <f>IF(OR(Q128="",R128=""),"",Q128*R128)</f>
        <v/>
      </c>
      <c r="T128" s="26">
        <f>IF(S128="","",IF(S128&gt;=12,"Alto",IF(S128&gt;=6,"Medio","Bajo")))</f>
        <v/>
      </c>
      <c r="U128" s="23" t="n"/>
    </row>
    <row r="129">
      <c r="A129" s="21" t="n"/>
      <c r="B129" s="22" t="n"/>
      <c r="C129" s="22" t="n"/>
      <c r="D129" s="22" t="n"/>
      <c r="E129" s="22" t="n"/>
      <c r="F129" s="23" t="n"/>
      <c r="G129" s="23" t="n"/>
      <c r="H129" s="23" t="n"/>
      <c r="I129" s="24" t="n"/>
      <c r="J129" s="24" t="n"/>
      <c r="K129" s="25">
        <f>IF(OR(I129="",J129=""),"",I129*J129)</f>
        <v/>
      </c>
      <c r="L129" s="26">
        <f>IF(K129="","",IF(K129&gt;=12,"Alto",IF(K129&gt;=6,"Medio","Bajo")))</f>
        <v/>
      </c>
      <c r="M129" s="23" t="n"/>
      <c r="N129" s="22" t="n"/>
      <c r="O129" s="27" t="n"/>
      <c r="P129" s="22" t="n"/>
      <c r="Q129" s="24" t="n"/>
      <c r="R129" s="24" t="n"/>
      <c r="S129" s="25">
        <f>IF(OR(Q129="",R129=""),"",Q129*R129)</f>
        <v/>
      </c>
      <c r="T129" s="26">
        <f>IF(S129="","",IF(S129&gt;=12,"Alto",IF(S129&gt;=6,"Medio","Bajo")))</f>
        <v/>
      </c>
      <c r="U129" s="23" t="n"/>
    </row>
    <row r="130">
      <c r="A130" s="21" t="n"/>
      <c r="B130" s="22" t="n"/>
      <c r="C130" s="22" t="n"/>
      <c r="D130" s="22" t="n"/>
      <c r="E130" s="22" t="n"/>
      <c r="F130" s="23" t="n"/>
      <c r="G130" s="23" t="n"/>
      <c r="H130" s="23" t="n"/>
      <c r="I130" s="24" t="n"/>
      <c r="J130" s="24" t="n"/>
      <c r="K130" s="25">
        <f>IF(OR(I130="",J130=""),"",I130*J130)</f>
        <v/>
      </c>
      <c r="L130" s="26">
        <f>IF(K130="","",IF(K130&gt;=12,"Alto",IF(K130&gt;=6,"Medio","Bajo")))</f>
        <v/>
      </c>
      <c r="M130" s="23" t="n"/>
      <c r="N130" s="22" t="n"/>
      <c r="O130" s="27" t="n"/>
      <c r="P130" s="22" t="n"/>
      <c r="Q130" s="24" t="n"/>
      <c r="R130" s="24" t="n"/>
      <c r="S130" s="25">
        <f>IF(OR(Q130="",R130=""),"",Q130*R130)</f>
        <v/>
      </c>
      <c r="T130" s="26">
        <f>IF(S130="","",IF(S130&gt;=12,"Alto",IF(S130&gt;=6,"Medio","Bajo")))</f>
        <v/>
      </c>
      <c r="U130" s="23" t="n"/>
    </row>
    <row r="131">
      <c r="A131" s="21" t="n"/>
      <c r="B131" s="22" t="n"/>
      <c r="C131" s="22" t="n"/>
      <c r="D131" s="22" t="n"/>
      <c r="E131" s="22" t="n"/>
      <c r="F131" s="23" t="n"/>
      <c r="G131" s="23" t="n"/>
      <c r="H131" s="23" t="n"/>
      <c r="I131" s="24" t="n"/>
      <c r="J131" s="24" t="n"/>
      <c r="K131" s="25">
        <f>IF(OR(I131="",J131=""),"",I131*J131)</f>
        <v/>
      </c>
      <c r="L131" s="26">
        <f>IF(K131="","",IF(K131&gt;=12,"Alto",IF(K131&gt;=6,"Medio","Bajo")))</f>
        <v/>
      </c>
      <c r="M131" s="23" t="n"/>
      <c r="N131" s="22" t="n"/>
      <c r="O131" s="27" t="n"/>
      <c r="P131" s="22" t="n"/>
      <c r="Q131" s="24" t="n"/>
      <c r="R131" s="24" t="n"/>
      <c r="S131" s="25">
        <f>IF(OR(Q131="",R131=""),"",Q131*R131)</f>
        <v/>
      </c>
      <c r="T131" s="26">
        <f>IF(S131="","",IF(S131&gt;=12,"Alto",IF(S131&gt;=6,"Medio","Bajo")))</f>
        <v/>
      </c>
      <c r="U131" s="23" t="n"/>
    </row>
    <row r="132">
      <c r="A132" s="21" t="n"/>
      <c r="B132" s="22" t="n"/>
      <c r="C132" s="22" t="n"/>
      <c r="D132" s="22" t="n"/>
      <c r="E132" s="22" t="n"/>
      <c r="F132" s="23" t="n"/>
      <c r="G132" s="23" t="n"/>
      <c r="H132" s="23" t="n"/>
      <c r="I132" s="24" t="n"/>
      <c r="J132" s="24" t="n"/>
      <c r="K132" s="25">
        <f>IF(OR(I132="",J132=""),"",I132*J132)</f>
        <v/>
      </c>
      <c r="L132" s="26">
        <f>IF(K132="","",IF(K132&gt;=12,"Alto",IF(K132&gt;=6,"Medio","Bajo")))</f>
        <v/>
      </c>
      <c r="M132" s="23" t="n"/>
      <c r="N132" s="22" t="n"/>
      <c r="O132" s="27" t="n"/>
      <c r="P132" s="22" t="n"/>
      <c r="Q132" s="24" t="n"/>
      <c r="R132" s="24" t="n"/>
      <c r="S132" s="25">
        <f>IF(OR(Q132="",R132=""),"",Q132*R132)</f>
        <v/>
      </c>
      <c r="T132" s="26">
        <f>IF(S132="","",IF(S132&gt;=12,"Alto",IF(S132&gt;=6,"Medio","Bajo")))</f>
        <v/>
      </c>
      <c r="U132" s="23" t="n"/>
    </row>
    <row r="133">
      <c r="A133" s="21" t="n"/>
      <c r="B133" s="22" t="n"/>
      <c r="C133" s="22" t="n"/>
      <c r="D133" s="22" t="n"/>
      <c r="E133" s="22" t="n"/>
      <c r="F133" s="23" t="n"/>
      <c r="G133" s="23" t="n"/>
      <c r="H133" s="23" t="n"/>
      <c r="I133" s="24" t="n"/>
      <c r="J133" s="24" t="n"/>
      <c r="K133" s="25">
        <f>IF(OR(I133="",J133=""),"",I133*J133)</f>
        <v/>
      </c>
      <c r="L133" s="26">
        <f>IF(K133="","",IF(K133&gt;=12,"Alto",IF(K133&gt;=6,"Medio","Bajo")))</f>
        <v/>
      </c>
      <c r="M133" s="23" t="n"/>
      <c r="N133" s="22" t="n"/>
      <c r="O133" s="27" t="n"/>
      <c r="P133" s="22" t="n"/>
      <c r="Q133" s="24" t="n"/>
      <c r="R133" s="24" t="n"/>
      <c r="S133" s="25">
        <f>IF(OR(Q133="",R133=""),"",Q133*R133)</f>
        <v/>
      </c>
      <c r="T133" s="26">
        <f>IF(S133="","",IF(S133&gt;=12,"Alto",IF(S133&gt;=6,"Medio","Bajo")))</f>
        <v/>
      </c>
      <c r="U133" s="23" t="n"/>
    </row>
    <row r="134">
      <c r="A134" s="21" t="n"/>
      <c r="B134" s="22" t="n"/>
      <c r="C134" s="22" t="n"/>
      <c r="D134" s="22" t="n"/>
      <c r="E134" s="22" t="n"/>
      <c r="F134" s="23" t="n"/>
      <c r="G134" s="23" t="n"/>
      <c r="H134" s="23" t="n"/>
      <c r="I134" s="24" t="n"/>
      <c r="J134" s="24" t="n"/>
      <c r="K134" s="25">
        <f>IF(OR(I134="",J134=""),"",I134*J134)</f>
        <v/>
      </c>
      <c r="L134" s="26">
        <f>IF(K134="","",IF(K134&gt;=12,"Alto",IF(K134&gt;=6,"Medio","Bajo")))</f>
        <v/>
      </c>
      <c r="M134" s="23" t="n"/>
      <c r="N134" s="22" t="n"/>
      <c r="O134" s="27" t="n"/>
      <c r="P134" s="22" t="n"/>
      <c r="Q134" s="24" t="n"/>
      <c r="R134" s="24" t="n"/>
      <c r="S134" s="25">
        <f>IF(OR(Q134="",R134=""),"",Q134*R134)</f>
        <v/>
      </c>
      <c r="T134" s="26">
        <f>IF(S134="","",IF(S134&gt;=12,"Alto",IF(S134&gt;=6,"Medio","Bajo")))</f>
        <v/>
      </c>
      <c r="U134" s="23" t="n"/>
    </row>
    <row r="135">
      <c r="A135" s="21" t="n"/>
      <c r="B135" s="22" t="n"/>
      <c r="C135" s="22" t="n"/>
      <c r="D135" s="22" t="n"/>
      <c r="E135" s="22" t="n"/>
      <c r="F135" s="23" t="n"/>
      <c r="G135" s="23" t="n"/>
      <c r="H135" s="23" t="n"/>
      <c r="I135" s="24" t="n"/>
      <c r="J135" s="24" t="n"/>
      <c r="K135" s="25">
        <f>IF(OR(I135="",J135=""),"",I135*J135)</f>
        <v/>
      </c>
      <c r="L135" s="26">
        <f>IF(K135="","",IF(K135&gt;=12,"Alto",IF(K135&gt;=6,"Medio","Bajo")))</f>
        <v/>
      </c>
      <c r="M135" s="23" t="n"/>
      <c r="N135" s="22" t="n"/>
      <c r="O135" s="27" t="n"/>
      <c r="P135" s="22" t="n"/>
      <c r="Q135" s="24" t="n"/>
      <c r="R135" s="24" t="n"/>
      <c r="S135" s="25">
        <f>IF(OR(Q135="",R135=""),"",Q135*R135)</f>
        <v/>
      </c>
      <c r="T135" s="26">
        <f>IF(S135="","",IF(S135&gt;=12,"Alto",IF(S135&gt;=6,"Medio","Bajo")))</f>
        <v/>
      </c>
      <c r="U135" s="23" t="n"/>
    </row>
    <row r="136">
      <c r="A136" s="21" t="n"/>
      <c r="B136" s="22" t="n"/>
      <c r="C136" s="22" t="n"/>
      <c r="D136" s="22" t="n"/>
      <c r="E136" s="22" t="n"/>
      <c r="F136" s="23" t="n"/>
      <c r="G136" s="23" t="n"/>
      <c r="H136" s="23" t="n"/>
      <c r="I136" s="24" t="n"/>
      <c r="J136" s="24" t="n"/>
      <c r="K136" s="25">
        <f>IF(OR(I136="",J136=""),"",I136*J136)</f>
        <v/>
      </c>
      <c r="L136" s="26">
        <f>IF(K136="","",IF(K136&gt;=12,"Alto",IF(K136&gt;=6,"Medio","Bajo")))</f>
        <v/>
      </c>
      <c r="M136" s="23" t="n"/>
      <c r="N136" s="22" t="n"/>
      <c r="O136" s="27" t="n"/>
      <c r="P136" s="22" t="n"/>
      <c r="Q136" s="24" t="n"/>
      <c r="R136" s="24" t="n"/>
      <c r="S136" s="25">
        <f>IF(OR(Q136="",R136=""),"",Q136*R136)</f>
        <v/>
      </c>
      <c r="T136" s="26">
        <f>IF(S136="","",IF(S136&gt;=12,"Alto",IF(S136&gt;=6,"Medio","Bajo")))</f>
        <v/>
      </c>
      <c r="U136" s="23" t="n"/>
    </row>
    <row r="137">
      <c r="A137" s="21" t="n"/>
      <c r="B137" s="22" t="n"/>
      <c r="C137" s="22" t="n"/>
      <c r="D137" s="22" t="n"/>
      <c r="E137" s="22" t="n"/>
      <c r="F137" s="23" t="n"/>
      <c r="G137" s="23" t="n"/>
      <c r="H137" s="23" t="n"/>
      <c r="I137" s="24" t="n"/>
      <c r="J137" s="24" t="n"/>
      <c r="K137" s="25">
        <f>IF(OR(I137="",J137=""),"",I137*J137)</f>
        <v/>
      </c>
      <c r="L137" s="26">
        <f>IF(K137="","",IF(K137&gt;=12,"Alto",IF(K137&gt;=6,"Medio","Bajo")))</f>
        <v/>
      </c>
      <c r="M137" s="23" t="n"/>
      <c r="N137" s="22" t="n"/>
      <c r="O137" s="27" t="n"/>
      <c r="P137" s="22" t="n"/>
      <c r="Q137" s="24" t="n"/>
      <c r="R137" s="24" t="n"/>
      <c r="S137" s="25">
        <f>IF(OR(Q137="",R137=""),"",Q137*R137)</f>
        <v/>
      </c>
      <c r="T137" s="26">
        <f>IF(S137="","",IF(S137&gt;=12,"Alto",IF(S137&gt;=6,"Medio","Bajo")))</f>
        <v/>
      </c>
      <c r="U137" s="23" t="n"/>
    </row>
    <row r="138">
      <c r="A138" s="21" t="n"/>
      <c r="B138" s="22" t="n"/>
      <c r="C138" s="22" t="n"/>
      <c r="D138" s="22" t="n"/>
      <c r="E138" s="22" t="n"/>
      <c r="F138" s="23" t="n"/>
      <c r="G138" s="23" t="n"/>
      <c r="H138" s="23" t="n"/>
      <c r="I138" s="24" t="n"/>
      <c r="J138" s="24" t="n"/>
      <c r="K138" s="25">
        <f>IF(OR(I138="",J138=""),"",I138*J138)</f>
        <v/>
      </c>
      <c r="L138" s="26">
        <f>IF(K138="","",IF(K138&gt;=12,"Alto",IF(K138&gt;=6,"Medio","Bajo")))</f>
        <v/>
      </c>
      <c r="M138" s="23" t="n"/>
      <c r="N138" s="22" t="n"/>
      <c r="O138" s="27" t="n"/>
      <c r="P138" s="22" t="n"/>
      <c r="Q138" s="24" t="n"/>
      <c r="R138" s="24" t="n"/>
      <c r="S138" s="25">
        <f>IF(OR(Q138="",R138=""),"",Q138*R138)</f>
        <v/>
      </c>
      <c r="T138" s="26">
        <f>IF(S138="","",IF(S138&gt;=12,"Alto",IF(S138&gt;=6,"Medio","Bajo")))</f>
        <v/>
      </c>
      <c r="U138" s="23" t="n"/>
    </row>
    <row r="139">
      <c r="A139" s="21" t="n"/>
      <c r="B139" s="22" t="n"/>
      <c r="C139" s="22" t="n"/>
      <c r="D139" s="22" t="n"/>
      <c r="E139" s="22" t="n"/>
      <c r="F139" s="23" t="n"/>
      <c r="G139" s="23" t="n"/>
      <c r="H139" s="23" t="n"/>
      <c r="I139" s="24" t="n"/>
      <c r="J139" s="24" t="n"/>
      <c r="K139" s="25">
        <f>IF(OR(I139="",J139=""),"",I139*J139)</f>
        <v/>
      </c>
      <c r="L139" s="26">
        <f>IF(K139="","",IF(K139&gt;=12,"Alto",IF(K139&gt;=6,"Medio","Bajo")))</f>
        <v/>
      </c>
      <c r="M139" s="23" t="n"/>
      <c r="N139" s="22" t="n"/>
      <c r="O139" s="27" t="n"/>
      <c r="P139" s="22" t="n"/>
      <c r="Q139" s="24" t="n"/>
      <c r="R139" s="24" t="n"/>
      <c r="S139" s="25">
        <f>IF(OR(Q139="",R139=""),"",Q139*R139)</f>
        <v/>
      </c>
      <c r="T139" s="26">
        <f>IF(S139="","",IF(S139&gt;=12,"Alto",IF(S139&gt;=6,"Medio","Bajo")))</f>
        <v/>
      </c>
      <c r="U139" s="23" t="n"/>
    </row>
    <row r="140">
      <c r="A140" s="21" t="n"/>
      <c r="B140" s="22" t="n"/>
      <c r="C140" s="22" t="n"/>
      <c r="D140" s="22" t="n"/>
      <c r="E140" s="22" t="n"/>
      <c r="F140" s="23" t="n"/>
      <c r="G140" s="23" t="n"/>
      <c r="H140" s="23" t="n"/>
      <c r="I140" s="24" t="n"/>
      <c r="J140" s="24" t="n"/>
      <c r="K140" s="25">
        <f>IF(OR(I140="",J140=""),"",I140*J140)</f>
        <v/>
      </c>
      <c r="L140" s="26">
        <f>IF(K140="","",IF(K140&gt;=12,"Alto",IF(K140&gt;=6,"Medio","Bajo")))</f>
        <v/>
      </c>
      <c r="M140" s="23" t="n"/>
      <c r="N140" s="22" t="n"/>
      <c r="O140" s="27" t="n"/>
      <c r="P140" s="22" t="n"/>
      <c r="Q140" s="24" t="n"/>
      <c r="R140" s="24" t="n"/>
      <c r="S140" s="25">
        <f>IF(OR(Q140="",R140=""),"",Q140*R140)</f>
        <v/>
      </c>
      <c r="T140" s="26">
        <f>IF(S140="","",IF(S140&gt;=12,"Alto",IF(S140&gt;=6,"Medio","Bajo")))</f>
        <v/>
      </c>
      <c r="U140" s="23" t="n"/>
    </row>
    <row r="141">
      <c r="A141" s="21" t="n"/>
      <c r="B141" s="22" t="n"/>
      <c r="C141" s="22" t="n"/>
      <c r="D141" s="22" t="n"/>
      <c r="E141" s="22" t="n"/>
      <c r="F141" s="23" t="n"/>
      <c r="G141" s="23" t="n"/>
      <c r="H141" s="23" t="n"/>
      <c r="I141" s="24" t="n"/>
      <c r="J141" s="24" t="n"/>
      <c r="K141" s="25">
        <f>IF(OR(I141="",J141=""),"",I141*J141)</f>
        <v/>
      </c>
      <c r="L141" s="26">
        <f>IF(K141="","",IF(K141&gt;=12,"Alto",IF(K141&gt;=6,"Medio","Bajo")))</f>
        <v/>
      </c>
      <c r="M141" s="23" t="n"/>
      <c r="N141" s="22" t="n"/>
      <c r="O141" s="27" t="n"/>
      <c r="P141" s="22" t="n"/>
      <c r="Q141" s="24" t="n"/>
      <c r="R141" s="24" t="n"/>
      <c r="S141" s="25">
        <f>IF(OR(Q141="",R141=""),"",Q141*R141)</f>
        <v/>
      </c>
      <c r="T141" s="26">
        <f>IF(S141="","",IF(S141&gt;=12,"Alto",IF(S141&gt;=6,"Medio","Bajo")))</f>
        <v/>
      </c>
      <c r="U141" s="23" t="n"/>
    </row>
    <row r="142">
      <c r="A142" s="21" t="n"/>
      <c r="B142" s="22" t="n"/>
      <c r="C142" s="22" t="n"/>
      <c r="D142" s="22" t="n"/>
      <c r="E142" s="22" t="n"/>
      <c r="F142" s="23" t="n"/>
      <c r="G142" s="23" t="n"/>
      <c r="H142" s="23" t="n"/>
      <c r="I142" s="24" t="n"/>
      <c r="J142" s="24" t="n"/>
      <c r="K142" s="25">
        <f>IF(OR(I142="",J142=""),"",I142*J142)</f>
        <v/>
      </c>
      <c r="L142" s="26">
        <f>IF(K142="","",IF(K142&gt;=12,"Alto",IF(K142&gt;=6,"Medio","Bajo")))</f>
        <v/>
      </c>
      <c r="M142" s="23" t="n"/>
      <c r="N142" s="22" t="n"/>
      <c r="O142" s="27" t="n"/>
      <c r="P142" s="22" t="n"/>
      <c r="Q142" s="24" t="n"/>
      <c r="R142" s="24" t="n"/>
      <c r="S142" s="25">
        <f>IF(OR(Q142="",R142=""),"",Q142*R142)</f>
        <v/>
      </c>
      <c r="T142" s="26">
        <f>IF(S142="","",IF(S142&gt;=12,"Alto",IF(S142&gt;=6,"Medio","Bajo")))</f>
        <v/>
      </c>
      <c r="U142" s="23" t="n"/>
    </row>
    <row r="143">
      <c r="A143" s="21" t="n"/>
      <c r="B143" s="22" t="n"/>
      <c r="C143" s="22" t="n"/>
      <c r="D143" s="22" t="n"/>
      <c r="E143" s="22" t="n"/>
      <c r="F143" s="23" t="n"/>
      <c r="G143" s="23" t="n"/>
      <c r="H143" s="23" t="n"/>
      <c r="I143" s="24" t="n"/>
      <c r="J143" s="24" t="n"/>
      <c r="K143" s="25">
        <f>IF(OR(I143="",J143=""),"",I143*J143)</f>
        <v/>
      </c>
      <c r="L143" s="26">
        <f>IF(K143="","",IF(K143&gt;=12,"Alto",IF(K143&gt;=6,"Medio","Bajo")))</f>
        <v/>
      </c>
      <c r="M143" s="23" t="n"/>
      <c r="N143" s="22" t="n"/>
      <c r="O143" s="27" t="n"/>
      <c r="P143" s="22" t="n"/>
      <c r="Q143" s="24" t="n"/>
      <c r="R143" s="24" t="n"/>
      <c r="S143" s="25">
        <f>IF(OR(Q143="",R143=""),"",Q143*R143)</f>
        <v/>
      </c>
      <c r="T143" s="26">
        <f>IF(S143="","",IF(S143&gt;=12,"Alto",IF(S143&gt;=6,"Medio","Bajo")))</f>
        <v/>
      </c>
      <c r="U143" s="23" t="n"/>
    </row>
    <row r="144">
      <c r="A144" s="21" t="n"/>
      <c r="B144" s="22" t="n"/>
      <c r="C144" s="22" t="n"/>
      <c r="D144" s="22" t="n"/>
      <c r="E144" s="22" t="n"/>
      <c r="F144" s="23" t="n"/>
      <c r="G144" s="23" t="n"/>
      <c r="H144" s="23" t="n"/>
      <c r="I144" s="24" t="n"/>
      <c r="J144" s="24" t="n"/>
      <c r="K144" s="25">
        <f>IF(OR(I144="",J144=""),"",I144*J144)</f>
        <v/>
      </c>
      <c r="L144" s="26">
        <f>IF(K144="","",IF(K144&gt;=12,"Alto",IF(K144&gt;=6,"Medio","Bajo")))</f>
        <v/>
      </c>
      <c r="M144" s="23" t="n"/>
      <c r="N144" s="22" t="n"/>
      <c r="O144" s="27" t="n"/>
      <c r="P144" s="22" t="n"/>
      <c r="Q144" s="24" t="n"/>
      <c r="R144" s="24" t="n"/>
      <c r="S144" s="25">
        <f>IF(OR(Q144="",R144=""),"",Q144*R144)</f>
        <v/>
      </c>
      <c r="T144" s="26">
        <f>IF(S144="","",IF(S144&gt;=12,"Alto",IF(S144&gt;=6,"Medio","Bajo")))</f>
        <v/>
      </c>
      <c r="U144" s="23" t="n"/>
    </row>
    <row r="145">
      <c r="A145" s="21" t="n"/>
      <c r="B145" s="22" t="n"/>
      <c r="C145" s="22" t="n"/>
      <c r="D145" s="22" t="n"/>
      <c r="E145" s="22" t="n"/>
      <c r="F145" s="23" t="n"/>
      <c r="G145" s="23" t="n"/>
      <c r="H145" s="23" t="n"/>
      <c r="I145" s="24" t="n"/>
      <c r="J145" s="24" t="n"/>
      <c r="K145" s="25">
        <f>IF(OR(I145="",J145=""),"",I145*J145)</f>
        <v/>
      </c>
      <c r="L145" s="26">
        <f>IF(K145="","",IF(K145&gt;=12,"Alto",IF(K145&gt;=6,"Medio","Bajo")))</f>
        <v/>
      </c>
      <c r="M145" s="23" t="n"/>
      <c r="N145" s="22" t="n"/>
      <c r="O145" s="27" t="n"/>
      <c r="P145" s="22" t="n"/>
      <c r="Q145" s="24" t="n"/>
      <c r="R145" s="24" t="n"/>
      <c r="S145" s="25">
        <f>IF(OR(Q145="",R145=""),"",Q145*R145)</f>
        <v/>
      </c>
      <c r="T145" s="26">
        <f>IF(S145="","",IF(S145&gt;=12,"Alto",IF(S145&gt;=6,"Medio","Bajo")))</f>
        <v/>
      </c>
      <c r="U145" s="23" t="n"/>
    </row>
    <row r="146">
      <c r="A146" s="21" t="n"/>
      <c r="B146" s="22" t="n"/>
      <c r="C146" s="22" t="n"/>
      <c r="D146" s="22" t="n"/>
      <c r="E146" s="22" t="n"/>
      <c r="F146" s="23" t="n"/>
      <c r="G146" s="23" t="n"/>
      <c r="H146" s="23" t="n"/>
      <c r="I146" s="24" t="n"/>
      <c r="J146" s="24" t="n"/>
      <c r="K146" s="25">
        <f>IF(OR(I146="",J146=""),"",I146*J146)</f>
        <v/>
      </c>
      <c r="L146" s="26">
        <f>IF(K146="","",IF(K146&gt;=12,"Alto",IF(K146&gt;=6,"Medio","Bajo")))</f>
        <v/>
      </c>
      <c r="M146" s="23" t="n"/>
      <c r="N146" s="22" t="n"/>
      <c r="O146" s="27" t="n"/>
      <c r="P146" s="22" t="n"/>
      <c r="Q146" s="24" t="n"/>
      <c r="R146" s="24" t="n"/>
      <c r="S146" s="25">
        <f>IF(OR(Q146="",R146=""),"",Q146*R146)</f>
        <v/>
      </c>
      <c r="T146" s="26">
        <f>IF(S146="","",IF(S146&gt;=12,"Alto",IF(S146&gt;=6,"Medio","Bajo")))</f>
        <v/>
      </c>
      <c r="U146" s="23" t="n"/>
    </row>
    <row r="147">
      <c r="A147" s="21" t="n"/>
      <c r="B147" s="22" t="n"/>
      <c r="C147" s="22" t="n"/>
      <c r="D147" s="22" t="n"/>
      <c r="E147" s="22" t="n"/>
      <c r="F147" s="23" t="n"/>
      <c r="G147" s="23" t="n"/>
      <c r="H147" s="23" t="n"/>
      <c r="I147" s="24" t="n"/>
      <c r="J147" s="24" t="n"/>
      <c r="K147" s="25">
        <f>IF(OR(I147="",J147=""),"",I147*J147)</f>
        <v/>
      </c>
      <c r="L147" s="26">
        <f>IF(K147="","",IF(K147&gt;=12,"Alto",IF(K147&gt;=6,"Medio","Bajo")))</f>
        <v/>
      </c>
      <c r="M147" s="23" t="n"/>
      <c r="N147" s="22" t="n"/>
      <c r="O147" s="27" t="n"/>
      <c r="P147" s="22" t="n"/>
      <c r="Q147" s="24" t="n"/>
      <c r="R147" s="24" t="n"/>
      <c r="S147" s="25">
        <f>IF(OR(Q147="",R147=""),"",Q147*R147)</f>
        <v/>
      </c>
      <c r="T147" s="26">
        <f>IF(S147="","",IF(S147&gt;=12,"Alto",IF(S147&gt;=6,"Medio","Bajo")))</f>
        <v/>
      </c>
      <c r="U147" s="23" t="n"/>
    </row>
    <row r="148">
      <c r="A148" s="21" t="n"/>
      <c r="B148" s="22" t="n"/>
      <c r="C148" s="22" t="n"/>
      <c r="D148" s="22" t="n"/>
      <c r="E148" s="22" t="n"/>
      <c r="F148" s="23" t="n"/>
      <c r="G148" s="23" t="n"/>
      <c r="H148" s="23" t="n"/>
      <c r="I148" s="24" t="n"/>
      <c r="J148" s="24" t="n"/>
      <c r="K148" s="25">
        <f>IF(OR(I148="",J148=""),"",I148*J148)</f>
        <v/>
      </c>
      <c r="L148" s="26">
        <f>IF(K148="","",IF(K148&gt;=12,"Alto",IF(K148&gt;=6,"Medio","Bajo")))</f>
        <v/>
      </c>
      <c r="M148" s="23" t="n"/>
      <c r="N148" s="22" t="n"/>
      <c r="O148" s="27" t="n"/>
      <c r="P148" s="22" t="n"/>
      <c r="Q148" s="24" t="n"/>
      <c r="R148" s="24" t="n"/>
      <c r="S148" s="25">
        <f>IF(OR(Q148="",R148=""),"",Q148*R148)</f>
        <v/>
      </c>
      <c r="T148" s="26">
        <f>IF(S148="","",IF(S148&gt;=12,"Alto",IF(S148&gt;=6,"Medio","Bajo")))</f>
        <v/>
      </c>
      <c r="U148" s="23" t="n"/>
    </row>
    <row r="149">
      <c r="A149" s="21" t="n"/>
      <c r="B149" s="22" t="n"/>
      <c r="C149" s="22" t="n"/>
      <c r="D149" s="22" t="n"/>
      <c r="E149" s="22" t="n"/>
      <c r="F149" s="23" t="n"/>
      <c r="G149" s="23" t="n"/>
      <c r="H149" s="23" t="n"/>
      <c r="I149" s="24" t="n"/>
      <c r="J149" s="24" t="n"/>
      <c r="K149" s="25">
        <f>IF(OR(I149="",J149=""),"",I149*J149)</f>
        <v/>
      </c>
      <c r="L149" s="26">
        <f>IF(K149="","",IF(K149&gt;=12,"Alto",IF(K149&gt;=6,"Medio","Bajo")))</f>
        <v/>
      </c>
      <c r="M149" s="23" t="n"/>
      <c r="N149" s="22" t="n"/>
      <c r="O149" s="27" t="n"/>
      <c r="P149" s="22" t="n"/>
      <c r="Q149" s="24" t="n"/>
      <c r="R149" s="24" t="n"/>
      <c r="S149" s="25">
        <f>IF(OR(Q149="",R149=""),"",Q149*R149)</f>
        <v/>
      </c>
      <c r="T149" s="26">
        <f>IF(S149="","",IF(S149&gt;=12,"Alto",IF(S149&gt;=6,"Medio","Bajo")))</f>
        <v/>
      </c>
      <c r="U149" s="23" t="n"/>
    </row>
    <row r="150">
      <c r="A150" s="21" t="n"/>
      <c r="B150" s="22" t="n"/>
      <c r="C150" s="22" t="n"/>
      <c r="D150" s="22" t="n"/>
      <c r="E150" s="22" t="n"/>
      <c r="F150" s="23" t="n"/>
      <c r="G150" s="23" t="n"/>
      <c r="H150" s="23" t="n"/>
      <c r="I150" s="24" t="n"/>
      <c r="J150" s="24" t="n"/>
      <c r="K150" s="25">
        <f>IF(OR(I150="",J150=""),"",I150*J150)</f>
        <v/>
      </c>
      <c r="L150" s="26">
        <f>IF(K150="","",IF(K150&gt;=12,"Alto",IF(K150&gt;=6,"Medio","Bajo")))</f>
        <v/>
      </c>
      <c r="M150" s="23" t="n"/>
      <c r="N150" s="22" t="n"/>
      <c r="O150" s="27" t="n"/>
      <c r="P150" s="22" t="n"/>
      <c r="Q150" s="24" t="n"/>
      <c r="R150" s="24" t="n"/>
      <c r="S150" s="25">
        <f>IF(OR(Q150="",R150=""),"",Q150*R150)</f>
        <v/>
      </c>
      <c r="T150" s="26">
        <f>IF(S150="","",IF(S150&gt;=12,"Alto",IF(S150&gt;=6,"Medio","Bajo")))</f>
        <v/>
      </c>
      <c r="U150" s="23" t="n"/>
    </row>
    <row r="151">
      <c r="A151" s="21" t="n"/>
      <c r="B151" s="22" t="n"/>
      <c r="C151" s="22" t="n"/>
      <c r="D151" s="22" t="n"/>
      <c r="E151" s="22" t="n"/>
      <c r="F151" s="23" t="n"/>
      <c r="G151" s="23" t="n"/>
      <c r="H151" s="23" t="n"/>
      <c r="I151" s="24" t="n"/>
      <c r="J151" s="24" t="n"/>
      <c r="K151" s="25">
        <f>IF(OR(I151="",J151=""),"",I151*J151)</f>
        <v/>
      </c>
      <c r="L151" s="26">
        <f>IF(K151="","",IF(K151&gt;=12,"Alto",IF(K151&gt;=6,"Medio","Bajo")))</f>
        <v/>
      </c>
      <c r="M151" s="23" t="n"/>
      <c r="N151" s="22" t="n"/>
      <c r="O151" s="27" t="n"/>
      <c r="P151" s="22" t="n"/>
      <c r="Q151" s="24" t="n"/>
      <c r="R151" s="24" t="n"/>
      <c r="S151" s="25">
        <f>IF(OR(Q151="",R151=""),"",Q151*R151)</f>
        <v/>
      </c>
      <c r="T151" s="26">
        <f>IF(S151="","",IF(S151&gt;=12,"Alto",IF(S151&gt;=6,"Medio","Bajo")))</f>
        <v/>
      </c>
      <c r="U151" s="23" t="n"/>
    </row>
    <row r="152">
      <c r="A152" s="21" t="n"/>
      <c r="B152" s="22" t="n"/>
      <c r="C152" s="22" t="n"/>
      <c r="D152" s="22" t="n"/>
      <c r="E152" s="22" t="n"/>
      <c r="F152" s="23" t="n"/>
      <c r="G152" s="23" t="n"/>
      <c r="H152" s="23" t="n"/>
      <c r="I152" s="24" t="n"/>
      <c r="J152" s="24" t="n"/>
      <c r="K152" s="25">
        <f>IF(OR(I152="",J152=""),"",I152*J152)</f>
        <v/>
      </c>
      <c r="L152" s="26">
        <f>IF(K152="","",IF(K152&gt;=12,"Alto",IF(K152&gt;=6,"Medio","Bajo")))</f>
        <v/>
      </c>
      <c r="M152" s="23" t="n"/>
      <c r="N152" s="22" t="n"/>
      <c r="O152" s="27" t="n"/>
      <c r="P152" s="22" t="n"/>
      <c r="Q152" s="24" t="n"/>
      <c r="R152" s="24" t="n"/>
      <c r="S152" s="25">
        <f>IF(OR(Q152="",R152=""),"",Q152*R152)</f>
        <v/>
      </c>
      <c r="T152" s="26">
        <f>IF(S152="","",IF(S152&gt;=12,"Alto",IF(S152&gt;=6,"Medio","Bajo")))</f>
        <v/>
      </c>
      <c r="U152" s="23" t="n"/>
    </row>
    <row r="153">
      <c r="A153" s="21" t="n"/>
      <c r="B153" s="22" t="n"/>
      <c r="C153" s="22" t="n"/>
      <c r="D153" s="22" t="n"/>
      <c r="E153" s="22" t="n"/>
      <c r="F153" s="23" t="n"/>
      <c r="G153" s="23" t="n"/>
      <c r="H153" s="23" t="n"/>
      <c r="I153" s="24" t="n"/>
      <c r="J153" s="24" t="n"/>
      <c r="K153" s="25">
        <f>IF(OR(I153="",J153=""),"",I153*J153)</f>
        <v/>
      </c>
      <c r="L153" s="26">
        <f>IF(K153="","",IF(K153&gt;=12,"Alto",IF(K153&gt;=6,"Medio","Bajo")))</f>
        <v/>
      </c>
      <c r="M153" s="23" t="n"/>
      <c r="N153" s="22" t="n"/>
      <c r="O153" s="27" t="n"/>
      <c r="P153" s="22" t="n"/>
      <c r="Q153" s="24" t="n"/>
      <c r="R153" s="24" t="n"/>
      <c r="S153" s="25">
        <f>IF(OR(Q153="",R153=""),"",Q153*R153)</f>
        <v/>
      </c>
      <c r="T153" s="26">
        <f>IF(S153="","",IF(S153&gt;=12,"Alto",IF(S153&gt;=6,"Medio","Bajo")))</f>
        <v/>
      </c>
      <c r="U153" s="23" t="n"/>
    </row>
    <row r="154">
      <c r="A154" s="21" t="n"/>
      <c r="B154" s="22" t="n"/>
      <c r="C154" s="22" t="n"/>
      <c r="D154" s="22" t="n"/>
      <c r="E154" s="22" t="n"/>
      <c r="F154" s="23" t="n"/>
      <c r="G154" s="23" t="n"/>
      <c r="H154" s="23" t="n"/>
      <c r="I154" s="24" t="n"/>
      <c r="J154" s="24" t="n"/>
      <c r="K154" s="25">
        <f>IF(OR(I154="",J154=""),"",I154*J154)</f>
        <v/>
      </c>
      <c r="L154" s="26">
        <f>IF(K154="","",IF(K154&gt;=12,"Alto",IF(K154&gt;=6,"Medio","Bajo")))</f>
        <v/>
      </c>
      <c r="M154" s="23" t="n"/>
      <c r="N154" s="22" t="n"/>
      <c r="O154" s="27" t="n"/>
      <c r="P154" s="22" t="n"/>
      <c r="Q154" s="24" t="n"/>
      <c r="R154" s="24" t="n"/>
      <c r="S154" s="25">
        <f>IF(OR(Q154="",R154=""),"",Q154*R154)</f>
        <v/>
      </c>
      <c r="T154" s="26">
        <f>IF(S154="","",IF(S154&gt;=12,"Alto",IF(S154&gt;=6,"Medio","Bajo")))</f>
        <v/>
      </c>
      <c r="U154" s="23" t="n"/>
    </row>
    <row r="155">
      <c r="A155" s="21" t="n"/>
      <c r="B155" s="22" t="n"/>
      <c r="C155" s="22" t="n"/>
      <c r="D155" s="22" t="n"/>
      <c r="E155" s="22" t="n"/>
      <c r="F155" s="23" t="n"/>
      <c r="G155" s="23" t="n"/>
      <c r="H155" s="23" t="n"/>
      <c r="I155" s="24" t="n"/>
      <c r="J155" s="24" t="n"/>
      <c r="K155" s="25">
        <f>IF(OR(I155="",J155=""),"",I155*J155)</f>
        <v/>
      </c>
      <c r="L155" s="26">
        <f>IF(K155="","",IF(K155&gt;=12,"Alto",IF(K155&gt;=6,"Medio","Bajo")))</f>
        <v/>
      </c>
      <c r="M155" s="23" t="n"/>
      <c r="N155" s="22" t="n"/>
      <c r="O155" s="27" t="n"/>
      <c r="P155" s="22" t="n"/>
      <c r="Q155" s="24" t="n"/>
      <c r="R155" s="24" t="n"/>
      <c r="S155" s="25">
        <f>IF(OR(Q155="",R155=""),"",Q155*R155)</f>
        <v/>
      </c>
      <c r="T155" s="26">
        <f>IF(S155="","",IF(S155&gt;=12,"Alto",IF(S155&gt;=6,"Medio","Bajo")))</f>
        <v/>
      </c>
      <c r="U155" s="23" t="n"/>
    </row>
  </sheetData>
  <autoFilter ref="A5:U155"/>
  <conditionalFormatting sqref="L6:L155">
    <cfRule type="expression" priority="1" dxfId="0" stopIfTrue="1">
      <formula>L6="Alto"</formula>
    </cfRule>
    <cfRule type="expression" priority="2" dxfId="1" stopIfTrue="1">
      <formula>L6="Medio"</formula>
    </cfRule>
    <cfRule type="expression" priority="3" dxfId="2" stopIfTrue="1">
      <formula>L6="Bajo"</formula>
    </cfRule>
  </conditionalFormatting>
  <conditionalFormatting sqref="T6:T155">
    <cfRule type="expression" priority="4" dxfId="0" stopIfTrue="1">
      <formula>T6="Alto"</formula>
    </cfRule>
    <cfRule type="expression" priority="5" dxfId="1" stopIfTrue="1">
      <formula>T6="Medio"</formula>
    </cfRule>
    <cfRule type="expression" priority="6" dxfId="2" stopIfTrue="1">
      <formula>T6="Bajo"</formula>
    </cfRule>
  </conditionalFormatting>
  <conditionalFormatting sqref="P6:P155">
    <cfRule type="expression" priority="7" dxfId="0" stopIfTrue="1">
      <formula>$P6="Materializado"</formula>
    </cfRule>
  </conditionalFormatting>
  <dataValidations count="9">
    <dataValidation sqref="C6:C155" showDropDown="0" showInputMessage="0" showErrorMessage="1" allowBlank="1" errorTitle="Valor no válido" error="Seleccione un valor de la lista." prompt="Seleccione fase del proyecto" type="list">
      <formula1>=FasesExt</formula1>
    </dataValidation>
    <dataValidation sqref="D6:D155" showDropDown="0" showInputMessage="0" showErrorMessage="1" allowBlank="1" errorTitle="Valor no válido" error="Seleccione un valor de la lista." prompt="Seleccione etapa del ciclo de vida" type="list">
      <formula1>=Etapas</formula1>
    </dataValidation>
    <dataValidation sqref="E6:E155" showDropDown="0" showInputMessage="0" showErrorMessage="1" allowBlank="1" errorTitle="Valor no válido" error="Seleccione un valor de la lista." prompt="Seleccione categoría" type="list">
      <formula1>=CategoriasRiesgo</formula1>
    </dataValidation>
    <dataValidation sqref="I6:I155" showDropDown="0" showInputMessage="0" showErrorMessage="1" allowBlank="1" errorTitle="Valor no válido" error="Seleccione un valor de la lista." prompt="Seleccione probabilidad (1-5)" type="list">
      <formula1>=Niveles</formula1>
    </dataValidation>
    <dataValidation sqref="J6:J155" showDropDown="0" showInputMessage="0" showErrorMessage="1" allowBlank="1" errorTitle="Valor no válido" error="Seleccione un valor de la lista." prompt="Seleccione impacto (1-5)" type="list">
      <formula1>=Niveles</formula1>
    </dataValidation>
    <dataValidation sqref="N6:N155" showDropDown="0" showInputMessage="0" showErrorMessage="1" allowBlank="1" errorTitle="Valor no válido" error="Seleccione un valor de la lista." prompt="Seleccione responsable (rol)" type="list">
      <formula1>=Roles</formula1>
    </dataValidation>
    <dataValidation sqref="P6:P155" showDropDown="0" showInputMessage="0" showErrorMessage="1" allowBlank="1" errorTitle="Valor no válido" error="Seleccione un valor de la lista." prompt="Seleccione estado" type="list">
      <formula1>=EstadosRiesgo</formula1>
    </dataValidation>
    <dataValidation sqref="Q6:Q155" showDropDown="0" showInputMessage="0" showErrorMessage="1" allowBlank="1" errorTitle="Valor no válido" error="Seleccione un valor de la lista." prompt="Seleccione p residual" type="list">
      <formula1>=Niveles</formula1>
    </dataValidation>
    <dataValidation sqref="R6:R155" showDropDown="0" showInputMessage="0" showErrorMessage="1" allowBlank="1" errorTitle="Valor no válido" error="Seleccione un valor de la lista." prompt="Seleccione i residual" type="list">
      <formula1>=Niveles</formula1>
    </dataValidation>
  </dataValidations>
  <printOptions horizontalCentered="1"/>
  <pageMargins left="0.4" right="0.4" top="0.6" bottom="0.6" header="0.5" footer="0.5"/>
  <pageSetup orientation="landscape" paperSize="9" fitToHeight="0" fitToWidth="1"/>
  <headerFooter>
    <oddHeader>&amp;L&amp;8 Kit de implementación AWP&amp;R&amp;8 Registro de riesgos de implementación AWP</oddHeader>
    <oddFooter>&amp;L&amp;8 Proyecto Tipo (PT) – Complejo de instalaciones en tres fases&amp;R&amp;8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20"/>
  <sheetViews>
    <sheetView tabSelected="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s>
  <sheetData>
    <row r="1" ht="24" customHeight="1">
      <c r="A1" s="11" t="inlineStr">
        <is>
          <t>Mapa de calor de riesgos (inherentes, no cerrados)</t>
        </is>
      </c>
    </row>
    <row r="2">
      <c r="A2" s="2" t="inlineStr">
        <is>
          <t>Cantidad de riesgos por probabilidad e impacto. Calculado a partir de la hoja «Riesgos».</t>
        </is>
      </c>
    </row>
    <row r="4">
      <c r="A4" s="28" t="inlineStr">
        <is>
          <t>Probabilidad \ Impacto</t>
        </is>
      </c>
      <c r="B4" s="28" t="n">
        <v>1</v>
      </c>
      <c r="C4" s="28" t="n">
        <v>2</v>
      </c>
      <c r="D4" s="28" t="n">
        <v>3</v>
      </c>
      <c r="E4" s="28" t="n">
        <v>4</v>
      </c>
      <c r="F4" s="28" t="n">
        <v>5</v>
      </c>
    </row>
    <row r="5" ht="36" customHeight="1">
      <c r="A5" s="29" t="n">
        <v>5</v>
      </c>
      <c r="B5" s="30">
        <f>COUNTIFS(Riesgos!$I$6:$I$155,5,Riesgos!$J$6:$J$155,1,Riesgos!$P$6:$P$155,"&lt;&gt;Cerrado")</f>
        <v/>
      </c>
      <c r="C5" s="31">
        <f>COUNTIFS(Riesgos!$I$6:$I$155,5,Riesgos!$J$6:$J$155,2,Riesgos!$P$6:$P$155,"&lt;&gt;Cerrado")</f>
        <v/>
      </c>
      <c r="D5" s="32">
        <f>COUNTIFS(Riesgos!$I$6:$I$155,5,Riesgos!$J$6:$J$155,3,Riesgos!$P$6:$P$155,"&lt;&gt;Cerrado")</f>
        <v/>
      </c>
      <c r="E5" s="32">
        <f>COUNTIFS(Riesgos!$I$6:$I$155,5,Riesgos!$J$6:$J$155,4,Riesgos!$P$6:$P$155,"&lt;&gt;Cerrado")</f>
        <v/>
      </c>
      <c r="F5" s="32">
        <f>COUNTIFS(Riesgos!$I$6:$I$155,5,Riesgos!$J$6:$J$155,5,Riesgos!$P$6:$P$155,"&lt;&gt;Cerrado")</f>
        <v/>
      </c>
    </row>
    <row r="6" ht="36" customHeight="1">
      <c r="A6" s="29" t="n">
        <v>4</v>
      </c>
      <c r="B6" s="30">
        <f>COUNTIFS(Riesgos!$I$6:$I$155,4,Riesgos!$J$6:$J$155,1,Riesgos!$P$6:$P$155,"&lt;&gt;Cerrado")</f>
        <v/>
      </c>
      <c r="C6" s="31">
        <f>COUNTIFS(Riesgos!$I$6:$I$155,4,Riesgos!$J$6:$J$155,2,Riesgos!$P$6:$P$155,"&lt;&gt;Cerrado")</f>
        <v/>
      </c>
      <c r="D6" s="32">
        <f>COUNTIFS(Riesgos!$I$6:$I$155,4,Riesgos!$J$6:$J$155,3,Riesgos!$P$6:$P$155,"&lt;&gt;Cerrado")</f>
        <v/>
      </c>
      <c r="E6" s="32">
        <f>COUNTIFS(Riesgos!$I$6:$I$155,4,Riesgos!$J$6:$J$155,4,Riesgos!$P$6:$P$155,"&lt;&gt;Cerrado")</f>
        <v/>
      </c>
      <c r="F6" s="32">
        <f>COUNTIFS(Riesgos!$I$6:$I$155,4,Riesgos!$J$6:$J$155,5,Riesgos!$P$6:$P$155,"&lt;&gt;Cerrado")</f>
        <v/>
      </c>
    </row>
    <row r="7" ht="36" customHeight="1">
      <c r="A7" s="29" t="n">
        <v>3</v>
      </c>
      <c r="B7" s="30">
        <f>COUNTIFS(Riesgos!$I$6:$I$155,3,Riesgos!$J$6:$J$155,1,Riesgos!$P$6:$P$155,"&lt;&gt;Cerrado")</f>
        <v/>
      </c>
      <c r="C7" s="31">
        <f>COUNTIFS(Riesgos!$I$6:$I$155,3,Riesgos!$J$6:$J$155,2,Riesgos!$P$6:$P$155,"&lt;&gt;Cerrado")</f>
        <v/>
      </c>
      <c r="D7" s="31">
        <f>COUNTIFS(Riesgos!$I$6:$I$155,3,Riesgos!$J$6:$J$155,3,Riesgos!$P$6:$P$155,"&lt;&gt;Cerrado")</f>
        <v/>
      </c>
      <c r="E7" s="32">
        <f>COUNTIFS(Riesgos!$I$6:$I$155,3,Riesgos!$J$6:$J$155,4,Riesgos!$P$6:$P$155,"&lt;&gt;Cerrado")</f>
        <v/>
      </c>
      <c r="F7" s="32">
        <f>COUNTIFS(Riesgos!$I$6:$I$155,3,Riesgos!$J$6:$J$155,5,Riesgos!$P$6:$P$155,"&lt;&gt;Cerrado")</f>
        <v/>
      </c>
    </row>
    <row r="8" ht="36" customHeight="1">
      <c r="A8" s="29" t="n">
        <v>2</v>
      </c>
      <c r="B8" s="30">
        <f>COUNTIFS(Riesgos!$I$6:$I$155,2,Riesgos!$J$6:$J$155,1,Riesgos!$P$6:$P$155,"&lt;&gt;Cerrado")</f>
        <v/>
      </c>
      <c r="C8" s="30">
        <f>COUNTIFS(Riesgos!$I$6:$I$155,2,Riesgos!$J$6:$J$155,2,Riesgos!$P$6:$P$155,"&lt;&gt;Cerrado")</f>
        <v/>
      </c>
      <c r="D8" s="31">
        <f>COUNTIFS(Riesgos!$I$6:$I$155,2,Riesgos!$J$6:$J$155,3,Riesgos!$P$6:$P$155,"&lt;&gt;Cerrado")</f>
        <v/>
      </c>
      <c r="E8" s="31">
        <f>COUNTIFS(Riesgos!$I$6:$I$155,2,Riesgos!$J$6:$J$155,4,Riesgos!$P$6:$P$155,"&lt;&gt;Cerrado")</f>
        <v/>
      </c>
      <c r="F8" s="31">
        <f>COUNTIFS(Riesgos!$I$6:$I$155,2,Riesgos!$J$6:$J$155,5,Riesgos!$P$6:$P$155,"&lt;&gt;Cerrado")</f>
        <v/>
      </c>
    </row>
    <row r="9" ht="36" customHeight="1">
      <c r="A9" s="29" t="n">
        <v>1</v>
      </c>
      <c r="B9" s="30">
        <f>COUNTIFS(Riesgos!$I$6:$I$155,1,Riesgos!$J$6:$J$155,1,Riesgos!$P$6:$P$155,"&lt;&gt;Cerrado")</f>
        <v/>
      </c>
      <c r="C9" s="30">
        <f>COUNTIFS(Riesgos!$I$6:$I$155,1,Riesgos!$J$6:$J$155,2,Riesgos!$P$6:$P$155,"&lt;&gt;Cerrado")</f>
        <v/>
      </c>
      <c r="D9" s="30">
        <f>COUNTIFS(Riesgos!$I$6:$I$155,1,Riesgos!$J$6:$J$155,3,Riesgos!$P$6:$P$155,"&lt;&gt;Cerrado")</f>
        <v/>
      </c>
      <c r="E9" s="30">
        <f>COUNTIFS(Riesgos!$I$6:$I$155,1,Riesgos!$J$6:$J$155,4,Riesgos!$P$6:$P$155,"&lt;&gt;Cerrado")</f>
        <v/>
      </c>
      <c r="F9" s="30">
        <f>COUNTIFS(Riesgos!$I$6:$I$155,1,Riesgos!$J$6:$J$155,5,Riesgos!$P$6:$P$155,"&lt;&gt;Cerrado")</f>
        <v/>
      </c>
    </row>
    <row r="11">
      <c r="A11" s="33" t="inlineStr">
        <is>
          <t>Verde: bajo (1–5) · Ámbar: medio (6–11) · Rojo: alto (12–25)</t>
        </is>
      </c>
    </row>
    <row r="13">
      <c r="A13" s="5" t="inlineStr">
        <is>
          <t>Riesgos por fase y clasificación (no cerrados)</t>
        </is>
      </c>
    </row>
    <row r="14" ht="32" customHeight="1">
      <c r="A14" s="12" t="inlineStr"/>
      <c r="B14" s="12" t="inlineStr">
        <is>
          <t>Alto</t>
        </is>
      </c>
      <c r="C14" s="12" t="inlineStr">
        <is>
          <t>Medio</t>
        </is>
      </c>
      <c r="D14" s="12" t="inlineStr">
        <is>
          <t>Bajo</t>
        </is>
      </c>
    </row>
    <row r="15">
      <c r="A15" s="34" t="inlineStr">
        <is>
          <t>Fase 1</t>
        </is>
      </c>
      <c r="B15" s="35">
        <f>COUNTIFS(Riesgos!$C$6:$C$155,$A15,Riesgos!$L$6:$L$155,"Alto",Riesgos!$P$6:$P$155,"&lt;&gt;Cerrado")</f>
        <v/>
      </c>
      <c r="C15" s="35">
        <f>COUNTIFS(Riesgos!$C$6:$C$155,$A15,Riesgos!$L$6:$L$155,"Medio",Riesgos!$P$6:$P$155,"&lt;&gt;Cerrado")</f>
        <v/>
      </c>
      <c r="D15" s="35">
        <f>COUNTIFS(Riesgos!$C$6:$C$155,$A15,Riesgos!$L$6:$L$155,"Bajo",Riesgos!$P$6:$P$155,"&lt;&gt;Cerrado")</f>
        <v/>
      </c>
    </row>
    <row r="16">
      <c r="A16" s="34" t="inlineStr">
        <is>
          <t>Fase 2</t>
        </is>
      </c>
      <c r="B16" s="35">
        <f>COUNTIFS(Riesgos!$C$6:$C$155,$A16,Riesgos!$L$6:$L$155,"Alto",Riesgos!$P$6:$P$155,"&lt;&gt;Cerrado")</f>
        <v/>
      </c>
      <c r="C16" s="35">
        <f>COUNTIFS(Riesgos!$C$6:$C$155,$A16,Riesgos!$L$6:$L$155,"Medio",Riesgos!$P$6:$P$155,"&lt;&gt;Cerrado")</f>
        <v/>
      </c>
      <c r="D16" s="35">
        <f>COUNTIFS(Riesgos!$C$6:$C$155,$A16,Riesgos!$L$6:$L$155,"Bajo",Riesgos!$P$6:$P$155,"&lt;&gt;Cerrado")</f>
        <v/>
      </c>
    </row>
    <row r="17">
      <c r="A17" s="34" t="inlineStr">
        <is>
          <t>Fase 3</t>
        </is>
      </c>
      <c r="B17" s="35">
        <f>COUNTIFS(Riesgos!$C$6:$C$155,$A17,Riesgos!$L$6:$L$155,"Alto",Riesgos!$P$6:$P$155,"&lt;&gt;Cerrado")</f>
        <v/>
      </c>
      <c r="C17" s="35">
        <f>COUNTIFS(Riesgos!$C$6:$C$155,$A17,Riesgos!$L$6:$L$155,"Medio",Riesgos!$P$6:$P$155,"&lt;&gt;Cerrado")</f>
        <v/>
      </c>
      <c r="D17" s="35">
        <f>COUNTIFS(Riesgos!$C$6:$C$155,$A17,Riesgos!$L$6:$L$155,"Bajo",Riesgos!$P$6:$P$155,"&lt;&gt;Cerrado")</f>
        <v/>
      </c>
    </row>
    <row r="18">
      <c r="A18" s="34" t="inlineStr">
        <is>
          <t>Fases 1 y 2</t>
        </is>
      </c>
      <c r="B18" s="35">
        <f>COUNTIFS(Riesgos!$C$6:$C$155,$A18,Riesgos!$L$6:$L$155,"Alto",Riesgos!$P$6:$P$155,"&lt;&gt;Cerrado")</f>
        <v/>
      </c>
      <c r="C18" s="35">
        <f>COUNTIFS(Riesgos!$C$6:$C$155,$A18,Riesgos!$L$6:$L$155,"Medio",Riesgos!$P$6:$P$155,"&lt;&gt;Cerrado")</f>
        <v/>
      </c>
      <c r="D18" s="35">
        <f>COUNTIFS(Riesgos!$C$6:$C$155,$A18,Riesgos!$L$6:$L$155,"Bajo",Riesgos!$P$6:$P$155,"&lt;&gt;Cerrado")</f>
        <v/>
      </c>
    </row>
    <row r="19">
      <c r="A19" s="34" t="inlineStr">
        <is>
          <t>Fases 2 y 3</t>
        </is>
      </c>
      <c r="B19" s="35">
        <f>COUNTIFS(Riesgos!$C$6:$C$155,$A19,Riesgos!$L$6:$L$155,"Alto",Riesgos!$P$6:$P$155,"&lt;&gt;Cerrado")</f>
        <v/>
      </c>
      <c r="C19" s="35">
        <f>COUNTIFS(Riesgos!$C$6:$C$155,$A19,Riesgos!$L$6:$L$155,"Medio",Riesgos!$P$6:$P$155,"&lt;&gt;Cerrado")</f>
        <v/>
      </c>
      <c r="D19" s="35">
        <f>COUNTIFS(Riesgos!$C$6:$C$155,$A19,Riesgos!$L$6:$L$155,"Bajo",Riesgos!$P$6:$P$155,"&lt;&gt;Cerrado")</f>
        <v/>
      </c>
    </row>
    <row r="20">
      <c r="A20" s="34" t="inlineStr">
        <is>
          <t>Todas las fases</t>
        </is>
      </c>
      <c r="B20" s="35">
        <f>COUNTIFS(Riesgos!$C$6:$C$155,$A20,Riesgos!$L$6:$L$155,"Alto",Riesgos!$P$6:$P$155,"&lt;&gt;Cerrado")</f>
        <v/>
      </c>
      <c r="C20" s="35">
        <f>COUNTIFS(Riesgos!$C$6:$C$155,$A20,Riesgos!$L$6:$L$155,"Medio",Riesgos!$P$6:$P$155,"&lt;&gt;Cerrado")</f>
        <v/>
      </c>
      <c r="D20" s="35">
        <f>COUNTIFS(Riesgos!$C$6:$C$155,$A20,Riesgos!$L$6:$L$155,"Bajo",Riesgos!$P$6:$P$155,"&lt;&gt;Cerrado")</f>
        <v/>
      </c>
    </row>
  </sheetData>
  <printOptions horizontalCentered="1"/>
  <pageMargins left="0.4" right="0.4" top="0.6" bottom="0.6" header="0.5" footer="0.5"/>
  <pageSetup orientation="portrait" paperSize="9" fitToHeight="0" fitToWidth="1"/>
  <headerFooter>
    <oddHeader>&amp;L&amp;8 Kit de implementación AWP&amp;R&amp;8 Mapa de calor</oddHeader>
    <oddFooter>&amp;L&amp;8 Proyecto Tipo (PT) – Complejo de instalaciones en tres fases&amp;R&amp;8 Página &amp;P de &amp;N</oddFooter>
    <evenHeader/>
    <evenFooter/>
    <firstHeader/>
    <firstFooter/>
  </headerFooter>
</worksheet>
</file>

<file path=xl/worksheets/sheet4.xml><?xml version="1.0" encoding="utf-8"?>
<worksheet xmlns="http://schemas.openxmlformats.org/spreadsheetml/2006/main">
  <sheetPr>
    <tabColor rgb="007F7F7F"/>
    <outlinePr summaryBelow="1" summaryRight="1"/>
    <pageSetUpPr/>
  </sheetPr>
  <dimension ref="A1:F18"/>
  <sheetViews>
    <sheetView tabSelected="0" workbookViewId="0">
      <pane ySplit="2" topLeftCell="A3" activePane="bottomLeft" state="frozen"/>
      <selection pane="bottomLeft" activeCell="A1" sqref="A1"/>
    </sheetView>
  </sheetViews>
  <sheetFormatPr baseColWidth="8" defaultRowHeight="15"/>
  <cols>
    <col width="17" customWidth="1" min="1" max="1"/>
    <col width="30" customWidth="1" min="2" max="2"/>
    <col width="39" customWidth="1" min="3" max="3"/>
    <col width="28" customWidth="1" min="4" max="4"/>
    <col width="16" customWidth="1" min="5" max="5"/>
    <col width="14" customWidth="1" min="6" max="6"/>
  </cols>
  <sheetData>
    <row r="1">
      <c r="A1" s="33" t="inlineStr">
        <is>
          <t>Valores de las listas desplegables. Puede ampliarlas agregando valores al final de cada columna y ajustando el rango con nombre (Fórmulas &gt; Administrador de nombres).</t>
        </is>
      </c>
    </row>
    <row r="2">
      <c r="A2" s="36" t="inlineStr">
        <is>
          <t>FasesExt</t>
        </is>
      </c>
      <c r="B2" s="36" t="inlineStr">
        <is>
          <t>Etapas</t>
        </is>
      </c>
      <c r="C2" s="36" t="inlineStr">
        <is>
          <t>Roles</t>
        </is>
      </c>
      <c r="D2" s="36" t="inlineStr">
        <is>
          <t>CategoriasRiesgo</t>
        </is>
      </c>
      <c r="E2" s="36" t="inlineStr">
        <is>
          <t>EstadosRiesgo</t>
        </is>
      </c>
      <c r="F2" s="36" t="inlineStr">
        <is>
          <t>Niveles</t>
        </is>
      </c>
    </row>
    <row r="3">
      <c r="A3" s="37" t="inlineStr">
        <is>
          <t>Fase 1</t>
        </is>
      </c>
      <c r="B3" s="37" t="inlineStr">
        <is>
          <t>Planificación temprana (FEL)</t>
        </is>
      </c>
      <c r="C3" s="37" t="inlineStr">
        <is>
          <t>Gerente del proyecto del cliente</t>
        </is>
      </c>
      <c r="D3" s="37" t="inlineStr">
        <is>
          <t>Organización y liderazgo</t>
        </is>
      </c>
      <c r="E3" s="37" t="inlineStr">
        <is>
          <t>Abierto</t>
        </is>
      </c>
      <c r="F3" s="37" t="n">
        <v>1</v>
      </c>
    </row>
    <row r="4">
      <c r="A4" s="37" t="inlineStr">
        <is>
          <t>Fase 2</t>
        </is>
      </c>
      <c r="B4" s="37" t="inlineStr">
        <is>
          <t>Ingeniería</t>
        </is>
      </c>
      <c r="C4" s="37" t="inlineStr">
        <is>
          <t>Gerente de Proyecto</t>
        </is>
      </c>
      <c r="D4" s="37" t="inlineStr">
        <is>
          <t>Personas y competencias</t>
        </is>
      </c>
      <c r="E4" s="37" t="inlineStr">
        <is>
          <t>En tratamiento</t>
        </is>
      </c>
      <c r="F4" s="37" t="n">
        <v>2</v>
      </c>
    </row>
    <row r="5">
      <c r="A5" s="37" t="inlineStr">
        <is>
          <t>Fase 3</t>
        </is>
      </c>
      <c r="B5" s="37" t="inlineStr">
        <is>
          <t>Procura</t>
        </is>
      </c>
      <c r="C5" s="37" t="inlineStr">
        <is>
          <t>AWP Champion</t>
        </is>
      </c>
      <c r="D5" s="37" t="inlineStr">
        <is>
          <t>Procesos</t>
        </is>
      </c>
      <c r="E5" s="37" t="inlineStr">
        <is>
          <t>Cerrado</t>
        </is>
      </c>
      <c r="F5" s="37" t="n">
        <v>3</v>
      </c>
    </row>
    <row r="6">
      <c r="A6" s="37" t="inlineStr">
        <is>
          <t>Fases 1 y 2</t>
        </is>
      </c>
      <c r="B6" s="37" t="inlineStr">
        <is>
          <t>Construcción</t>
        </is>
      </c>
      <c r="C6" s="37" t="inlineStr">
        <is>
          <t>Líder de WFP</t>
        </is>
      </c>
      <c r="D6" s="37" t="inlineStr">
        <is>
          <t>Contratos</t>
        </is>
      </c>
      <c r="E6" s="37" t="inlineStr">
        <is>
          <t>Materializado</t>
        </is>
      </c>
      <c r="F6" s="37" t="n">
        <v>4</v>
      </c>
    </row>
    <row r="7">
      <c r="A7" s="37" t="inlineStr">
        <is>
          <t>Fases 2 y 3</t>
        </is>
      </c>
      <c r="B7" s="37" t="inlineStr">
        <is>
          <t>Comisionamiento</t>
        </is>
      </c>
      <c r="C7" s="37" t="inlineStr">
        <is>
          <t>Planificador de frente de trabajo</t>
        </is>
      </c>
      <c r="D7" s="37" t="inlineStr">
        <is>
          <t>Herramientas e información</t>
        </is>
      </c>
      <c r="F7" s="37" t="n">
        <v>5</v>
      </c>
    </row>
    <row r="8">
      <c r="A8" s="37" t="inlineStr">
        <is>
          <t>Todas las fases</t>
        </is>
      </c>
      <c r="C8" s="37" t="inlineStr">
        <is>
          <t>Líder de Ingeniería</t>
        </is>
      </c>
      <c r="D8" s="37" t="inlineStr">
        <is>
          <t>Interfaces entre fases</t>
        </is>
      </c>
    </row>
    <row r="9">
      <c r="C9" s="37" t="inlineStr">
        <is>
          <t>Líder de Procura</t>
        </is>
      </c>
      <c r="D9" s="37" t="inlineStr">
        <is>
          <t>Medición</t>
        </is>
      </c>
    </row>
    <row r="10">
      <c r="C10" s="37" t="inlineStr">
        <is>
          <t>Gestor de materiales</t>
        </is>
      </c>
    </row>
    <row r="11">
      <c r="C11" s="37" t="inlineStr">
        <is>
          <t>Gerente de Construcción</t>
        </is>
      </c>
    </row>
    <row r="12">
      <c r="C12" s="37" t="inlineStr">
        <is>
          <t>Superintendente / capataz general</t>
        </is>
      </c>
    </row>
    <row r="13">
      <c r="C13" s="37" t="inlineStr">
        <is>
          <t>Controles del proyecto</t>
        </is>
      </c>
    </row>
    <row r="14">
      <c r="C14" s="37" t="inlineStr">
        <is>
          <t>Coordinador de gestión de información</t>
        </is>
      </c>
    </row>
    <row r="15">
      <c r="C15" s="37" t="inlineStr">
        <is>
          <t>Líder de HSE</t>
        </is>
      </c>
    </row>
    <row r="16">
      <c r="C16" s="37" t="inlineStr">
        <is>
          <t>Líder de calidad (QA/QC)</t>
        </is>
      </c>
    </row>
    <row r="17">
      <c r="C17" s="37" t="inlineStr">
        <is>
          <t>Líder de comisionamiento</t>
        </is>
      </c>
    </row>
    <row r="18">
      <c r="C18" s="37" t="inlineStr">
        <is>
          <t>Subcontratista de especialidad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Registro de riesgos de implementación AWP</dc:title>
  <dc:subject xmlns:dc="http://purl.org/dc/elements/1.1/">Proyecto Tipo (PT) – Complejo de instalaciones en tres fases</dc:subject>
  <dcterms:created xmlns:dcterms="http://purl.org/dc/terms/" xmlns:xsi="http://www.w3.org/2001/XMLSchema-instance" xsi:type="dcterms:W3CDTF">2026-09-25T03:31:55Z</dcterms:created>
  <dcterms:modified xmlns:dcterms="http://purl.org/dc/terms/" xmlns:xsi="http://www.w3.org/2001/XMLSchema-instance" xsi:type="dcterms:W3CDTF">2026-09-25T03:31:55Z</dcterms:modified>
</cp:coreProperties>
</file>