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INICIO" sheetId="1" r:id="rId1"/>
    <sheet name="PARAMETROS" sheetId="2" r:id="rId2"/>
    <sheet name="RESULTADOS" sheetId="3" r:id="rId3"/>
    <sheet name="CURVA_S" sheetId="4" r:id="rId4"/>
    <sheet name="TORNADO" sheetId="5" r:id="rId5"/>
    <sheet name="RANGOS" sheetId="6" r:id="rId6"/>
    <sheet name="SIMULACION" sheetId="7" r:id="rId7"/>
  </sheets>
  <definedNames>
    <definedName name="CostoBase">PARAMETROS!$D$5</definedName>
    <definedName name="Iteraciones">PARAMETROS!$D$7</definedName>
    <definedName name="PlazoBase">PARAMETROS!$D$6</definedName>
    <definedName name="Semilla">PARAMETROS!$D$8</definedName>
  </definedNames>
  <calcPr calcId="124519" fullCalcOnLoad="1"/>
</workbook>
</file>

<file path=xl/sharedStrings.xml><?xml version="1.0" encoding="utf-8"?>
<sst xmlns="http://schemas.openxmlformats.org/spreadsheetml/2006/main" count="145" uniqueCount="114">
  <si>
    <t>ANÁLISIS DE RIESGOS — SIMULACIÓN MONTECARLO</t>
  </si>
  <si>
    <t>Herramienta de gestión cuantitativa de riesgos (costo y plazo) para obras de construcción</t>
  </si>
  <si>
    <t>HOJAS DEL LIBRO</t>
  </si>
  <si>
    <t>PARAMETROS</t>
  </si>
  <si>
    <t>Configuración (costo/plazo base, iteraciones, semilla) y tabla de riesgos tblRiesgos. Celdas amarillas = editables. Aquí están los botones.</t>
  </si>
  <si>
    <t>RESULTADOS</t>
  </si>
  <si>
    <t>Percentiles P0–P100 de costo y plazo, estadísticas y contingencias P50/P80/P90.</t>
  </si>
  <si>
    <t>CURVA_S</t>
  </si>
  <si>
    <t>Curvas S (probabilidad acumulada) con marcas P50 y P80, e histogramas de frecuencia.</t>
  </si>
  <si>
    <t>TORNADO</t>
  </si>
  <si>
    <t>Sensibilidad: correlación de Spearman, contribución a la varianza y swing por riesgo.</t>
  </si>
  <si>
    <t>RANGOS</t>
  </si>
  <si>
    <t>Mínimo, P10, P25, P50, P75, P90, máximo y promedio de cada riesgo y de los totales.</t>
  </si>
  <si>
    <t>SIMULACION</t>
  </si>
  <si>
    <t>Datos crudos de las primeras 5,000 iteraciones (totales y cada riesgo).</t>
  </si>
  <si>
    <t>CÓMO USAR ESTA HERRAMIENTA</t>
  </si>
  <si>
    <t>PASO 1</t>
  </si>
  <si>
    <t>Abra el archivo y pulse «Habilitar contenido» (macros). Si Windows bloquea las macros: clic derecho en el archivo &gt; Propiedades &gt; marque «Desbloquear».</t>
  </si>
  <si>
    <t>PASO 2</t>
  </si>
  <si>
    <t>En PARAMETROS ingrese (opcional) el costo y el plazo base del proyecto, el número de iteraciones (10,000 recomendado) y, si quiere resultados reproducibles, una semilla.</t>
  </si>
  <si>
    <t>PASO 3</t>
  </si>
  <si>
    <t>Complete tblRiesgos: nombre, ACTIVO (SI/NO), probabilidad de ocurrencia y la distribución y parámetros del impacto en costo y/o en plazo. Deje vacía la dimensión que el riesgo no afecta.</t>
  </si>
  <si>
    <t>PASO 4</t>
  </si>
  <si>
    <t>Pulse «✔ VALIDAR DATOS»: las celdas con errores se marcan en rojo y se listan en un mensaje.</t>
  </si>
  <si>
    <t>PASO 5</t>
  </si>
  <si>
    <t>Pulse «▶ CORRER SIMULACIÓN». Las hojas de resultados se regeneran con tablas y gráficos.</t>
  </si>
  <si>
    <t>PASO 6</t>
  </si>
  <si>
    <t>Use el P80 como contingencia recomendada (P90 si quiere ser conservador). «✖ LIMPIAR RESULTADOS» vacía las hojas de salida.</t>
  </si>
  <si>
    <t>DISTRIBUCIONES DISPONIBLES</t>
  </si>
  <si>
    <t>DISTRIBUCIÓN</t>
  </si>
  <si>
    <t>PARÁMETROS Y USO</t>
  </si>
  <si>
    <t>TRIANGULAR</t>
  </si>
  <si>
    <t>P1 = Mínimo | P2 = Moda (más probable) | P3 = Máximo  —  Cuando se conoce el mínimo, el valor más probable y el máximo.</t>
  </si>
  <si>
    <t>PERT</t>
  </si>
  <si>
    <t>P1 = Mínimo | P2 = Moda (más probable) | P3 = Máximo  —  Beta-PERT (λ = 4): como la triangular pero con más peso en la moda.</t>
  </si>
  <si>
    <t>NORMAL</t>
  </si>
  <si>
    <t>P1 = Media | P2 = Desviación estándar  —  Variación simétrica. Puede dar valores negativos (oportunidades): no se truncan a 0.</t>
  </si>
  <si>
    <t>UNIFORME</t>
  </si>
  <si>
    <t>P1 = Mínimo | P2 = Máximo  —  Cualquier valor entre el mínimo y el máximo es igual de probable.</t>
  </si>
  <si>
    <t>LOGNORMAL</t>
  </si>
  <si>
    <t>P1 = Media | P2 = Desviación estándar  —  Sesgada a la derecha; media y desviación de la variable (no del logaritmo). Útil para costos.</t>
  </si>
  <si>
    <t>EXPONENCIAL</t>
  </si>
  <si>
    <t>P1 = Media  —  P1 es la MEDIA (λ = 1/P1). Para tiempos entre eventos.</t>
  </si>
  <si>
    <t>WEIBULL</t>
  </si>
  <si>
    <t>P1 = Forma (k) | P2 = Escala (λ)  —  Flexible: fallas, durabilidad, duraciones.</t>
  </si>
  <si>
    <t>MODELO Y SUPUESTOS</t>
  </si>
  <si>
    <t>•</t>
  </si>
  <si>
    <t>Cada riesgo ocurre con su PROBABILIDAD en cada iteración (vacía = 1 = siempre ocurre). Si ocurre, el impacto en costo y el impacto en plazo se muestrean en la MISMA iteración (el mismo evento dispara ambos).</t>
  </si>
  <si>
    <t>Costo total del impacto = suma de los impactos en costo; plazo total = suma de los impactos en plazo (supuesto conservador: los riesgos de plazo se suman, como si estuvieran en la ruta crítica).</t>
  </si>
  <si>
    <t>Los riesgos se muestrean de forma independiente (sin correlación entre riesgos).</t>
  </si>
  <si>
    <t>NORMAL puede producir valores negativos: se conservan (representan oportunidades). No se truncan a 0.</t>
  </si>
  <si>
    <t>Mín = Moda = Máx (TRIANGULAR/PERT) o Mín = Máx (UNIFORME) se tratan como un valor constante.</t>
  </si>
  <si>
    <t>Percentiles con interpolación lineal (mismo criterio que PERCENTIL.INC). Generador aleatorio: Rnd() de VBA.</t>
  </si>
  <si>
    <t>Swing (TORNADO) = media del total cuando el riesgo está en su 10% superior − media cuando está en su 10% inferior.</t>
  </si>
  <si>
    <t>ANÁLISIS DE RIESGOS — PARÁMETROS DE ENTRADA</t>
  </si>
  <si>
    <t>Complete la configuración y la tabla tblRiesgos (celdas amarillas) y pulse ▶ CORRER SIMULACIÓN.</t>
  </si>
  <si>
    <t>Costo base del proyecto (S/)</t>
  </si>
  <si>
    <t>Opcional. Si se ingresa, RESULTADOS muestra el costo total (base + impacto).</t>
  </si>
  <si>
    <t>Plazo base del proyecto (días)</t>
  </si>
  <si>
    <t>Opcional. Si se ingresa, RESULTADOS muestra el plazo total (base + impacto).</t>
  </si>
  <si>
    <t>Número de iteraciones</t>
  </si>
  <si>
    <t>Recomendado: 10,000  |  Mínimo: 1,000  |  Máximo: 100,000</t>
  </si>
  <si>
    <t>Semilla aleatoria</t>
  </si>
  <si>
    <t>Vacía = resultados distintos en cada corrida. Número = resultados reproducibles.</t>
  </si>
  <si>
    <t>TABLA DE RIESGOS (tblRiesgos)  —  una fila por riesgo; deje vacía la distribución de la dimensión que el riesgo no afecta</t>
  </si>
  <si>
    <t>ID</t>
  </si>
  <si>
    <t>NOMBRE DEL RIESGO</t>
  </si>
  <si>
    <t>ACTIVO (SI/NO)</t>
  </si>
  <si>
    <t>PROBABILIDAD (0-1)</t>
  </si>
  <si>
    <t>DIST_COSTO</t>
  </si>
  <si>
    <t>C_P1</t>
  </si>
  <si>
    <t>C_P2</t>
  </si>
  <si>
    <t>C_P3</t>
  </si>
  <si>
    <t>DIST_PLAZO</t>
  </si>
  <si>
    <t>T_P1</t>
  </si>
  <si>
    <t>T_P2</t>
  </si>
  <si>
    <t>T_P3</t>
  </si>
  <si>
    <t>NOTAS</t>
  </si>
  <si>
    <t>Ingeniería en desarrollo (90 entregables)</t>
  </si>
  <si>
    <t>SI</t>
  </si>
  <si>
    <t>Cuello de botella principal</t>
  </si>
  <si>
    <t>Alza de precios de materiales</t>
  </si>
  <si>
    <t>Media = 50k, Desv.Est. = 25k</t>
  </si>
  <si>
    <t>Condiciones geotécnicas imprevistas</t>
  </si>
  <si>
    <t>Afecta costo y plazo en el mismo evento</t>
  </si>
  <si>
    <t>Huelga o paralización</t>
  </si>
  <si>
    <t>Prob. 20%; impacto triangular</t>
  </si>
  <si>
    <t>Demora en permisos y aprobaciones</t>
  </si>
  <si>
    <t>Cualquier valor entre 10 y 40 días</t>
  </si>
  <si>
    <t>GUÍA DE PARÁMETROS POR DISTRIBUCIÓN</t>
  </si>
  <si>
    <t>P1</t>
  </si>
  <si>
    <t>P2</t>
  </si>
  <si>
    <t>P3</t>
  </si>
  <si>
    <t>USO</t>
  </si>
  <si>
    <t>P1 = Mínimo</t>
  </si>
  <si>
    <t>P2 = Moda (más probable)</t>
  </si>
  <si>
    <t>P3 = Máximo</t>
  </si>
  <si>
    <t>Cuando se conoce el mínimo, el valor más probable y el máximo.</t>
  </si>
  <si>
    <t>Beta-PERT (λ = 4): como la triangular pero con más peso en la moda.</t>
  </si>
  <si>
    <t>P1 = Media</t>
  </si>
  <si>
    <t>P2 = Desviación estándar</t>
  </si>
  <si>
    <t>Variación simétrica. Puede dar valores negativos (oportunidades): no se truncan a 0.</t>
  </si>
  <si>
    <t>P2 = Máximo</t>
  </si>
  <si>
    <t>Cualquier valor entre el mínimo y el máximo es igual de probable.</t>
  </si>
  <si>
    <t>Sesgada a la derecha; media y desviación de la variable (no del logaritmo). Útil para costos.</t>
  </si>
  <si>
    <t>P1 es la MEDIA (λ = 1/P1). Para tiempos entre eventos.</t>
  </si>
  <si>
    <t>P1 = Forma (k)</t>
  </si>
  <si>
    <t>P2 = Escala (λ)</t>
  </si>
  <si>
    <t>Flexible: fallas, durabilidad, duraciones.</t>
  </si>
  <si>
    <t>RESULTADOS — Presione ▶ CORRER SIMULACIÓN en la hoja PARAMETROS</t>
  </si>
  <si>
    <t>CURVA S — Presione ▶ CORRER SIMULACIÓN en la hoja PARAMETROS</t>
  </si>
  <si>
    <t>TORNADO — Presione ▶ CORRER SIMULACIÓN en la hoja PARAMETROS</t>
  </si>
  <si>
    <t>RANGOS — Presione ▶ CORRER SIMULACIÓN en la hoja PARAMETROS</t>
  </si>
  <si>
    <t>SIMULACIÓN — Presione ▶ CORRER SIMULACIÓN en la hoja PARAMETROS</t>
  </si>
</sst>
</file>

<file path=xl/styles.xml><?xml version="1.0" encoding="utf-8"?>
<styleSheet xmlns="http://schemas.openxmlformats.org/spreadsheetml/2006/main">
  <numFmts count="4">
    <numFmt numFmtId="164" formatCode="#,##0"/>
    <numFmt numFmtId="165" formatCode="#,##0.0"/>
    <numFmt numFmtId="166" formatCode="#,##0.##"/>
    <numFmt numFmtId="167" formatCode="0%"/>
  </numFmts>
  <fonts count="9">
    <font>
      <sz val="11"/>
      <color theme="1"/>
      <name val="Calibri"/>
      <family val="2"/>
      <scheme val="minor"/>
    </font>
    <font>
      <b/>
      <sz val="16"/>
      <color rgb="FF0F6E56"/>
      <name val="Calibri"/>
      <family val="2"/>
      <scheme val="minor"/>
    </font>
    <font>
      <i/>
      <sz val="10"/>
      <color rgb="FF5F5E5A"/>
      <name val="Calibri"/>
      <family val="2"/>
      <scheme val="minor"/>
    </font>
    <font>
      <b/>
      <sz val="11"/>
      <color rgb="FF0F6E56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rgb="FF0F6E56"/>
      <name val="Calibri"/>
      <family val="2"/>
      <scheme val="minor"/>
    </font>
    <font>
      <b/>
      <sz val="13"/>
      <color rgb="FF0F6E5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1EFE8"/>
        <bgColor indexed="64"/>
      </patternFill>
    </fill>
    <fill>
      <patternFill patternType="solid">
        <fgColor rgb="FF0F6E56"/>
        <bgColor indexed="64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rgb="FFD0CEC6"/>
      </left>
      <right style="thin">
        <color rgb="FFD0CEC6"/>
      </right>
      <top style="thin">
        <color rgb="FFD0CEC6"/>
      </top>
      <bottom style="thin">
        <color rgb="FFD0CEC6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 wrapText="1"/>
    </xf>
    <xf numFmtId="0" fontId="5" fillId="2" borderId="1" xfId="0" applyFont="1" applyFill="1" applyBorder="1" applyAlignment="1">
      <alignment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0" fontId="2" fillId="0" borderId="0" xfId="0" applyFont="1" applyAlignment="1">
      <alignment vertical="center" wrapText="1"/>
    </xf>
    <xf numFmtId="0" fontId="4" fillId="0" borderId="0" xfId="0" applyFont="1" applyAlignment="1">
      <alignment horizontal="right" vertical="center"/>
    </xf>
    <xf numFmtId="164" fontId="5" fillId="4" borderId="1" xfId="0" applyNumberFormat="1" applyFont="1" applyFill="1" applyBorder="1" applyAlignment="1">
      <alignment vertical="center"/>
    </xf>
    <xf numFmtId="165" fontId="5" fillId="4" borderId="1" xfId="0" applyNumberFormat="1" applyFont="1" applyFill="1" applyBorder="1" applyAlignment="1">
      <alignment vertical="center"/>
    </xf>
    <xf numFmtId="164" fontId="4" fillId="4" borderId="1" xfId="0" applyNumberFormat="1" applyFont="1" applyFill="1" applyBorder="1" applyAlignment="1">
      <alignment vertical="center"/>
    </xf>
    <xf numFmtId="166" fontId="5" fillId="4" borderId="1" xfId="0" applyNumberFormat="1" applyFont="1" applyFill="1" applyBorder="1" applyAlignment="1">
      <alignment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167" fontId="5" fillId="4" borderId="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</cellXfs>
  <cellStyles count="1">
    <cellStyle name="Normal" xfId="0" builtinId="0"/>
  </cellStyles>
  <dxfs count="4">
    <dxf>
      <fill>
        <patternFill>
          <bgColor rgb="FFFFF2CC"/>
        </patternFill>
      </fill>
      <border>
        <left style="thin">
          <color rgb="FFD0CEC6"/>
        </left>
        <right style="thin">
          <color rgb="FFD0CEC6"/>
        </right>
        <top style="thin">
          <color rgb="FFD0CEC6"/>
        </top>
        <bottom style="thin">
          <color rgb="FFD0CEC6"/>
        </bottom>
        <vertical/>
        <horizontal/>
      </border>
    </dxf>
    <dxf>
      <fill>
        <patternFill>
          <bgColor rgb="FFFFF2CC"/>
        </patternFill>
      </fill>
      <border>
        <left style="thin">
          <color rgb="FFD0CEC6"/>
        </left>
        <right style="thin">
          <color rgb="FFD0CEC6"/>
        </right>
        <top style="thin">
          <color rgb="FFD0CEC6"/>
        </top>
        <bottom style="thin">
          <color rgb="FFD0CEC6"/>
        </bottom>
        <vertical/>
        <horizontal/>
      </border>
    </dxf>
    <dxf>
      <numFmt numFmtId="167" formatCode="0%"/>
      <fill>
        <patternFill>
          <bgColor rgb="FFFFF2CC"/>
        </patternFill>
      </fill>
      <border>
        <left style="thin">
          <color rgb="FFD0CEC6"/>
        </left>
        <right style="thin">
          <color rgb="FFD0CEC6"/>
        </right>
        <top style="thin">
          <color rgb="FFD0CEC6"/>
        </top>
        <bottom style="thin">
          <color rgb="FFD0CEC6"/>
        </bottom>
        <vertical/>
        <horizontal/>
      </border>
    </dxf>
    <dxf>
      <numFmt numFmtId="166" formatCode="#,##0.##"/>
      <fill>
        <patternFill>
          <bgColor rgb="FFFFF2CC"/>
        </patternFill>
      </fill>
      <border>
        <left style="thin">
          <color rgb="FFD0CEC6"/>
        </left>
        <right style="thin">
          <color rgb="FFD0CEC6"/>
        </right>
        <top style="thin">
          <color rgb="FFD0CEC6"/>
        </top>
        <bottom style="thin">
          <color rgb="FFD0CEC6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blRiesgos" displayName="tblRiesgos" ref="B11:N61" totalsRowShown="0">
  <autoFilter ref="B11:N61"/>
  <tableColumns count="13">
    <tableColumn id="1" name="ID" dataDxfId="0"/>
    <tableColumn id="2" name="NOMBRE DEL RIESGO" dataDxfId="1"/>
    <tableColumn id="3" name="ACTIVO (SI/NO)" dataDxfId="0"/>
    <tableColumn id="4" name="PROBABILIDAD (0-1)" dataDxfId="2"/>
    <tableColumn id="5" name="DIST_COSTO" dataDxfId="0"/>
    <tableColumn id="6" name="C_P1" dataDxfId="3"/>
    <tableColumn id="7" name="C_P2" dataDxfId="3"/>
    <tableColumn id="8" name="C_P3" dataDxfId="3"/>
    <tableColumn id="9" name="DIST_PLAZO" dataDxfId="0"/>
    <tableColumn id="10" name="T_P1" dataDxfId="3"/>
    <tableColumn id="11" name="T_P2" dataDxfId="3"/>
    <tableColumn id="12" name="T_P3" dataDxfId="3"/>
    <tableColumn id="13" name="NOTAS" dataDxfId="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Inicio">
    <tabColor rgb="FF0F6E56"/>
  </sheetPr>
  <dimension ref="B2:C38"/>
  <sheetViews>
    <sheetView showGridLines="0" tabSelected="1" workbookViewId="0"/>
  </sheetViews>
  <sheetFormatPr defaultRowHeight="15"/>
  <cols>
    <col min="1" max="1" width="2.7109375" customWidth="1"/>
    <col min="2" max="2" width="26.7109375" customWidth="1"/>
    <col min="3" max="3" width="110.7109375" customWidth="1"/>
  </cols>
  <sheetData>
    <row r="2" spans="2:3">
      <c r="B2" s="1" t="s">
        <v>0</v>
      </c>
    </row>
    <row r="3" spans="2:3">
      <c r="B3" s="2" t="s">
        <v>1</v>
      </c>
    </row>
    <row r="5" spans="2:3">
      <c r="B5" s="3" t="s">
        <v>2</v>
      </c>
    </row>
    <row r="6" spans="2:3">
      <c r="B6" s="4" t="s">
        <v>3</v>
      </c>
      <c r="C6" s="5" t="s">
        <v>4</v>
      </c>
    </row>
    <row r="7" spans="2:3">
      <c r="B7" s="4" t="s">
        <v>5</v>
      </c>
      <c r="C7" s="6" t="s">
        <v>6</v>
      </c>
    </row>
    <row r="8" spans="2:3">
      <c r="B8" s="4" t="s">
        <v>7</v>
      </c>
      <c r="C8" s="5" t="s">
        <v>8</v>
      </c>
    </row>
    <row r="9" spans="2:3">
      <c r="B9" s="4" t="s">
        <v>9</v>
      </c>
      <c r="C9" s="6" t="s">
        <v>10</v>
      </c>
    </row>
    <row r="10" spans="2:3">
      <c r="B10" s="4" t="s">
        <v>11</v>
      </c>
      <c r="C10" s="5" t="s">
        <v>12</v>
      </c>
    </row>
    <row r="11" spans="2:3">
      <c r="B11" s="4" t="s">
        <v>13</v>
      </c>
      <c r="C11" s="6" t="s">
        <v>14</v>
      </c>
    </row>
    <row r="13" spans="2:3">
      <c r="B13" s="3" t="s">
        <v>15</v>
      </c>
    </row>
    <row r="14" spans="2:3" ht="28" customHeight="1">
      <c r="B14" s="4" t="s">
        <v>16</v>
      </c>
      <c r="C14" s="5" t="s">
        <v>17</v>
      </c>
    </row>
    <row r="15" spans="2:3" ht="28" customHeight="1">
      <c r="B15" s="4" t="s">
        <v>18</v>
      </c>
      <c r="C15" s="6" t="s">
        <v>19</v>
      </c>
    </row>
    <row r="16" spans="2:3" ht="28" customHeight="1">
      <c r="B16" s="4" t="s">
        <v>20</v>
      </c>
      <c r="C16" s="5" t="s">
        <v>21</v>
      </c>
    </row>
    <row r="17" spans="2:3" ht="28" customHeight="1">
      <c r="B17" s="4" t="s">
        <v>22</v>
      </c>
      <c r="C17" s="6" t="s">
        <v>23</v>
      </c>
    </row>
    <row r="18" spans="2:3" ht="28" customHeight="1">
      <c r="B18" s="4" t="s">
        <v>24</v>
      </c>
      <c r="C18" s="5" t="s">
        <v>25</v>
      </c>
    </row>
    <row r="19" spans="2:3" ht="28" customHeight="1">
      <c r="B19" s="4" t="s">
        <v>26</v>
      </c>
      <c r="C19" s="6" t="s">
        <v>27</v>
      </c>
    </row>
    <row r="21" spans="2:3">
      <c r="B21" s="3" t="s">
        <v>28</v>
      </c>
    </row>
    <row r="22" spans="2:3">
      <c r="B22" s="7" t="s">
        <v>29</v>
      </c>
      <c r="C22" s="7" t="s">
        <v>30</v>
      </c>
    </row>
    <row r="23" spans="2:3">
      <c r="B23" s="4" t="s">
        <v>31</v>
      </c>
      <c r="C23" s="5" t="s">
        <v>32</v>
      </c>
    </row>
    <row r="24" spans="2:3">
      <c r="B24" s="4" t="s">
        <v>33</v>
      </c>
      <c r="C24" s="6" t="s">
        <v>34</v>
      </c>
    </row>
    <row r="25" spans="2:3">
      <c r="B25" s="4" t="s">
        <v>35</v>
      </c>
      <c r="C25" s="5" t="s">
        <v>36</v>
      </c>
    </row>
    <row r="26" spans="2:3">
      <c r="B26" s="4" t="s">
        <v>37</v>
      </c>
      <c r="C26" s="6" t="s">
        <v>38</v>
      </c>
    </row>
    <row r="27" spans="2:3">
      <c r="B27" s="4" t="s">
        <v>39</v>
      </c>
      <c r="C27" s="5" t="s">
        <v>40</v>
      </c>
    </row>
    <row r="28" spans="2:3">
      <c r="B28" s="4" t="s">
        <v>41</v>
      </c>
      <c r="C28" s="6" t="s">
        <v>42</v>
      </c>
    </row>
    <row r="29" spans="2:3">
      <c r="B29" s="4" t="s">
        <v>43</v>
      </c>
      <c r="C29" s="5" t="s">
        <v>44</v>
      </c>
    </row>
    <row r="31" spans="2:3">
      <c r="B31" s="3" t="s">
        <v>45</v>
      </c>
    </row>
    <row r="32" spans="2:3" ht="26" customHeight="1">
      <c r="B32" s="8" t="s">
        <v>46</v>
      </c>
      <c r="C32" s="9" t="s">
        <v>47</v>
      </c>
    </row>
    <row r="33" spans="2:3" ht="26" customHeight="1">
      <c r="B33" s="8" t="s">
        <v>46</v>
      </c>
      <c r="C33" s="9" t="s">
        <v>48</v>
      </c>
    </row>
    <row r="34" spans="2:3" ht="26" customHeight="1">
      <c r="B34" s="8" t="s">
        <v>46</v>
      </c>
      <c r="C34" s="9" t="s">
        <v>49</v>
      </c>
    </row>
    <row r="35" spans="2:3" ht="26" customHeight="1">
      <c r="B35" s="8" t="s">
        <v>46</v>
      </c>
      <c r="C35" s="9" t="s">
        <v>50</v>
      </c>
    </row>
    <row r="36" spans="2:3" ht="26" customHeight="1">
      <c r="B36" s="8" t="s">
        <v>46</v>
      </c>
      <c r="C36" s="9" t="s">
        <v>51</v>
      </c>
    </row>
    <row r="37" spans="2:3" ht="26" customHeight="1">
      <c r="B37" s="8" t="s">
        <v>46</v>
      </c>
      <c r="C37" s="9" t="s">
        <v>52</v>
      </c>
    </row>
    <row r="38" spans="2:3" ht="26" customHeight="1">
      <c r="B38" s="8" t="s">
        <v>46</v>
      </c>
      <c r="C38" s="9" t="s">
        <v>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Param">
    <tabColor rgb="FFFFC000"/>
  </sheetPr>
  <dimension ref="B2:N72"/>
  <sheetViews>
    <sheetView showGridLines="0" workbookViewId="0">
      <pane ySplit="11" topLeftCell="A12" activePane="bottomLeft" state="frozen"/>
      <selection pane="bottomLeft"/>
    </sheetView>
  </sheetViews>
  <sheetFormatPr defaultRowHeight="15"/>
  <cols>
    <col min="1" max="1" width="2.7109375" customWidth="1"/>
    <col min="2" max="2" width="6.7109375" customWidth="1"/>
    <col min="3" max="3" width="40.7109375" customWidth="1"/>
    <col min="4" max="4" width="11.7109375" customWidth="1"/>
    <col min="5" max="5" width="13.7109375" customWidth="1"/>
    <col min="6" max="6" width="14.7109375" customWidth="1"/>
    <col min="7" max="9" width="11.7109375" customWidth="1"/>
    <col min="10" max="10" width="14.7109375" customWidth="1"/>
    <col min="11" max="13" width="9.7109375" customWidth="1"/>
    <col min="14" max="14" width="40.7109375" customWidth="1"/>
  </cols>
  <sheetData>
    <row r="2" spans="2:14">
      <c r="B2" s="1" t="s">
        <v>54</v>
      </c>
    </row>
    <row r="3" spans="2:14">
      <c r="B3" s="2" t="s">
        <v>55</v>
      </c>
    </row>
    <row r="5" spans="2:14">
      <c r="B5" s="10" t="s">
        <v>56</v>
      </c>
      <c r="C5" s="10"/>
      <c r="D5" s="11"/>
      <c r="E5" s="2" t="s">
        <v>57</v>
      </c>
    </row>
    <row r="6" spans="2:14">
      <c r="B6" s="10" t="s">
        <v>58</v>
      </c>
      <c r="C6" s="10"/>
      <c r="D6" s="12"/>
      <c r="E6" s="2" t="s">
        <v>59</v>
      </c>
    </row>
    <row r="7" spans="2:14">
      <c r="B7" s="10" t="s">
        <v>60</v>
      </c>
      <c r="C7" s="10"/>
      <c r="D7" s="13">
        <v>10000</v>
      </c>
      <c r="E7" s="2" t="s">
        <v>61</v>
      </c>
    </row>
    <row r="8" spans="2:14">
      <c r="B8" s="10" t="s">
        <v>62</v>
      </c>
      <c r="C8" s="10"/>
      <c r="D8" s="14"/>
      <c r="E8" s="2" t="s">
        <v>63</v>
      </c>
    </row>
    <row r="9" spans="2:14" ht="34" customHeight="1"/>
    <row r="10" spans="2:14">
      <c r="B10" s="3" t="s">
        <v>64</v>
      </c>
    </row>
    <row r="11" spans="2:14" ht="32" customHeight="1">
      <c r="B11" s="7" t="s">
        <v>65</v>
      </c>
      <c r="C11" s="7" t="s">
        <v>66</v>
      </c>
      <c r="D11" s="7" t="s">
        <v>67</v>
      </c>
      <c r="E11" s="7" t="s">
        <v>68</v>
      </c>
      <c r="F11" s="7" t="s">
        <v>69</v>
      </c>
      <c r="G11" s="7" t="s">
        <v>70</v>
      </c>
      <c r="H11" s="7" t="s">
        <v>71</v>
      </c>
      <c r="I11" s="7" t="s">
        <v>72</v>
      </c>
      <c r="J11" s="7" t="s">
        <v>73</v>
      </c>
      <c r="K11" s="7" t="s">
        <v>74</v>
      </c>
      <c r="L11" s="7" t="s">
        <v>75</v>
      </c>
      <c r="M11" s="7" t="s">
        <v>76</v>
      </c>
      <c r="N11" s="7" t="s">
        <v>77</v>
      </c>
    </row>
    <row r="12" spans="2:14">
      <c r="B12" s="15">
        <v>1</v>
      </c>
      <c r="C12" s="16" t="s">
        <v>78</v>
      </c>
      <c r="D12" s="15" t="s">
        <v>79</v>
      </c>
      <c r="E12" s="17">
        <v>1</v>
      </c>
      <c r="F12" s="15"/>
      <c r="G12" s="14"/>
      <c r="H12" s="14"/>
      <c r="I12" s="14"/>
      <c r="J12" s="15" t="s">
        <v>31</v>
      </c>
      <c r="K12" s="14">
        <v>7</v>
      </c>
      <c r="L12" s="14">
        <v>14</v>
      </c>
      <c r="M12" s="14">
        <v>28</v>
      </c>
      <c r="N12" s="16" t="s">
        <v>80</v>
      </c>
    </row>
    <row r="13" spans="2:14">
      <c r="B13" s="15">
        <v>2</v>
      </c>
      <c r="C13" s="16" t="s">
        <v>81</v>
      </c>
      <c r="D13" s="15" t="s">
        <v>79</v>
      </c>
      <c r="E13" s="17">
        <v>1</v>
      </c>
      <c r="F13" s="15" t="s">
        <v>35</v>
      </c>
      <c r="G13" s="14">
        <v>50000</v>
      </c>
      <c r="H13" s="14">
        <v>25000</v>
      </c>
      <c r="I13" s="14"/>
      <c r="J13" s="15"/>
      <c r="K13" s="14"/>
      <c r="L13" s="14"/>
      <c r="M13" s="14"/>
      <c r="N13" s="16" t="s">
        <v>82</v>
      </c>
    </row>
    <row r="14" spans="2:14">
      <c r="B14" s="15">
        <v>3</v>
      </c>
      <c r="C14" s="16" t="s">
        <v>83</v>
      </c>
      <c r="D14" s="15" t="s">
        <v>79</v>
      </c>
      <c r="E14" s="17">
        <v>0.35</v>
      </c>
      <c r="F14" s="15" t="s">
        <v>33</v>
      </c>
      <c r="G14" s="14">
        <v>30000</v>
      </c>
      <c r="H14" s="14">
        <v>80000</v>
      </c>
      <c r="I14" s="14">
        <v>200000</v>
      </c>
      <c r="J14" s="15" t="s">
        <v>33</v>
      </c>
      <c r="K14" s="14">
        <v>10</v>
      </c>
      <c r="L14" s="14">
        <v>25</v>
      </c>
      <c r="M14" s="14">
        <v>60</v>
      </c>
      <c r="N14" s="16" t="s">
        <v>84</v>
      </c>
    </row>
    <row r="15" spans="2:14">
      <c r="B15" s="15">
        <v>4</v>
      </c>
      <c r="C15" s="16" t="s">
        <v>85</v>
      </c>
      <c r="D15" s="15" t="s">
        <v>79</v>
      </c>
      <c r="E15" s="17">
        <v>0.2</v>
      </c>
      <c r="F15" s="15"/>
      <c r="G15" s="14"/>
      <c r="H15" s="14"/>
      <c r="I15" s="14"/>
      <c r="J15" s="15" t="s">
        <v>31</v>
      </c>
      <c r="K15" s="14">
        <v>5</v>
      </c>
      <c r="L15" s="14">
        <v>15</v>
      </c>
      <c r="M15" s="14">
        <v>45</v>
      </c>
      <c r="N15" s="16" t="s">
        <v>86</v>
      </c>
    </row>
    <row r="16" spans="2:14">
      <c r="B16" s="15">
        <v>5</v>
      </c>
      <c r="C16" s="16" t="s">
        <v>87</v>
      </c>
      <c r="D16" s="15" t="s">
        <v>79</v>
      </c>
      <c r="E16" s="17">
        <v>1</v>
      </c>
      <c r="F16" s="15"/>
      <c r="G16" s="14"/>
      <c r="H16" s="14"/>
      <c r="I16" s="14"/>
      <c r="J16" s="15" t="s">
        <v>37</v>
      </c>
      <c r="K16" s="14">
        <v>10</v>
      </c>
      <c r="L16" s="14">
        <v>40</v>
      </c>
      <c r="M16" s="14"/>
      <c r="N16" s="16" t="s">
        <v>88</v>
      </c>
    </row>
    <row r="17" spans="2:14">
      <c r="B17" s="15"/>
      <c r="C17" s="16"/>
      <c r="D17" s="15"/>
      <c r="E17" s="17"/>
      <c r="F17" s="15"/>
      <c r="G17" s="14"/>
      <c r="H17" s="14"/>
      <c r="I17" s="14"/>
      <c r="J17" s="15"/>
      <c r="K17" s="14"/>
      <c r="L17" s="14"/>
      <c r="M17" s="14"/>
      <c r="N17" s="16"/>
    </row>
    <row r="18" spans="2:14">
      <c r="B18" s="15"/>
      <c r="C18" s="16"/>
      <c r="D18" s="15"/>
      <c r="E18" s="17"/>
      <c r="F18" s="15"/>
      <c r="G18" s="14"/>
      <c r="H18" s="14"/>
      <c r="I18" s="14"/>
      <c r="J18" s="15"/>
      <c r="K18" s="14"/>
      <c r="L18" s="14"/>
      <c r="M18" s="14"/>
      <c r="N18" s="16"/>
    </row>
    <row r="19" spans="2:14">
      <c r="B19" s="15"/>
      <c r="C19" s="16"/>
      <c r="D19" s="15"/>
      <c r="E19" s="17"/>
      <c r="F19" s="15"/>
      <c r="G19" s="14"/>
      <c r="H19" s="14"/>
      <c r="I19" s="14"/>
      <c r="J19" s="15"/>
      <c r="K19" s="14"/>
      <c r="L19" s="14"/>
      <c r="M19" s="14"/>
      <c r="N19" s="16"/>
    </row>
    <row r="20" spans="2:14">
      <c r="B20" s="15"/>
      <c r="C20" s="16"/>
      <c r="D20" s="15"/>
      <c r="E20" s="17"/>
      <c r="F20" s="15"/>
      <c r="G20" s="14"/>
      <c r="H20" s="14"/>
      <c r="I20" s="14"/>
      <c r="J20" s="15"/>
      <c r="K20" s="14"/>
      <c r="L20" s="14"/>
      <c r="M20" s="14"/>
      <c r="N20" s="16"/>
    </row>
    <row r="21" spans="2:14">
      <c r="B21" s="15"/>
      <c r="C21" s="16"/>
      <c r="D21" s="15"/>
      <c r="E21" s="17"/>
      <c r="F21" s="15"/>
      <c r="G21" s="14"/>
      <c r="H21" s="14"/>
      <c r="I21" s="14"/>
      <c r="J21" s="15"/>
      <c r="K21" s="14"/>
      <c r="L21" s="14"/>
      <c r="M21" s="14"/>
      <c r="N21" s="16"/>
    </row>
    <row r="22" spans="2:14">
      <c r="B22" s="15"/>
      <c r="C22" s="16"/>
      <c r="D22" s="15"/>
      <c r="E22" s="17"/>
      <c r="F22" s="15"/>
      <c r="G22" s="14"/>
      <c r="H22" s="14"/>
      <c r="I22" s="14"/>
      <c r="J22" s="15"/>
      <c r="K22" s="14"/>
      <c r="L22" s="14"/>
      <c r="M22" s="14"/>
      <c r="N22" s="16"/>
    </row>
    <row r="23" spans="2:14">
      <c r="B23" s="15"/>
      <c r="C23" s="16"/>
      <c r="D23" s="15"/>
      <c r="E23" s="17"/>
      <c r="F23" s="15"/>
      <c r="G23" s="14"/>
      <c r="H23" s="14"/>
      <c r="I23" s="14"/>
      <c r="J23" s="15"/>
      <c r="K23" s="14"/>
      <c r="L23" s="14"/>
      <c r="M23" s="14"/>
      <c r="N23" s="16"/>
    </row>
    <row r="24" spans="2:14">
      <c r="B24" s="15"/>
      <c r="C24" s="16"/>
      <c r="D24" s="15"/>
      <c r="E24" s="17"/>
      <c r="F24" s="15"/>
      <c r="G24" s="14"/>
      <c r="H24" s="14"/>
      <c r="I24" s="14"/>
      <c r="J24" s="15"/>
      <c r="K24" s="14"/>
      <c r="L24" s="14"/>
      <c r="M24" s="14"/>
      <c r="N24" s="16"/>
    </row>
    <row r="25" spans="2:14">
      <c r="B25" s="15"/>
      <c r="C25" s="16"/>
      <c r="D25" s="15"/>
      <c r="E25" s="17"/>
      <c r="F25" s="15"/>
      <c r="G25" s="14"/>
      <c r="H25" s="14"/>
      <c r="I25" s="14"/>
      <c r="J25" s="15"/>
      <c r="K25" s="14"/>
      <c r="L25" s="14"/>
      <c r="M25" s="14"/>
      <c r="N25" s="16"/>
    </row>
    <row r="26" spans="2:14">
      <c r="B26" s="15"/>
      <c r="C26" s="16"/>
      <c r="D26" s="15"/>
      <c r="E26" s="17"/>
      <c r="F26" s="15"/>
      <c r="G26" s="14"/>
      <c r="H26" s="14"/>
      <c r="I26" s="14"/>
      <c r="J26" s="15"/>
      <c r="K26" s="14"/>
      <c r="L26" s="14"/>
      <c r="M26" s="14"/>
      <c r="N26" s="16"/>
    </row>
    <row r="27" spans="2:14">
      <c r="B27" s="15"/>
      <c r="C27" s="16"/>
      <c r="D27" s="15"/>
      <c r="E27" s="17"/>
      <c r="F27" s="15"/>
      <c r="G27" s="14"/>
      <c r="H27" s="14"/>
      <c r="I27" s="14"/>
      <c r="J27" s="15"/>
      <c r="K27" s="14"/>
      <c r="L27" s="14"/>
      <c r="M27" s="14"/>
      <c r="N27" s="16"/>
    </row>
    <row r="28" spans="2:14">
      <c r="B28" s="15"/>
      <c r="C28" s="16"/>
      <c r="D28" s="15"/>
      <c r="E28" s="17"/>
      <c r="F28" s="15"/>
      <c r="G28" s="14"/>
      <c r="H28" s="14"/>
      <c r="I28" s="14"/>
      <c r="J28" s="15"/>
      <c r="K28" s="14"/>
      <c r="L28" s="14"/>
      <c r="M28" s="14"/>
      <c r="N28" s="16"/>
    </row>
    <row r="29" spans="2:14">
      <c r="B29" s="15"/>
      <c r="C29" s="16"/>
      <c r="D29" s="15"/>
      <c r="E29" s="17"/>
      <c r="F29" s="15"/>
      <c r="G29" s="14"/>
      <c r="H29" s="14"/>
      <c r="I29" s="14"/>
      <c r="J29" s="15"/>
      <c r="K29" s="14"/>
      <c r="L29" s="14"/>
      <c r="M29" s="14"/>
      <c r="N29" s="16"/>
    </row>
    <row r="30" spans="2:14">
      <c r="B30" s="15"/>
      <c r="C30" s="16"/>
      <c r="D30" s="15"/>
      <c r="E30" s="17"/>
      <c r="F30" s="15"/>
      <c r="G30" s="14"/>
      <c r="H30" s="14"/>
      <c r="I30" s="14"/>
      <c r="J30" s="15"/>
      <c r="K30" s="14"/>
      <c r="L30" s="14"/>
      <c r="M30" s="14"/>
      <c r="N30" s="16"/>
    </row>
    <row r="31" spans="2:14">
      <c r="B31" s="15"/>
      <c r="C31" s="16"/>
      <c r="D31" s="15"/>
      <c r="E31" s="17"/>
      <c r="F31" s="15"/>
      <c r="G31" s="14"/>
      <c r="H31" s="14"/>
      <c r="I31" s="14"/>
      <c r="J31" s="15"/>
      <c r="K31" s="14"/>
      <c r="L31" s="14"/>
      <c r="M31" s="14"/>
      <c r="N31" s="16"/>
    </row>
    <row r="32" spans="2:14">
      <c r="B32" s="15"/>
      <c r="C32" s="16"/>
      <c r="D32" s="15"/>
      <c r="E32" s="17"/>
      <c r="F32" s="15"/>
      <c r="G32" s="14"/>
      <c r="H32" s="14"/>
      <c r="I32" s="14"/>
      <c r="J32" s="15"/>
      <c r="K32" s="14"/>
      <c r="L32" s="14"/>
      <c r="M32" s="14"/>
      <c r="N32" s="16"/>
    </row>
    <row r="33" spans="2:14">
      <c r="B33" s="15"/>
      <c r="C33" s="16"/>
      <c r="D33" s="15"/>
      <c r="E33" s="17"/>
      <c r="F33" s="15"/>
      <c r="G33" s="14"/>
      <c r="H33" s="14"/>
      <c r="I33" s="14"/>
      <c r="J33" s="15"/>
      <c r="K33" s="14"/>
      <c r="L33" s="14"/>
      <c r="M33" s="14"/>
      <c r="N33" s="16"/>
    </row>
    <row r="34" spans="2:14">
      <c r="B34" s="15"/>
      <c r="C34" s="16"/>
      <c r="D34" s="15"/>
      <c r="E34" s="17"/>
      <c r="F34" s="15"/>
      <c r="G34" s="14"/>
      <c r="H34" s="14"/>
      <c r="I34" s="14"/>
      <c r="J34" s="15"/>
      <c r="K34" s="14"/>
      <c r="L34" s="14"/>
      <c r="M34" s="14"/>
      <c r="N34" s="16"/>
    </row>
    <row r="35" spans="2:14">
      <c r="B35" s="15"/>
      <c r="C35" s="16"/>
      <c r="D35" s="15"/>
      <c r="E35" s="17"/>
      <c r="F35" s="15"/>
      <c r="G35" s="14"/>
      <c r="H35" s="14"/>
      <c r="I35" s="14"/>
      <c r="J35" s="15"/>
      <c r="K35" s="14"/>
      <c r="L35" s="14"/>
      <c r="M35" s="14"/>
      <c r="N35" s="16"/>
    </row>
    <row r="36" spans="2:14">
      <c r="B36" s="15"/>
      <c r="C36" s="16"/>
      <c r="D36" s="15"/>
      <c r="E36" s="17"/>
      <c r="F36" s="15"/>
      <c r="G36" s="14"/>
      <c r="H36" s="14"/>
      <c r="I36" s="14"/>
      <c r="J36" s="15"/>
      <c r="K36" s="14"/>
      <c r="L36" s="14"/>
      <c r="M36" s="14"/>
      <c r="N36" s="16"/>
    </row>
    <row r="37" spans="2:14">
      <c r="B37" s="15"/>
      <c r="C37" s="16"/>
      <c r="D37" s="15"/>
      <c r="E37" s="17"/>
      <c r="F37" s="15"/>
      <c r="G37" s="14"/>
      <c r="H37" s="14"/>
      <c r="I37" s="14"/>
      <c r="J37" s="15"/>
      <c r="K37" s="14"/>
      <c r="L37" s="14"/>
      <c r="M37" s="14"/>
      <c r="N37" s="16"/>
    </row>
    <row r="38" spans="2:14">
      <c r="B38" s="15"/>
      <c r="C38" s="16"/>
      <c r="D38" s="15"/>
      <c r="E38" s="17"/>
      <c r="F38" s="15"/>
      <c r="G38" s="14"/>
      <c r="H38" s="14"/>
      <c r="I38" s="14"/>
      <c r="J38" s="15"/>
      <c r="K38" s="14"/>
      <c r="L38" s="14"/>
      <c r="M38" s="14"/>
      <c r="N38" s="16"/>
    </row>
    <row r="39" spans="2:14">
      <c r="B39" s="15"/>
      <c r="C39" s="16"/>
      <c r="D39" s="15"/>
      <c r="E39" s="17"/>
      <c r="F39" s="15"/>
      <c r="G39" s="14"/>
      <c r="H39" s="14"/>
      <c r="I39" s="14"/>
      <c r="J39" s="15"/>
      <c r="K39" s="14"/>
      <c r="L39" s="14"/>
      <c r="M39" s="14"/>
      <c r="N39" s="16"/>
    </row>
    <row r="40" spans="2:14">
      <c r="B40" s="15"/>
      <c r="C40" s="16"/>
      <c r="D40" s="15"/>
      <c r="E40" s="17"/>
      <c r="F40" s="15"/>
      <c r="G40" s="14"/>
      <c r="H40" s="14"/>
      <c r="I40" s="14"/>
      <c r="J40" s="15"/>
      <c r="K40" s="14"/>
      <c r="L40" s="14"/>
      <c r="M40" s="14"/>
      <c r="N40" s="16"/>
    </row>
    <row r="41" spans="2:14">
      <c r="B41" s="15"/>
      <c r="C41" s="16"/>
      <c r="D41" s="15"/>
      <c r="E41" s="17"/>
      <c r="F41" s="15"/>
      <c r="G41" s="14"/>
      <c r="H41" s="14"/>
      <c r="I41" s="14"/>
      <c r="J41" s="15"/>
      <c r="K41" s="14"/>
      <c r="L41" s="14"/>
      <c r="M41" s="14"/>
      <c r="N41" s="16"/>
    </row>
    <row r="42" spans="2:14">
      <c r="B42" s="15"/>
      <c r="C42" s="16"/>
      <c r="D42" s="15"/>
      <c r="E42" s="17"/>
      <c r="F42" s="15"/>
      <c r="G42" s="14"/>
      <c r="H42" s="14"/>
      <c r="I42" s="14"/>
      <c r="J42" s="15"/>
      <c r="K42" s="14"/>
      <c r="L42" s="14"/>
      <c r="M42" s="14"/>
      <c r="N42" s="16"/>
    </row>
    <row r="43" spans="2:14">
      <c r="B43" s="15"/>
      <c r="C43" s="16"/>
      <c r="D43" s="15"/>
      <c r="E43" s="17"/>
      <c r="F43" s="15"/>
      <c r="G43" s="14"/>
      <c r="H43" s="14"/>
      <c r="I43" s="14"/>
      <c r="J43" s="15"/>
      <c r="K43" s="14"/>
      <c r="L43" s="14"/>
      <c r="M43" s="14"/>
      <c r="N43" s="16"/>
    </row>
    <row r="44" spans="2:14">
      <c r="B44" s="15"/>
      <c r="C44" s="16"/>
      <c r="D44" s="15"/>
      <c r="E44" s="17"/>
      <c r="F44" s="15"/>
      <c r="G44" s="14"/>
      <c r="H44" s="14"/>
      <c r="I44" s="14"/>
      <c r="J44" s="15"/>
      <c r="K44" s="14"/>
      <c r="L44" s="14"/>
      <c r="M44" s="14"/>
      <c r="N44" s="16"/>
    </row>
    <row r="45" spans="2:14">
      <c r="B45" s="15"/>
      <c r="C45" s="16"/>
      <c r="D45" s="15"/>
      <c r="E45" s="17"/>
      <c r="F45" s="15"/>
      <c r="G45" s="14"/>
      <c r="H45" s="14"/>
      <c r="I45" s="14"/>
      <c r="J45" s="15"/>
      <c r="K45" s="14"/>
      <c r="L45" s="14"/>
      <c r="M45" s="14"/>
      <c r="N45" s="16"/>
    </row>
    <row r="46" spans="2:14">
      <c r="B46" s="15"/>
      <c r="C46" s="16"/>
      <c r="D46" s="15"/>
      <c r="E46" s="17"/>
      <c r="F46" s="15"/>
      <c r="G46" s="14"/>
      <c r="H46" s="14"/>
      <c r="I46" s="14"/>
      <c r="J46" s="15"/>
      <c r="K46" s="14"/>
      <c r="L46" s="14"/>
      <c r="M46" s="14"/>
      <c r="N46" s="16"/>
    </row>
    <row r="47" spans="2:14">
      <c r="B47" s="15"/>
      <c r="C47" s="16"/>
      <c r="D47" s="15"/>
      <c r="E47" s="17"/>
      <c r="F47" s="15"/>
      <c r="G47" s="14"/>
      <c r="H47" s="14"/>
      <c r="I47" s="14"/>
      <c r="J47" s="15"/>
      <c r="K47" s="14"/>
      <c r="L47" s="14"/>
      <c r="M47" s="14"/>
      <c r="N47" s="16"/>
    </row>
    <row r="48" spans="2:14">
      <c r="B48" s="15"/>
      <c r="C48" s="16"/>
      <c r="D48" s="15"/>
      <c r="E48" s="17"/>
      <c r="F48" s="15"/>
      <c r="G48" s="14"/>
      <c r="H48" s="14"/>
      <c r="I48" s="14"/>
      <c r="J48" s="15"/>
      <c r="K48" s="14"/>
      <c r="L48" s="14"/>
      <c r="M48" s="14"/>
      <c r="N48" s="16"/>
    </row>
    <row r="49" spans="2:14">
      <c r="B49" s="15"/>
      <c r="C49" s="16"/>
      <c r="D49" s="15"/>
      <c r="E49" s="17"/>
      <c r="F49" s="15"/>
      <c r="G49" s="14"/>
      <c r="H49" s="14"/>
      <c r="I49" s="14"/>
      <c r="J49" s="15"/>
      <c r="K49" s="14"/>
      <c r="L49" s="14"/>
      <c r="M49" s="14"/>
      <c r="N49" s="16"/>
    </row>
    <row r="50" spans="2:14">
      <c r="B50" s="15"/>
      <c r="C50" s="16"/>
      <c r="D50" s="15"/>
      <c r="E50" s="17"/>
      <c r="F50" s="15"/>
      <c r="G50" s="14"/>
      <c r="H50" s="14"/>
      <c r="I50" s="14"/>
      <c r="J50" s="15"/>
      <c r="K50" s="14"/>
      <c r="L50" s="14"/>
      <c r="M50" s="14"/>
      <c r="N50" s="16"/>
    </row>
    <row r="51" spans="2:14">
      <c r="B51" s="15"/>
      <c r="C51" s="16"/>
      <c r="D51" s="15"/>
      <c r="E51" s="17"/>
      <c r="F51" s="15"/>
      <c r="G51" s="14"/>
      <c r="H51" s="14"/>
      <c r="I51" s="14"/>
      <c r="J51" s="15"/>
      <c r="K51" s="14"/>
      <c r="L51" s="14"/>
      <c r="M51" s="14"/>
      <c r="N51" s="16"/>
    </row>
    <row r="52" spans="2:14">
      <c r="B52" s="15"/>
      <c r="C52" s="16"/>
      <c r="D52" s="15"/>
      <c r="E52" s="17"/>
      <c r="F52" s="15"/>
      <c r="G52" s="14"/>
      <c r="H52" s="14"/>
      <c r="I52" s="14"/>
      <c r="J52" s="15"/>
      <c r="K52" s="14"/>
      <c r="L52" s="14"/>
      <c r="M52" s="14"/>
      <c r="N52" s="16"/>
    </row>
    <row r="53" spans="2:14">
      <c r="B53" s="15"/>
      <c r="C53" s="16"/>
      <c r="D53" s="15"/>
      <c r="E53" s="17"/>
      <c r="F53" s="15"/>
      <c r="G53" s="14"/>
      <c r="H53" s="14"/>
      <c r="I53" s="14"/>
      <c r="J53" s="15"/>
      <c r="K53" s="14"/>
      <c r="L53" s="14"/>
      <c r="M53" s="14"/>
      <c r="N53" s="16"/>
    </row>
    <row r="54" spans="2:14">
      <c r="B54" s="15"/>
      <c r="C54" s="16"/>
      <c r="D54" s="15"/>
      <c r="E54" s="17"/>
      <c r="F54" s="15"/>
      <c r="G54" s="14"/>
      <c r="H54" s="14"/>
      <c r="I54" s="14"/>
      <c r="J54" s="15"/>
      <c r="K54" s="14"/>
      <c r="L54" s="14"/>
      <c r="M54" s="14"/>
      <c r="N54" s="16"/>
    </row>
    <row r="55" spans="2:14">
      <c r="B55" s="15"/>
      <c r="C55" s="16"/>
      <c r="D55" s="15"/>
      <c r="E55" s="17"/>
      <c r="F55" s="15"/>
      <c r="G55" s="14"/>
      <c r="H55" s="14"/>
      <c r="I55" s="14"/>
      <c r="J55" s="15"/>
      <c r="K55" s="14"/>
      <c r="L55" s="14"/>
      <c r="M55" s="14"/>
      <c r="N55" s="16"/>
    </row>
    <row r="56" spans="2:14">
      <c r="B56" s="15"/>
      <c r="C56" s="16"/>
      <c r="D56" s="15"/>
      <c r="E56" s="17"/>
      <c r="F56" s="15"/>
      <c r="G56" s="14"/>
      <c r="H56" s="14"/>
      <c r="I56" s="14"/>
      <c r="J56" s="15"/>
      <c r="K56" s="14"/>
      <c r="L56" s="14"/>
      <c r="M56" s="14"/>
      <c r="N56" s="16"/>
    </row>
    <row r="57" spans="2:14">
      <c r="B57" s="15"/>
      <c r="C57" s="16"/>
      <c r="D57" s="15"/>
      <c r="E57" s="17"/>
      <c r="F57" s="15"/>
      <c r="G57" s="14"/>
      <c r="H57" s="14"/>
      <c r="I57" s="14"/>
      <c r="J57" s="15"/>
      <c r="K57" s="14"/>
      <c r="L57" s="14"/>
      <c r="M57" s="14"/>
      <c r="N57" s="16"/>
    </row>
    <row r="58" spans="2:14">
      <c r="B58" s="15"/>
      <c r="C58" s="16"/>
      <c r="D58" s="15"/>
      <c r="E58" s="17"/>
      <c r="F58" s="15"/>
      <c r="G58" s="14"/>
      <c r="H58" s="14"/>
      <c r="I58" s="14"/>
      <c r="J58" s="15"/>
      <c r="K58" s="14"/>
      <c r="L58" s="14"/>
      <c r="M58" s="14"/>
      <c r="N58" s="16"/>
    </row>
    <row r="59" spans="2:14">
      <c r="B59" s="15"/>
      <c r="C59" s="16"/>
      <c r="D59" s="15"/>
      <c r="E59" s="17"/>
      <c r="F59" s="15"/>
      <c r="G59" s="14"/>
      <c r="H59" s="14"/>
      <c r="I59" s="14"/>
      <c r="J59" s="15"/>
      <c r="K59" s="14"/>
      <c r="L59" s="14"/>
      <c r="M59" s="14"/>
      <c r="N59" s="16"/>
    </row>
    <row r="60" spans="2:14">
      <c r="B60" s="15"/>
      <c r="C60" s="16"/>
      <c r="D60" s="15"/>
      <c r="E60" s="17"/>
      <c r="F60" s="15"/>
      <c r="G60" s="14"/>
      <c r="H60" s="14"/>
      <c r="I60" s="14"/>
      <c r="J60" s="15"/>
      <c r="K60" s="14"/>
      <c r="L60" s="14"/>
      <c r="M60" s="14"/>
      <c r="N60" s="16"/>
    </row>
    <row r="61" spans="2:14">
      <c r="B61" s="15"/>
      <c r="C61" s="16"/>
      <c r="D61" s="15"/>
      <c r="E61" s="17"/>
      <c r="F61" s="15"/>
      <c r="G61" s="14"/>
      <c r="H61" s="14"/>
      <c r="I61" s="14"/>
      <c r="J61" s="15"/>
      <c r="K61" s="14"/>
      <c r="L61" s="14"/>
      <c r="M61" s="14"/>
      <c r="N61" s="16"/>
    </row>
    <row r="64" spans="2:14">
      <c r="B64" s="3" t="s">
        <v>89</v>
      </c>
    </row>
    <row r="65" spans="2:14">
      <c r="B65" s="7" t="s">
        <v>29</v>
      </c>
      <c r="C65" s="7"/>
      <c r="D65" s="7" t="s">
        <v>90</v>
      </c>
      <c r="E65" s="7"/>
      <c r="F65" s="7"/>
      <c r="G65" s="7" t="s">
        <v>91</v>
      </c>
      <c r="H65" s="7"/>
      <c r="I65" s="7"/>
      <c r="J65" s="7" t="s">
        <v>92</v>
      </c>
      <c r="K65" s="7"/>
      <c r="L65" s="7"/>
      <c r="M65" s="7"/>
      <c r="N65" s="7" t="s">
        <v>93</v>
      </c>
    </row>
    <row r="66" spans="2:14" ht="30" customHeight="1">
      <c r="B66" s="4" t="s">
        <v>31</v>
      </c>
      <c r="C66" s="4"/>
      <c r="D66" s="5" t="s">
        <v>94</v>
      </c>
      <c r="E66" s="5"/>
      <c r="F66" s="5"/>
      <c r="G66" s="5" t="s">
        <v>95</v>
      </c>
      <c r="H66" s="5"/>
      <c r="I66" s="5"/>
      <c r="J66" s="5" t="s">
        <v>96</v>
      </c>
      <c r="K66" s="5"/>
      <c r="L66" s="5"/>
      <c r="M66" s="5"/>
      <c r="N66" s="5" t="s">
        <v>97</v>
      </c>
    </row>
    <row r="67" spans="2:14" ht="30" customHeight="1">
      <c r="B67" s="4" t="s">
        <v>33</v>
      </c>
      <c r="C67" s="4"/>
      <c r="D67" s="6" t="s">
        <v>94</v>
      </c>
      <c r="E67" s="6"/>
      <c r="F67" s="6"/>
      <c r="G67" s="6" t="s">
        <v>95</v>
      </c>
      <c r="H67" s="6"/>
      <c r="I67" s="6"/>
      <c r="J67" s="6" t="s">
        <v>96</v>
      </c>
      <c r="K67" s="6"/>
      <c r="L67" s="6"/>
      <c r="M67" s="6"/>
      <c r="N67" s="6" t="s">
        <v>98</v>
      </c>
    </row>
    <row r="68" spans="2:14" ht="30" customHeight="1">
      <c r="B68" s="4" t="s">
        <v>35</v>
      </c>
      <c r="C68" s="4"/>
      <c r="D68" s="5" t="s">
        <v>99</v>
      </c>
      <c r="E68" s="5"/>
      <c r="F68" s="5"/>
      <c r="G68" s="5" t="s">
        <v>100</v>
      </c>
      <c r="H68" s="5"/>
      <c r="I68" s="5"/>
      <c r="J68" s="5"/>
      <c r="K68" s="5"/>
      <c r="L68" s="5"/>
      <c r="M68" s="5"/>
      <c r="N68" s="5" t="s">
        <v>101</v>
      </c>
    </row>
    <row r="69" spans="2:14" ht="30" customHeight="1">
      <c r="B69" s="4" t="s">
        <v>37</v>
      </c>
      <c r="C69" s="4"/>
      <c r="D69" s="6" t="s">
        <v>94</v>
      </c>
      <c r="E69" s="6"/>
      <c r="F69" s="6"/>
      <c r="G69" s="6" t="s">
        <v>102</v>
      </c>
      <c r="H69" s="6"/>
      <c r="I69" s="6"/>
      <c r="J69" s="6"/>
      <c r="K69" s="6"/>
      <c r="L69" s="6"/>
      <c r="M69" s="6"/>
      <c r="N69" s="6" t="s">
        <v>103</v>
      </c>
    </row>
    <row r="70" spans="2:14" ht="30" customHeight="1">
      <c r="B70" s="4" t="s">
        <v>39</v>
      </c>
      <c r="C70" s="4"/>
      <c r="D70" s="5" t="s">
        <v>99</v>
      </c>
      <c r="E70" s="5"/>
      <c r="F70" s="5"/>
      <c r="G70" s="5" t="s">
        <v>100</v>
      </c>
      <c r="H70" s="5"/>
      <c r="I70" s="5"/>
      <c r="J70" s="5"/>
      <c r="K70" s="5"/>
      <c r="L70" s="5"/>
      <c r="M70" s="5"/>
      <c r="N70" s="5" t="s">
        <v>104</v>
      </c>
    </row>
    <row r="71" spans="2:14" ht="30" customHeight="1">
      <c r="B71" s="4" t="s">
        <v>41</v>
      </c>
      <c r="C71" s="4"/>
      <c r="D71" s="6" t="s">
        <v>99</v>
      </c>
      <c r="E71" s="6"/>
      <c r="F71" s="6"/>
      <c r="G71" s="6"/>
      <c r="H71" s="6"/>
      <c r="I71" s="6"/>
      <c r="J71" s="6"/>
      <c r="K71" s="6"/>
      <c r="L71" s="6"/>
      <c r="M71" s="6"/>
      <c r="N71" s="6" t="s">
        <v>105</v>
      </c>
    </row>
    <row r="72" spans="2:14" ht="30" customHeight="1">
      <c r="B72" s="4" t="s">
        <v>43</v>
      </c>
      <c r="C72" s="4"/>
      <c r="D72" s="5" t="s">
        <v>106</v>
      </c>
      <c r="E72" s="5"/>
      <c r="F72" s="5"/>
      <c r="G72" s="5" t="s">
        <v>107</v>
      </c>
      <c r="H72" s="5"/>
      <c r="I72" s="5"/>
      <c r="J72" s="5"/>
      <c r="K72" s="5"/>
      <c r="L72" s="5"/>
      <c r="M72" s="5"/>
      <c r="N72" s="5" t="s">
        <v>108</v>
      </c>
    </row>
  </sheetData>
  <mergeCells count="36">
    <mergeCell ref="B5:C5"/>
    <mergeCell ref="B6:C6"/>
    <mergeCell ref="B7:C7"/>
    <mergeCell ref="B8:C8"/>
    <mergeCell ref="B65:C65"/>
    <mergeCell ref="D65:F65"/>
    <mergeCell ref="G65:I65"/>
    <mergeCell ref="J65:L65"/>
    <mergeCell ref="B66:C66"/>
    <mergeCell ref="D66:F66"/>
    <mergeCell ref="G66:I66"/>
    <mergeCell ref="J66:L66"/>
    <mergeCell ref="B67:C67"/>
    <mergeCell ref="D67:F67"/>
    <mergeCell ref="G67:I67"/>
    <mergeCell ref="J67:L67"/>
    <mergeCell ref="B68:C68"/>
    <mergeCell ref="D68:F68"/>
    <mergeCell ref="G68:I68"/>
    <mergeCell ref="J68:L68"/>
    <mergeCell ref="B69:C69"/>
    <mergeCell ref="D69:F69"/>
    <mergeCell ref="G69:I69"/>
    <mergeCell ref="J69:L69"/>
    <mergeCell ref="B70:C70"/>
    <mergeCell ref="D70:F70"/>
    <mergeCell ref="G70:I70"/>
    <mergeCell ref="J70:L70"/>
    <mergeCell ref="B71:C71"/>
    <mergeCell ref="D71:F71"/>
    <mergeCell ref="G71:I71"/>
    <mergeCell ref="J71:L71"/>
    <mergeCell ref="B72:C72"/>
    <mergeCell ref="D72:F72"/>
    <mergeCell ref="G72:I72"/>
    <mergeCell ref="J72:L72"/>
  </mergeCells>
  <dataValidations count="13">
    <dataValidation type="decimal" operator="greaterThanOrEqual" allowBlank="1" showInputMessage="1" showErrorMessage="1" errorTitle="Valor no válido" error="Ingrese un número mayor o igual a 0 (o deje la celda vacía)." sqref="D5:D6">
      <formula1>0</formula1>
    </dataValidation>
    <dataValidation type="whole" allowBlank="1" showInputMessage="1" showErrorMessage="1" errorTitle="Valor no válido" error="El número de iteraciones debe ser un entero entre 1,000 y 100,000." promptTitle="Iteraciones" prompt="Entero entre 1,000 y 100,000." sqref="D7">
      <formula1>1000</formula1>
      <formula2>100000</formula2>
    </dataValidation>
    <dataValidation type="whole" allowBlank="1" showInputMessage="1" showErrorMessage="1" errorTitle="Semilla no válida" error="Ingrese un entero positivo o deje la celda vacía." sqref="D8">
      <formula1>0</formula1>
      <formula2>2147483647</formula2>
    </dataValidation>
    <dataValidation type="list" allowBlank="1" showInputMessage="1" showErrorMessage="1" sqref="D12:D61">
      <formula1>"SI,NO"</formula1>
    </dataValidation>
    <dataValidation type="decimal" allowBlank="1" showInputMessage="1" showErrorMessage="1" errorTitle="Probabilidad no válida" error="Ingrese un valor entre 0 y 1 (ej. 0.35 o 35%)." sqref="E12:E61">
      <formula1>0</formula1>
      <formula2>1</formula2>
    </dataValidation>
    <dataValidation type="list" allowBlank="1" showInputMessage="1" showErrorMessage="1" errorTitle="Distribución no válida" error="Elija una distribución de la lista o deje la celda vacía." sqref="F12:F61">
      <formula1>"TRIANGULAR,PERT,NORMAL,UNIFORME,LOGNORMAL,EXPONENCIAL,WEIBULL"</formula1>
    </dataValidation>
    <dataValidation type="list" allowBlank="1" showInputMessage="1" showErrorMessage="1" errorTitle="Distribución no válida" error="Elija una distribución de la lista o deje la celda vacía." sqref="J12:J61">
      <formula1>"TRIANGULAR,PERT,NORMAL,UNIFORME,LOGNORMAL,EXPONENCIAL,WEIBULL"</formula1>
    </dataValidation>
    <dataValidation type="decimal" allowBlank="1" showInputMessage="1" showErrorMessage="1" errorTitle="Parámetro no válido" error="Ingrese un número." sqref="G12:G61">
      <formula1>-1000000000000000.0</formula1>
      <formula2>1000000000000000.0</formula2>
    </dataValidation>
    <dataValidation type="decimal" allowBlank="1" showInputMessage="1" showErrorMessage="1" errorTitle="Parámetro no válido" error="Ingrese un número." sqref="H12:H61">
      <formula1>-1000000000000000.0</formula1>
      <formula2>1000000000000000.0</formula2>
    </dataValidation>
    <dataValidation type="decimal" allowBlank="1" showInputMessage="1" showErrorMessage="1" errorTitle="Parámetro no válido" error="Ingrese un número." sqref="I12:I61">
      <formula1>-1000000000000000.0</formula1>
      <formula2>1000000000000000.0</formula2>
    </dataValidation>
    <dataValidation type="decimal" allowBlank="1" showInputMessage="1" showErrorMessage="1" errorTitle="Parámetro no válido" error="Ingrese un número." sqref="K12:K61">
      <formula1>-1000000000000000.0</formula1>
      <formula2>1000000000000000.0</formula2>
    </dataValidation>
    <dataValidation type="decimal" allowBlank="1" showInputMessage="1" showErrorMessage="1" errorTitle="Parámetro no válido" error="Ingrese un número." sqref="L12:L61">
      <formula1>-1000000000000000.0</formula1>
      <formula2>1000000000000000.0</formula2>
    </dataValidation>
    <dataValidation type="decimal" allowBlank="1" showInputMessage="1" showErrorMessage="1" errorTitle="Parámetro no válido" error="Ingrese un número." sqref="M12:M61">
      <formula1>-1000000000000000.0</formula1>
      <formula2>1000000000000000.0</formula2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">
    <tabColor rgb="FF0F6E56"/>
  </sheetPr>
  <dimension ref="B2"/>
  <sheetViews>
    <sheetView showGridLines="0" workbookViewId="0"/>
  </sheetViews>
  <sheetFormatPr defaultRowHeight="15"/>
  <cols>
    <col min="1" max="1" width="2.7109375" customWidth="1"/>
  </cols>
  <sheetData>
    <row r="2" spans="2:2">
      <c r="B2" s="18" t="s">
        <v>109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Curva">
    <tabColor rgb="FF185FA5"/>
  </sheetPr>
  <dimension ref="B2"/>
  <sheetViews>
    <sheetView showGridLines="0" workbookViewId="0"/>
  </sheetViews>
  <sheetFormatPr defaultRowHeight="15"/>
  <cols>
    <col min="1" max="1" width="2.7109375" customWidth="1"/>
  </cols>
  <sheetData>
    <row r="2" spans="2:2">
      <c r="B2" s="18" t="s">
        <v>110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ornado">
    <tabColor rgb="FF993C1D"/>
  </sheetPr>
  <dimension ref="B2"/>
  <sheetViews>
    <sheetView showGridLines="0" workbookViewId="0"/>
  </sheetViews>
  <sheetFormatPr defaultRowHeight="15"/>
  <cols>
    <col min="1" max="1" width="2.7109375" customWidth="1"/>
  </cols>
  <sheetData>
    <row r="2" spans="2:2">
      <c r="B2" s="18" t="s">
        <v>111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Rangos">
    <tabColor rgb="FF854F0B"/>
  </sheetPr>
  <dimension ref="B2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2.7109375" customWidth="1"/>
  </cols>
  <sheetData>
    <row r="2" spans="2:2">
      <c r="B2" s="18" t="s">
        <v>112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Sim">
    <tabColor rgb="FF5F5E5A"/>
  </sheetPr>
  <dimension ref="B2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2.7109375" customWidth="1"/>
  </cols>
  <sheetData>
    <row r="2" spans="2:2">
      <c r="B2" s="18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INICIO</vt:lpstr>
      <vt:lpstr>PARAMETROS</vt:lpstr>
      <vt:lpstr>RESULTADOS</vt:lpstr>
      <vt:lpstr>CURVA_S</vt:lpstr>
      <vt:lpstr>TORNADO</vt:lpstr>
      <vt:lpstr>RANGOS</vt:lpstr>
      <vt:lpstr>SIMULACION</vt:lpstr>
      <vt:lpstr>CostoBase</vt:lpstr>
      <vt:lpstr>Iteraciones</vt:lpstr>
      <vt:lpstr>PlazoBase</vt:lpstr>
      <vt:lpstr>Semilla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Análisis de riesgos - Simulación Montecarlo</dc:title>
  <dc:subject>Riesgos de costo y plazo en obras de construcción</dc:subject>
  <dc:creator/>
  <dc:description>Macro VBA incluida (módulo MonteCarlo).</dc:description>
  <cp:lastModifiedBy/>
  <dcterms:created xsi:type="dcterms:W3CDTF">2026-09-25T14:50:36Z</dcterms:created>
  <dcterms:modified xsi:type="dcterms:W3CDTF">2026-09-25T14:50:36Z</dcterms:modified>
</cp:coreProperties>
</file>