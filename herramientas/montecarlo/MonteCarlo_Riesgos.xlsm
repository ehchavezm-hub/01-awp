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haredStrings.xml" ContentType="application/vnd.openxmlformats-officedocument.spreadsheetml.sharedString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INICIO" sheetId="1" r:id="rId1"/>
    <sheet name="GUIA" sheetId="2" r:id="rId2"/>
    <sheet name="PARAMETROS" sheetId="3" r:id="rId3"/>
    <sheet name="RESULTADOS" sheetId="4" r:id="rId4"/>
    <sheet name="CURVA_S" sheetId="5" r:id="rId5"/>
    <sheet name="TORNADO" sheetId="6" r:id="rId6"/>
    <sheet name="RANGOS" sheetId="7" r:id="rId7"/>
    <sheet name="MATRIZ_PI" sheetId="8" r:id="rId8"/>
    <sheet name="COMPARACION" sheetId="9" r:id="rId9"/>
    <sheet name="SIMULACION" sheetId="10" r:id="rId10"/>
    <sheet name="TEORIA" sheetId="11" r:id="rId11"/>
  </sheets>
  <definedNames>
    <definedName name="CostoBase">PARAMETROS!$D$5</definedName>
    <definedName name="Iteraciones">PARAMETROS!$D$7</definedName>
    <definedName name="ListaDistribuciones">GUIA!$B$139:$B$159</definedName>
    <definedName name="NivelConfianza">PARAMETROS!$D$9</definedName>
    <definedName name="PlazoBase">PARAMETROS!$D$6</definedName>
    <definedName name="ReservaGestionPct">PARAMETROS!$D$10</definedName>
    <definedName name="Semilla">PARAMETROS!$D$8</definedName>
  </definedNames>
  <calcPr calcId="124519" fullCalcOnLoad="1"/>
</workbook>
</file>

<file path=xl/sharedStrings.xml><?xml version="1.0" encoding="utf-8"?>
<sst xmlns="http://schemas.openxmlformats.org/spreadsheetml/2006/main" count="954" uniqueCount="533">
  <si>
    <t>ANÁLISIS CUANTITATIVO DE RIESGOS — SIMULACIÓN MONTECARLO</t>
  </si>
  <si>
    <t>Costo, plazo e ingeniería (diseño y campo) en obras de construcción · amenazas y oportunidades</t>
  </si>
  <si>
    <t>⚠ Los 32 riesgos R-01…R-32 traen ESTIMACIONES PRELIMINARES (ESTADO = «ESTIMADO – VALIDAR») con costo base supuesto S/ 200 M y plazo 730 días. Valídelas con cada dueño de riesgo antes de usar los resultados.</t>
  </si>
  <si>
    <t>HOJAS DEL LIBRO</t>
  </si>
  <si>
    <t>INICIO</t>
  </si>
  <si>
    <t>Esta hoja: propósito, pasos de uso, resumen del método y limitaciones.</t>
  </si>
  <si>
    <t>GUIA</t>
  </si>
  <si>
    <t>Guía práctica de distribuciones para no especialistas y catálogo de las 20 disponibles (fuente de los menús).</t>
  </si>
  <si>
    <t>PARAMETROS</t>
  </si>
  <si>
    <t>Configuración, dimensiones de impacto (tblDimensiones), escalas de la matriz (tblEscalas), registro de riesgos (tblRiesgos) y botones. Celdas ámbar claro = editables.</t>
  </si>
  <si>
    <t>RESULTADOS</t>
  </si>
  <si>
    <t>Resumen por dimensión, percentiles P0–P100, estadísticas, VME, reservas (contingencia y gestión), precisión de la simulación, correlación lograda y advertencias.</t>
  </si>
  <si>
    <t>CURVA_S</t>
  </si>
  <si>
    <t>Curva S (probabilidad acumulada) con marcas P50 y del nivel elegido, e histograma de cada dimensión.</t>
  </si>
  <si>
    <t>TORNADO</t>
  </si>
  <si>
    <t>Sensibilidad: Spearman, contribución a la varianza y swing de cada riesgo, por dimensión.</t>
  </si>
  <si>
    <t>RANGOS</t>
  </si>
  <si>
    <t>Mínimo, P10, P25, P50, P75, P90, máximo, promedio y VME de cada riesgo y de los totales.</t>
  </si>
  <si>
    <t>MATRIZ_PI</t>
  </si>
  <si>
    <t>Matriz probabilidad–impacto 5×5 general y por dimensión, con la clasificación de cada riesgo.</t>
  </si>
  <si>
    <t>COMPARACION</t>
  </si>
  <si>
    <t>Antes vs. después de las respuestas (PROB_RESIDUAL, FACTOR_IMPACTO_RESIDUAL, COSTO_RESPUESTA).</t>
  </si>
  <si>
    <t>SIMULACION</t>
  </si>
  <si>
    <t>Datos de las primeras 5 000 iteraciones (totales y cada riesgo).</t>
  </si>
  <si>
    <t>TEORIA</t>
  </si>
  <si>
    <t>Toda la teoría usada para construir la herramienta, con su bibliografía.</t>
  </si>
  <si>
    <t>CÓMO USAR ESTA HERRAMIENTA</t>
  </si>
  <si>
    <t>PASO 1</t>
  </si>
  <si>
    <t>Pulse «Habilitar contenido». Si Windows bloquea las macros de un archivo descargado: clic derecho en el archivo › Propiedades › marque «Desbloquear». La macro está abierta: con Alt+F11 puede ver y editar el código.</t>
  </si>
  <si>
    <t>PASO 2</t>
  </si>
  <si>
    <t>En PARAMETROS reemplace el costo base (S/ 200 M) y el plazo base (730 días) SUPUESTOS por los valores del contrato; revise iteraciones, semilla, nivel de confianza y % de reserva de gestión.</t>
  </si>
  <si>
    <t>PASO 3</t>
  </si>
  <si>
    <t>Valide con cada dueño de riesgo las ESTIMACIONES PRELIMINARES de R-01…R-32 (ESTADO = «ESTIMADO – VALIDAR») y cambie el ESTADO a «CUANTIFICADO». Los riesgos EJEMPLO están inactivos (ACTIVO = NO).</t>
  </si>
  <si>
    <t>PASO 4</t>
  </si>
  <si>
    <t>Para cada riesgo elija la distribución de cada dimensión con la hoja GUIA; la columna AYUDA_ indica qué va en P1…P4. Deje vacía la distribución de las dimensiones que el riesgo no afecta.</t>
  </si>
  <si>
    <t>PASO 5</t>
  </si>
  <si>
    <t>Opcional: registre la respuesta (ESTRATEGIA, PROB_RESIDUAL, FACTOR_IMPACTO_RESIDUAL, COSTO_RESPUESTA) y los grupos de correlación (GRUPO_CORRELACION, RHO_GRUPO).</t>
  </si>
  <si>
    <t>PASO 6</t>
  </si>
  <si>
    <t>Pulse «✔ VALIDAR DATOS» (errores en rojo, advertencias en ámbar) y luego «▶ CORRER SIMULACIÓN».</t>
  </si>
  <si>
    <t>PASO 7</t>
  </si>
  <si>
    <t>Lea RESULTADOS (reserva recomendada al nivel de confianza), CURVA_S, TORNADO, MATRIZ_PI y COMPARACION.</t>
  </si>
  <si>
    <t>PASO 8</t>
  </si>
  <si>
    <t>Para analizar otra dimensión (calidad, SSOMA, etc.) pulse «＋ AGREGAR DIMENSIÓN»: se crean sus columnas sin tocar el código.</t>
  </si>
  <si>
    <t>METODOLOGÍA (resumen)</t>
  </si>
  <si>
    <t>Riesgo (M1)</t>
  </si>
  <si>
    <t>Evento o condición incierta que, si ocurre, afecta los objetivos: AMENAZA si los perjudica, OPORTUNIDAD si los favorece (PMI).</t>
  </si>
  <si>
    <t>Evento de riesgo (M3)</t>
  </si>
  <si>
    <t>En cada iteración el riesgo ocurre con su PROBABILIDAD; si ocurre, se muestrea su impacto en TODAS las dimensiones que afecta con el mismo evento (Vose).</t>
  </si>
  <si>
    <t>Oportunidades (M4)</t>
  </si>
  <si>
    <t>Se ingresan con parámetros positivos; el modelo les aplica signo negativo.</t>
  </si>
  <si>
    <t>Dimensiones</t>
  </si>
  <si>
    <t>COSTO (S/), PLAZO (días), INGENIERÍA DE DISEÑO (HH), INGENIERÍA DE CAMPO (HH) y las que agregue el usuario. Cada una se suma por separado.</t>
  </si>
  <si>
    <t>Reservas (M7)</t>
  </si>
  <si>
    <t>Reserva para contingencias = percentil del nivel de confianza (80 % por defecto) del impacto de los riesgos conocidos. Reserva de gestión = % de la base para trabajo no previsto (no se simula).</t>
  </si>
  <si>
    <t>Correlación (M8)</t>
  </si>
  <si>
    <t>Riesgos del mismo GRUPO_CORRELACION se mueven juntos (Iman–Conover con un factor común).</t>
  </si>
  <si>
    <t>Generador (M9)</t>
  </si>
  <si>
    <t>MRG32k3a de L'Ecuyer, período ≈ 3,1 × 10^57; misma semilla = mismos resultados.</t>
  </si>
  <si>
    <t>Precisión (M10)</t>
  </si>
  <si>
    <t>Intervalos de confianza de la media y del percentil elegido; iteraciones sugeridas para ±1 %.</t>
  </si>
  <si>
    <t>Sensibilidad (M11)</t>
  </si>
  <si>
    <t>Tornado por correlación de rangos (Spearman), contribución a la varianza y swing.</t>
  </si>
  <si>
    <t>VME (M6)</t>
  </si>
  <si>
    <t>Valor monetario esperado = probabilidad × impacto medio; su suma se contrasta con la media simulada.</t>
  </si>
  <si>
    <t>Matriz P-I (M13)</t>
  </si>
  <si>
    <t>5×5 con umbrales editables (razón ~3 entre niveles) en tblEscalas.</t>
  </si>
  <si>
    <t>Antes/después (M12)</t>
  </si>
  <si>
    <t>Se simulan ambos escenarios con los mismos números aleatorios para medir el beneficio neto.</t>
  </si>
  <si>
    <t>Detalle completo</t>
  </si>
  <si>
    <t>Hoja TEORIA (13 secciones) y hoja GUIA (cómo elegir y llenar las distribuciones).</t>
  </si>
  <si>
    <t>LIMITACIONES</t>
  </si>
  <si>
    <t>•</t>
  </si>
  <si>
    <t>Los impactos de PLAZO se SUMAN: supuesto conservador de que todos los riesgos afectan la ruta crítica; no se modela la lógica de red del cronograma (Vose 19.2).</t>
  </si>
  <si>
    <t>Los riesgos son independientes salvo los que comparten GRUPO_CORRELACION. Con probabilidades &lt; 1 hay muchos ceros (empates) y la correlación lograda es menor que la objetivo; RESULTADOS muestra ambas.</t>
  </si>
  <si>
    <t>NORMAL y LOGISTICA pueden dar valores negativos (oportunidades dentro del riesgo): no se truncan a 0. Use NORMAL_TRUNCADA si no deben existir negativos.</t>
  </si>
  <si>
    <t>Las dimensiones en HH no se convierten a soles; si ese costo ya está en COSTO_P*, no lo sume de nuevo (doble conteo).</t>
  </si>
  <si>
    <t>Las estimaciones de R-01…R-32 son PRELIMINARES (base supuesta S/ 200 M, 730 días) y deben validarse.</t>
  </si>
  <si>
    <t>Técnicas evaluadas y no aplicadas (hipercubo latino, Subset Simulation, MCMC, etc.): ver TEORIA, sección 12.</t>
  </si>
  <si>
    <t>GUÍA DE DISTRIBUCIONES PARA NO ESPECIALISTAS</t>
  </si>
  <si>
    <t>Cómo describir la incertidumbre de cada impacto y qué poner en P1…P4. Fuente principal: Vose (caps. 1, 9 y 14).</t>
  </si>
  <si>
    <t>1. ¿QUÉ ES UNA DISTRIBUCIÓN?</t>
  </si>
  <si>
    <t>Una distribución describe lo que NO sabemos con exactitud: qué valores son posibles y cuáles son más probables. En vez de decir «el sobrecosto será S/ 600 000», decimos «estará entre 200 000 y 1 400 000, lo más probable 600 000».</t>
  </si>
  <si>
    <t>En cada riesgo hay DOS preguntas distintas, y van en lugares distintos:</t>
  </si>
  <si>
    <t xml:space="preserve">   1) ¿Ocurre o no ocurre? → columna PROBABILIDAD (ej. 0,55 = 55 % de chance de que la Supervisión demore las aprobaciones).</t>
  </si>
  <si>
    <t xml:space="preserve">   2) Si ocurre, ¿cuánto cuesta o demora? → la DISTRIBUCIÓN de cada dimensión (ej. PLAZO TRIANGULAR 10 / 20 / 45 días).</t>
  </si>
  <si>
    <t>Ejemplo R-11 (demoras de aprobación de la Supervisión): PROBABILIDAD 0,55; COSTO PERT 200 000 / 600 000 / 1 400 000; PLAZO TRIANGULAR 10 / 20 / 45 días. En el 45 % de las iteraciones el riesgo no ocurre e impacta 0.</t>
  </si>
  <si>
    <t>2. ÁRBOL DE DECISIÓN: ¿QUÉ SÉ DEL IMPACTO?</t>
  </si>
  <si>
    <t>SI USTED SABE…</t>
  </si>
  <si>
    <t>USE</t>
  </si>
  <si>
    <t>Solo conozco un rango, sin valor más probable</t>
  </si>
  <si>
    <t>UNIFORME</t>
  </si>
  <si>
    <t>Conozco mínimo, más probable y máximo</t>
  </si>
  <si>
    <t>PERT (recomendada) o TRIANGULAR</t>
  </si>
  <si>
    <t>El experto dice «rara vez baja de X o pasa de Y»</t>
  </si>
  <si>
    <t>TRIGEN (P10 / moda / P90)</t>
  </si>
  <si>
    <t>Tengo promedio y dispersión simétrica (datos históricos)</t>
  </si>
  <si>
    <t>NORMAL (o NORMAL_TRUNCADA si hay límites)</t>
  </si>
  <si>
    <t>Costos o duraciones sesgados a la derecha, nunca negativos</t>
  </si>
  <si>
    <t>LOGNORMAL o GAMMA</t>
  </si>
  <si>
    <t>Cuento eventos (accidentes, NCR, RFI) en el periodo</t>
  </si>
  <si>
    <t>POISSON o BINOMIAL</t>
  </si>
  <si>
    <t>Pocos escenarios con probabilidad conocida</t>
  </si>
  <si>
    <t>DISCRETA</t>
  </si>
  <si>
    <t>El valor es seguro si el riesgo ocurre</t>
  </si>
  <si>
    <t>CONSTANTE</t>
  </si>
  <si>
    <t>Colas extremas (reclamos grandes, eventos raros)</t>
  </si>
  <si>
    <t>PARETO, GUMBEL o LOGNORMAL</t>
  </si>
  <si>
    <t>3. CÓMO PREGUNTAR AL EXPERTO (3 preguntas)</t>
  </si>
  <si>
    <t>1. «Si todo sale bien, ¿cuál es el MÍNIMO razonable del impacto?» (pregunte primero los extremos para evitar el anclaje).</t>
  </si>
  <si>
    <t>2. «Si todo sale mal, ¿cuál es el MÁXIMO razonable?» (sin catástrofes absurdas; si hay dudas, use TRIGEN con P10/P90).</t>
  </si>
  <si>
    <t>3. «¿Cuál es el valor MÁS PROBABLE?» (la moda, no el promedio). Luego pregunte la PROBABILIDAD de que el riesgo ocurra.</t>
  </si>
  <si>
    <t>Registre de dónde sale cada número (experto, histórico, cotización) en NOTAS. Fuente: Vose, cap. 14 (elicitación de expertos).</t>
  </si>
  <si>
    <t>4. CATÁLOGO: QUÉ VA EN P1…P4 (tblDistribuciones, fuente de los menús y de la AYUDA)</t>
  </si>
  <si>
    <t>DISTRIBUCION</t>
  </si>
  <si>
    <t>P1</t>
  </si>
  <si>
    <t>P2</t>
  </si>
  <si>
    <t>P3</t>
  </si>
  <si>
    <t>P4</t>
  </si>
  <si>
    <t>AYUDA</t>
  </si>
  <si>
    <t>CUANDO USAR</t>
  </si>
  <si>
    <t>EJEMPLO</t>
  </si>
  <si>
    <t>Valor</t>
  </si>
  <si>
    <t>P1=Valor</t>
  </si>
  <si>
    <t>El impacto se conoce con certeza si el riesgo ocurre.</t>
  </si>
  <si>
    <t>Multa fija de S/ 250 000 si se incumple un hito.</t>
  </si>
  <si>
    <t>Mínimo</t>
  </si>
  <si>
    <t>Máximo</t>
  </si>
  <si>
    <t>P1=Mínimo · P2=Máximo</t>
  </si>
  <si>
    <t>Solo se conoce un rango; ningún valor es más probable que otro.</t>
  </si>
  <si>
    <t>Demora de 10 a 40 días en un permiso municipal, sin valor típico.</t>
  </si>
  <si>
    <t>TRIANGULAR</t>
  </si>
  <si>
    <t>Moda (más probable)</t>
  </si>
  <si>
    <t>P1=Mínimo · P2=Moda (más probable) · P3=Máximo</t>
  </si>
  <si>
    <t>Se conocen mínimo, más probable y máximo; da bastante peso a los extremos.</t>
  </si>
  <si>
    <t>Retraso en aprobación de submittals: 10 / 20 / 45 días.</t>
  </si>
  <si>
    <t>TRIGEN</t>
  </si>
  <si>
    <t>Valor bajo</t>
  </si>
  <si>
    <t>Moda</t>
  </si>
  <si>
    <t>Valor alto</t>
  </si>
  <si>
    <t>% bajo (ej. 10)</t>
  </si>
  <si>
    <t>P1=Valor bajo · P2=Moda · P3=Valor alto · P4=% bajo (ej. 10)</t>
  </si>
  <si>
    <t>El experto da valores que «rara vez» se superan (P10 / P90) en vez de extremos absolutos.</t>
  </si>
  <si>
    <t>«Rara vez menos de 5 días, lo normal 12, rara vez más de 30» → 5 / 12 / 30 / 10.</t>
  </si>
  <si>
    <t>PERT</t>
  </si>
  <si>
    <t>Recomendada para tres puntos: más peso en la moda que la triangular (Beta-PERT, λ = 4).</t>
  </si>
  <si>
    <t>Sobrecosto por reprocesos: 0,8 / 2,5 / 6,0 millones S/.</t>
  </si>
  <si>
    <t>PERT_MODIFICADA</t>
  </si>
  <si>
    <t>Gamma (4 = PERT)</t>
  </si>
  <si>
    <t>P1=Mínimo · P2=Moda · P3=Máximo · P4=Gamma (4 = PERT)</t>
  </si>
  <si>
    <t>Como PERT pero ajustando la confianza en la moda: gamma alto = más concentrada.</t>
  </si>
  <si>
    <t>Moda muy confiable: gamma = 8; poco confiable: gamma = 2.</t>
  </si>
  <si>
    <t>BETA_GENERAL</t>
  </si>
  <si>
    <t>Alfa</t>
  </si>
  <si>
    <t>Beta</t>
  </si>
  <si>
    <t>P1=Alfa · P2=Beta · P3=Mínimo · P4=Máximo</t>
  </si>
  <si>
    <t>Forma flexible entre un mínimo y un máximo cuando se ajusta a datos históricos.</t>
  </si>
  <si>
    <t>Porcentaje de desperdicio de concreto ajustado a obras anteriores.</t>
  </si>
  <si>
    <t>NORMAL</t>
  </si>
  <si>
    <t>Media</t>
  </si>
  <si>
    <t>Desviación estándar</t>
  </si>
  <si>
    <t>P1=Media · P2=Desviación estándar</t>
  </si>
  <si>
    <t>Variación simétrica alrededor de un promedio; puede dar valores negativos (oportunidades).</t>
  </si>
  <si>
    <t>Variación de precios de acero: media 50 000, desviación 25 000.</t>
  </si>
  <si>
    <t>NORMAL_TRUNCADA</t>
  </si>
  <si>
    <t>P1=Media · P2=Desviación estándar · P3=Mínimo · P4=Máximo</t>
  </si>
  <si>
    <t>Normal pero limitada a un rango físico (sin negativos o con tope contractual).</t>
  </si>
  <si>
    <t>Ajuste de precios con tope contractual de ±5 %.</t>
  </si>
  <si>
    <t>LOGNORMAL</t>
  </si>
  <si>
    <t>Costos o duraciones sesgados a la derecha, nunca negativos, con cola larga.</t>
  </si>
  <si>
    <t>Costo de reparación de fisuras en viviendas vecinas.</t>
  </si>
  <si>
    <t>GAMMA</t>
  </si>
  <si>
    <t>Forma</t>
  </si>
  <si>
    <t>Escala</t>
  </si>
  <si>
    <t>P1=Forma · P2=Escala</t>
  </si>
  <si>
    <t>Sesgada a la derecha, positiva; media = forma × escala.</t>
  </si>
  <si>
    <t>Horas-hombre de rediseño cuando hay datos de proyectos similares.</t>
  </si>
  <si>
    <t>EXPONENCIAL</t>
  </si>
  <si>
    <t>P1=Media</t>
  </si>
  <si>
    <t>Tiempos entre eventos o impactos con muchos casos pequeños y pocos grandes. P1 es la MEDIA.</t>
  </si>
  <si>
    <t>Días de paralización por evento aleatorio, media 10 días.</t>
  </si>
  <si>
    <t>WEIBULL</t>
  </si>
  <si>
    <t>Forma (k)</t>
  </si>
  <si>
    <t>Escala (λ)</t>
  </si>
  <si>
    <t>P1=Forma (k) · P2=Escala (λ)</t>
  </si>
  <si>
    <t>Tiempos de falla o duración de equipos; forma &lt; 1 = fallas tempranas, &gt; 1 = desgaste.</t>
  </si>
  <si>
    <t>Días fuera de servicio de una grúa torre.</t>
  </si>
  <si>
    <t>GUMBEL</t>
  </si>
  <si>
    <t>Ubicación</t>
  </si>
  <si>
    <t>P1=Ubicación · P2=Escala</t>
  </si>
  <si>
    <t>Valores extremos (el máximo de muchos eventos): lluvias, crecidas, picos de demanda.</t>
  </si>
  <si>
    <t>Lluvia máxima anual que detiene trabajos de excavación.</t>
  </si>
  <si>
    <t>LOGISTICA</t>
  </si>
  <si>
    <t>P1=Media · P2=Escala</t>
  </si>
  <si>
    <t>Parecida a la normal pero con colas algo más pesadas.</t>
  </si>
  <si>
    <t>Variación de productividad diaria de una cuadrilla.</t>
  </si>
  <si>
    <t>PARETO</t>
  </si>
  <si>
    <t>Forma (&gt; 1)</t>
  </si>
  <si>
    <t>P1=Forma (&gt; 1) · P2=Mínimo</t>
  </si>
  <si>
    <t>Colas muy pesadas: pocos casos muy grandes (reclamos, siniestros). Forma &gt; 1 para que exista la media.</t>
  </si>
  <si>
    <t>Monto de un reclamo de terceros: mínimo 100 000, forma 2,5.</t>
  </si>
  <si>
    <t>POISSON</t>
  </si>
  <si>
    <t>Media (λ)</t>
  </si>
  <si>
    <t>P1=Media (λ)</t>
  </si>
  <si>
    <t>Número de eventos en el periodo cuando pueden ocurrir varias veces.</t>
  </si>
  <si>
    <t>Número de no conformidades (NCR) al mes, media 3.</t>
  </si>
  <si>
    <t>BINOMIAL</t>
  </si>
  <si>
    <t>n (ensayos)</t>
  </si>
  <si>
    <t>p (probabilidad)</t>
  </si>
  <si>
    <t>P1=n (ensayos) · P2=p (probabilidad)</t>
  </si>
  <si>
    <t>Número de «fallas» en n intentos independientes con probabilidad p.</t>
  </si>
  <si>
    <t>Cuántos de 40 submittals serán rechazados si p = 0,15.</t>
  </si>
  <si>
    <t>DISCRETA_UNIFORME</t>
  </si>
  <si>
    <t>Mínimo (entero)</t>
  </si>
  <si>
    <t>Máximo (entero)</t>
  </si>
  <si>
    <t>P1=Mínimo (entero) · P2=Máximo (entero)</t>
  </si>
  <si>
    <t>Un entero entre mínimo y máximo, todos igual de probables.</t>
  </si>
  <si>
    <t>Número de grúas indisponibles: 0 a 2.</t>
  </si>
  <si>
    <t>Valores «v1;v2;…»</t>
  </si>
  <si>
    <t>Probabilidades «p1;p2;…»</t>
  </si>
  <si>
    <t>P1=Valores «v1;v2;…» · P2=Probabilidades «p1;p2;…»</t>
  </si>
  <si>
    <t>Pocos escenarios con probabilidad conocida. Las probabilidades deben sumar 1.</t>
  </si>
  <si>
    <t>Penalidad: «0;150000;400000» con «0,6;0,3;0,1».</t>
  </si>
  <si>
    <t>5. ERRORES FRECUENTES</t>
  </si>
  <si>
    <t>✖</t>
  </si>
  <si>
    <t>Meter la probabilidad dentro del impacto (ej. poner el 30 % del costo): la probabilidad va SOLO en PROBABILIDAD.</t>
  </si>
  <si>
    <t>Usar el peor caso como moda: la moda es el valor más frecuente, no el más temido.</t>
  </si>
  <si>
    <t>Mezclar unidades: soles vs. miles de soles, días hábiles vs. calendario, HH vs. días-hombre.</t>
  </si>
  <si>
    <t>Duplicar un impacto: poner las HH valorizadas en COSTO y además en ING_DISENO/ING_CAMPO.</t>
  </si>
  <si>
    <t>Mínimo &gt; moda o moda &gt; máximo (la validación lo marca en rojo).</t>
  </si>
  <si>
    <t>Poner probabilidad 1 a un evento que puede no ocurrir; o &gt; 0,5 a algo casi seguro (mejor incluirlo en la línea base).</t>
  </si>
  <si>
    <t>6. FORMA DE LAS DISTRIBUCIONES (densidad de probabilidad: más alta = más probable)</t>
  </si>
  <si>
    <t>Datos de los gráficos de la sección 6 (generados al construir el libro)</t>
  </si>
  <si>
    <t>Impacto</t>
  </si>
  <si>
    <t>gamma 2</t>
  </si>
  <si>
    <t>gamma 4</t>
  </si>
  <si>
    <t>gamma 8</t>
  </si>
  <si>
    <t>Número de eventos</t>
  </si>
  <si>
    <t>Impacto (S/)</t>
  </si>
  <si>
    <t>0</t>
  </si>
  <si>
    <t>150 000</t>
  </si>
  <si>
    <t>400 000</t>
  </si>
  <si>
    <t>7. LISTA DE LOS MENÚS DESPLEGABLES (nombre definido ListaDistribuciones)</t>
  </si>
  <si>
    <t>(vacío)</t>
  </si>
  <si>
    <t>ANÁLISIS DE RIESGOS — PARÁMETROS DE ENTRADA</t>
  </si>
  <si>
    <t>Celdas ámbar claro = editables · gris = calculadas. Valide y luego corra la simulación con los botones.</t>
  </si>
  <si>
    <t>CONFIGURACIÓN</t>
  </si>
  <si>
    <t>Costo base del proyecto (S/)</t>
  </si>
  <si>
    <t>SUPUESTO (S/ 120–300 M): reemplácelo por el costo base del contrato.</t>
  </si>
  <si>
    <t>Plazo base del proyecto (días)</t>
  </si>
  <si>
    <t>SUPUESTO (24 meses): reemplácelo por el plazo contractual.</t>
  </si>
  <si>
    <t>Número de iteraciones</t>
  </si>
  <si>
    <t>Entero de 1,000 a 100,000 (10,000 recomendado).</t>
  </si>
  <si>
    <t>Semilla aleatoria</t>
  </si>
  <si>
    <t>Número = resultados reproducibles; vacía = distintos en cada corrida.</t>
  </si>
  <si>
    <t>Nivel de confianza</t>
  </si>
  <si>
    <t>De 50 % a 95 %: define la reserva para contingencias (P80 usual).</t>
  </si>
  <si>
    <t>Reserva de gestión (% de la base)</t>
  </si>
  <si>
    <t>Trabajo no previsto; no se simula. Se aplica a las dimensiones con RESERVA_GESTION = SI.</t>
  </si>
  <si>
    <t>DIMENSIONES DE IMPACTO (tblDimensiones)</t>
  </si>
  <si>
    <t>CLAVE</t>
  </si>
  <si>
    <t>NOMBRE</t>
  </si>
  <si>
    <t>UNIDAD</t>
  </si>
  <si>
    <t>BASE</t>
  </si>
  <si>
    <t>FORMATO</t>
  </si>
  <si>
    <t>ACTIVA</t>
  </si>
  <si>
    <t>RESERVA_GESTION</t>
  </si>
  <si>
    <t>COLOR</t>
  </si>
  <si>
    <t>COSTO</t>
  </si>
  <si>
    <t>Costo</t>
  </si>
  <si>
    <t>S/</t>
  </si>
  <si>
    <t>#,##0</t>
  </si>
  <si>
    <t>SI</t>
  </si>
  <si>
    <t>#FF6600</t>
  </si>
  <si>
    <t>PLAZO</t>
  </si>
  <si>
    <t>Plazo</t>
  </si>
  <si>
    <t>días</t>
  </si>
  <si>
    <t>#,##0.0</t>
  </si>
  <si>
    <t>NO</t>
  </si>
  <si>
    <t>#0068FF</t>
  </si>
  <si>
    <t>ING_DISENO</t>
  </si>
  <si>
    <t>Ingeniería de diseño</t>
  </si>
  <si>
    <t>HH</t>
  </si>
  <si>
    <t>#CC7A00</t>
  </si>
  <si>
    <t>ING_CAMPO</t>
  </si>
  <si>
    <t>Ingeniería de campo</t>
  </si>
  <si>
    <t>#2A2A2A</t>
  </si>
  <si>
    <t>Filas libres para «＋ AGREGAR DIMENSIÓN». La CLAVE es ASCII, en mayúsculas y sin espacios.</t>
  </si>
  <si>
    <t>ESCALAS DE LA MATRIZ P-I (tblEscalas)</t>
  </si>
  <si>
    <t>NIVEL</t>
  </si>
  <si>
    <t>DESCRIPCION</t>
  </si>
  <si>
    <t>PROB_MAX</t>
  </si>
  <si>
    <t>IMP_COSTO</t>
  </si>
  <si>
    <t>IMP_PLAZO</t>
  </si>
  <si>
    <t>IMP_ING_DISENO</t>
  </si>
  <si>
    <t>IMP_ING_CAMPO</t>
  </si>
  <si>
    <t>Muy bajo</t>
  </si>
  <si>
    <t>Bajo</t>
  </si>
  <si>
    <t>Medio</t>
  </si>
  <si>
    <t>Alto</t>
  </si>
  <si>
    <t>Muy alto</t>
  </si>
  <si>
    <t>Umbral = valor máximo del nivel (razón ~3, Vose). Nivel 5 vacío = sin tope.</t>
  </si>
  <si>
    <t>REGISTRO DE RIESGOS (tblRiesgos) — una fila por riesgo; la distribución vacía indica que el riesgo no afecta esa dimensión. Columnas AYUDA_ = qué poner en P1…P4.</t>
  </si>
  <si>
    <t>ID</t>
  </si>
  <si>
    <t>NOMBRE DEL RIESGO</t>
  </si>
  <si>
    <t>TIPO</t>
  </si>
  <si>
    <t>CATEGORIA</t>
  </si>
  <si>
    <t>CAUSA</t>
  </si>
  <si>
    <t>DUENO DEL RIESGO</t>
  </si>
  <si>
    <t>ESTADO</t>
  </si>
  <si>
    <t>ACTIVO</t>
  </si>
  <si>
    <t>PROBABILIDAD</t>
  </si>
  <si>
    <t>DIST_COSTO</t>
  </si>
  <si>
    <t>COSTO_P1</t>
  </si>
  <si>
    <t>COSTO_P2</t>
  </si>
  <si>
    <t>COSTO_P3</t>
  </si>
  <si>
    <t>COSTO_P4</t>
  </si>
  <si>
    <t>AYUDA_COSTO</t>
  </si>
  <si>
    <t>DIST_PLAZO</t>
  </si>
  <si>
    <t>PLAZO_P1</t>
  </si>
  <si>
    <t>PLAZO_P2</t>
  </si>
  <si>
    <t>PLAZO_P3</t>
  </si>
  <si>
    <t>PLAZO_P4</t>
  </si>
  <si>
    <t>AYUDA_PLAZO</t>
  </si>
  <si>
    <t>DIST_ING_DISENO</t>
  </si>
  <si>
    <t>ING_DISENO_P1</t>
  </si>
  <si>
    <t>ING_DISENO_P2</t>
  </si>
  <si>
    <t>ING_DISENO_P3</t>
  </si>
  <si>
    <t>ING_DISENO_P4</t>
  </si>
  <si>
    <t>AYUDA_ING_DISENO</t>
  </si>
  <si>
    <t>DIST_ING_CAMPO</t>
  </si>
  <si>
    <t>ING_CAMPO_P1</t>
  </si>
  <si>
    <t>ING_CAMPO_P2</t>
  </si>
  <si>
    <t>ING_CAMPO_P3</t>
  </si>
  <si>
    <t>ING_CAMPO_P4</t>
  </si>
  <si>
    <t>AYUDA_ING_CAMPO</t>
  </si>
  <si>
    <t>GRUPO_CORRELACION</t>
  </si>
  <si>
    <t>RHO_GRUPO</t>
  </si>
  <si>
    <t>ESTRATEGIA</t>
  </si>
  <si>
    <t>PROB_RESIDUAL</t>
  </si>
  <si>
    <t>FACTOR_IMPACTO_RESIDUAL</t>
  </si>
  <si>
    <t>COSTO_RESPUESTA</t>
  </si>
  <si>
    <t>NOTAS</t>
  </si>
  <si>
    <t>R-01</t>
  </si>
  <si>
    <t>Consumo total de contingencia y afectación utilidad de Cosapi - Debido a que el Cliente no acepta el acuerdo de cuentas de control dejando la posibilidad de que la cuantificación del balance se realice partida a partida y no por cuentas de control que consideramos era el acuerdo, por lo que habrian muchos más sobrecostos (+) afectando directamente la utilidad.</t>
  </si>
  <si>
    <t>AMENAZA</t>
  </si>
  <si>
    <t>CONTRACTUAL</t>
  </si>
  <si>
    <t>que el Cliente no acepta el acuerdo de cuentas de control dejando la posibilidad de que la cuantificación del balance se realice partida a partida y no por cuentas de control que consideramos era el acuerdo, por lo que habrian muchos más sobrecostos (+) afectando directamente la utilidad.</t>
  </si>
  <si>
    <t>ESTIMADO – VALIDAR</t>
  </si>
  <si>
    <t>Estimación preliminar del analista con costo base supuesto S/ 200 M y plazo 730 días; validar con el dueño del riesgo.</t>
  </si>
  <si>
    <t>R-02</t>
  </si>
  <si>
    <t>Afectación utilidad de Cosapi - Debido a no reconocimiento de adicional por drywall y verificación de framming</t>
  </si>
  <si>
    <t>no reconocimiento de adicional por drywall y verificación de framming</t>
  </si>
  <si>
    <t>R-03</t>
  </si>
  <si>
    <t>Costos desestimados - Debido a mayor desperdicio de concreto / acero / conectores / otros</t>
  </si>
  <si>
    <t>PRODUCCION</t>
  </si>
  <si>
    <t>mayor desperdicio de concreto / acero / conectores / otros</t>
  </si>
  <si>
    <t>SOBRECONSUMO</t>
  </si>
  <si>
    <t>Estimación preliminar del analista con costo base supuesto S/ 200 M y plazo 730 días; validar con el dueño del riesgo. Probabilidad &gt; 50 %: activa la advertencia M5.</t>
  </si>
  <si>
    <t>R-04</t>
  </si>
  <si>
    <t>Costos desestimados - Mayores costos indirectos dentro del plazo contractual</t>
  </si>
  <si>
    <t>COSTOS</t>
  </si>
  <si>
    <t>R-05</t>
  </si>
  <si>
    <t>Demora en la aprobación de fabricación y suministro de UMAS - Debido al retraso en la verificación acustica correspondiente a las UMAS para proceder a la orden de fabricación, cuya responsabilidad indica el Cliente le correspondía al proyectista mecánico (Cosapi Ingeniería).</t>
  </si>
  <si>
    <t>APROBACIONES</t>
  </si>
  <si>
    <t>retraso en la verificación acustica correspondiente a las UMAS para proceder a la orden de fabricación, cuya responsabilidad indica el Cliente le correspondía al proyectista mecánico (Cosapi Ingeniería).</t>
  </si>
  <si>
    <t>R-06</t>
  </si>
  <si>
    <t>Costos desestimados - Debido a no conformidades por la ejecución de tarrajeos y solaqueos</t>
  </si>
  <si>
    <t>CALIDAD</t>
  </si>
  <si>
    <t>no conformidades por la ejecución de tarrajeos y solaqueos</t>
  </si>
  <si>
    <t>R-07</t>
  </si>
  <si>
    <t>Costos desestimados - Debido a no conformidades en la ejecución de los contrapisos</t>
  </si>
  <si>
    <t>no conformidades en la ejecución de los contrapisos</t>
  </si>
  <si>
    <t>R-08</t>
  </si>
  <si>
    <t>Costos desestimados - Debido a no conformidades corrientes debiles/inst ACI-IIEE</t>
  </si>
  <si>
    <t>no conformidades corrientes debiles/inst ACI-IIEE</t>
  </si>
  <si>
    <t>R-09</t>
  </si>
  <si>
    <t>Paralización de obra - Debido a infracciones muy graves / accidente de trabajo</t>
  </si>
  <si>
    <t>SSOMA</t>
  </si>
  <si>
    <t>infracciones muy graves / accidente de trabajo</t>
  </si>
  <si>
    <t>Estimación preliminar del analista con costo base supuesto S/ 200 M y plazo 730 días; validar con el dueño del riesgo. Baja probabilidad y alto impacto: domina la cola del plazo.</t>
  </si>
  <si>
    <t>R-10</t>
  </si>
  <si>
    <t>Consumo total de contingencia y afectación utilidad de Cosapi - Debido a no reconocimiento de adicional Puertas / Cerrajeria</t>
  </si>
  <si>
    <t>no reconocimiento de adicional Puertas / Cerrajeria</t>
  </si>
  <si>
    <t>R-11</t>
  </si>
  <si>
    <t>Retraso en la ejecución de obra por demoras de las aprobaciones de la Supervisión - Debido a retrasos en la aprobación de Submittals (bloquetas / EEMM Ascensores)</t>
  </si>
  <si>
    <t>retrasos en la aprobación de Submittals (bloquetas / EEMM Ascensores)</t>
  </si>
  <si>
    <t>R-12</t>
  </si>
  <si>
    <t>Aparición de fisuras, grietas en viviendas vecinas, con su consecuente reclamos de vecinos - Debido a asentamientos diferenciales propios de la reconsolidación del terreno, durante la excavación,ejecución del muro anclado, y posterior al destensado del muro anclado</t>
  </si>
  <si>
    <t>TERCEROS</t>
  </si>
  <si>
    <t>asentamientos diferenciales propios de la reconsolidación del terreno, durante la excavación,ejecución del muro anclado, y posterior al destensado del muro anclado</t>
  </si>
  <si>
    <t>R-13</t>
  </si>
  <si>
    <t>Retraso en la ejecución de nuestros trabajos por demoras en las liberaciones - Debido a que la Supervisión no quiere realizar las liberaciones indicando que debe estar presentes los ingenieros de calidad / de producción</t>
  </si>
  <si>
    <t>que la Supervisión no quiere realizar las liberaciones indicando que debe estar presentes los ingenieros de calidad / de producción</t>
  </si>
  <si>
    <t>R-14</t>
  </si>
  <si>
    <t>Reprocesos y/o atrasos en la ejecución que generan mayores costos que no quiera asumir como Orden de cambio - Debido a no tener un ingeniería terminada, la cual continúa actualizándose</t>
  </si>
  <si>
    <t>INGENIERIA</t>
  </si>
  <si>
    <t>no tener un ingeniería terminada, la cual continúa actualizándose</t>
  </si>
  <si>
    <t>R-15</t>
  </si>
  <si>
    <t>Cambiar todas las ventanas de los vecinos a ventanas antiruidos, - Debido a las quejas de los vecinos por los ruidos de la obra superior a los decibeles permitidos</t>
  </si>
  <si>
    <t>las quejas de los vecinos por los ruidos de la obra superior a los decibeles permitidos</t>
  </si>
  <si>
    <t>R-16</t>
  </si>
  <si>
    <t>Paralizacion de obra por no contar con licencia actualizada - Debido a diferencias sustanciales entre proyecto aprobado municipal y proyecto de construcción que requieran actualización de licencia.</t>
  </si>
  <si>
    <t>PERMISOS</t>
  </si>
  <si>
    <t>diferencias sustanciales entre proyecto aprobado municipal y proyecto de construcción que requieran actualización de licencia.</t>
  </si>
  <si>
    <t>R-17</t>
  </si>
  <si>
    <t>Mayor costo - Reconocimiento de adicionales de Cosapi Ingenieria</t>
  </si>
  <si>
    <t>Estimación preliminar del analista con costo base supuesto S/ 200 M y plazo 730 días; validar con el dueño del riesgo. Confirmar si es oportunidad (reconocimiento del cliente).</t>
  </si>
  <si>
    <t>R-18</t>
  </si>
  <si>
    <t>Mayor costo - Reconocimiento de mayores costos por incremento de staff a fecha contractual</t>
  </si>
  <si>
    <t>R-19</t>
  </si>
  <si>
    <t>Mayor costo - Reconocimiento de orden de cambio denegados (conectores de cabeza, colgajos)</t>
  </si>
  <si>
    <t>R-20</t>
  </si>
  <si>
    <t>Mayor costo - Reconocimiento de mayores costos por ampliacion de plazo</t>
  </si>
  <si>
    <t>EXTENSION_PLAZO</t>
  </si>
  <si>
    <t>R-21</t>
  </si>
  <si>
    <t>Costos desestimados - Deficiencias en ingenieria MEPS desarrollada por COSAPI (llamado enfermeras, acustico UMAS, antisismico, valvula de cortes, otros)</t>
  </si>
  <si>
    <t>R-22</t>
  </si>
  <si>
    <t>Costos desestimados - Deficiencias en ingenieria MEPS desarrollada por COSAPI (soportes no estructurales y estructura drywall)</t>
  </si>
  <si>
    <t>R-23</t>
  </si>
  <si>
    <t>Costos desestimados - Deficiencias en ingenieria MEPS desarrollada por COSAPI (proyeccion)</t>
  </si>
  <si>
    <t>R-24</t>
  </si>
  <si>
    <t>Costos desestimados - Mayores recursos por obras provisionales ya realizados</t>
  </si>
  <si>
    <t>Estimación preliminar del analista con costo base supuesto S/ 200 M y plazo 730 días; validar con el dueño del riesgo. «Ya realizados»: casi seguro; la advertencia M5 sugiere pasarlo a la línea base.</t>
  </si>
  <si>
    <t>R-25</t>
  </si>
  <si>
    <t>Costos desestimados - Mayores recursos por obras provisionales proyectados</t>
  </si>
  <si>
    <t>R-26</t>
  </si>
  <si>
    <t>Costos desestimados - Mayores costos indirectos en la extensión del plazo</t>
  </si>
  <si>
    <t>R-27</t>
  </si>
  <si>
    <t>Costos desestimados - Mayores costos indirectos de subcontratistas por extension de plazo</t>
  </si>
  <si>
    <t>R-28</t>
  </si>
  <si>
    <t>Costos desestimados - Sobreconsumo de acero</t>
  </si>
  <si>
    <t>R-29</t>
  </si>
  <si>
    <t>Costos desestimados - Sobreconsumo de recursos en la ejecución de drywall</t>
  </si>
  <si>
    <t>R-30</t>
  </si>
  <si>
    <t>Costos desestimados - Sobreconsumo de recursos en la ejecución de bloquetas</t>
  </si>
  <si>
    <t>R-31</t>
  </si>
  <si>
    <t>Costos desestimados - Sobreconsumo de recursos por SSOMA, elementos horizontales concreto encofrado, HVAC, empaste pintura</t>
  </si>
  <si>
    <t>R-32</t>
  </si>
  <si>
    <t>Costos desestimados - Sobreconsumo de recursos varios</t>
  </si>
  <si>
    <t>EJ-1</t>
  </si>
  <si>
    <t>Ingeniería en desarrollo (90 entregables)</t>
  </si>
  <si>
    <t>EJEMPLO – desactivar al cargar datos reales (riesgo demostrativo de la versión 1).</t>
  </si>
  <si>
    <t>EJ-2</t>
  </si>
  <si>
    <t>Alza de precios de materiales</t>
  </si>
  <si>
    <t>EJ-3</t>
  </si>
  <si>
    <t>Condiciones geotécnicas imprevistas</t>
  </si>
  <si>
    <t>EJ-4</t>
  </si>
  <si>
    <t>Huelga o paralización</t>
  </si>
  <si>
    <t>EJ-5</t>
  </si>
  <si>
    <t>Demora en permisos y aprobaciones</t>
  </si>
  <si>
    <t>GUÍA RÁPIDA DE PARÁMETROS (detalle en la hoja GUIA)</t>
  </si>
  <si>
    <t>DISTRIBUCIÓN</t>
  </si>
  <si>
    <t>RESULTADOS — Presione ▶ CORRER SIMULACIÓN en la hoja PARAMETROS</t>
  </si>
  <si>
    <t>CURVA S — Presione ▶ CORRER SIMULACIÓN en la hoja PARAMETROS</t>
  </si>
  <si>
    <t>TORNADO — Presione ▶ CORRER SIMULACIÓN en la hoja PARAMETROS</t>
  </si>
  <si>
    <t>RANGOS — Presione ▶ CORRER SIMULACIÓN en la hoja PARAMETROS</t>
  </si>
  <si>
    <t>MATRIZ PROBABILIDAD-IMPACTO — Presione ▶ CORRER SIMULACIÓN en la hoja PARAMETROS</t>
  </si>
  <si>
    <t>COMPARACIÓN ANTES / DESPUÉS — Presione ▶ CORRER SIMULACIÓN en la hoja PARAMETROS</t>
  </si>
  <si>
    <t>SIMULACIÓN — Presione ▶ CORRER SIMULACIÓN en la hoja PARAMETROS</t>
  </si>
  <si>
    <t>TEORÍA UTILIZADA EN ESTA HERRAMIENTA</t>
  </si>
  <si>
    <t>Fuentes entre corchetes: ver sección 13. Fórmulas en texto legible.</t>
  </si>
  <si>
    <t>1. Gestión de riesgos: definiciones y proceso</t>
  </si>
  <si>
    <t>Riesgo: evento o condición incierta que, si se produce, tiene un efecto positivo o negativo en uno o más objetivos. Los riesgos negativos son AMENAZAS y los positivos OPORTUNIDADES. [PMI-E 1 y 2.1]</t>
  </si>
  <si>
    <t>Riesgo individual vs. riesgo general: el individual es cada evento del registro; el general es el efecto de toda la incertidumbre sobre el proyecto. El análisis cuantitativo estima el riesgo general. [PMI-E 2.1.1, 4.5.1]</t>
  </si>
  <si>
    <t>Reserva para contingencias: tiempo o dinero en la línea base para riesgos CONOCIDOS con respuesta activa. Reserva de gestión: tiempo o dinero adicional a la línea base para trabajo NO previsto dentro del alcance. [PMI-E Glosario]</t>
  </si>
  <si>
    <t>Riesgo residual: el que queda tras implementar la respuesta. Riesgo secundario: el que surge por la respuesta. [PMI-E Glosario]</t>
  </si>
  <si>
    <t>Proceso: planificar, identificar, análisis cualitativo, análisis cuantitativo, planificar e implementar respuestas, monitorear. Apetito al riesgo: grado de incertidumbre que la organización acepta; umbral: variación aceptable alrededor de un objetivo. [PMI-E 2.1.5, 2.1.6, 4]</t>
  </si>
  <si>
    <t>Estrategias de respuesta. Amenazas: escalar, evitar, transferir, mitigar, aceptar. Oportunidades: escalar, explotar, compartir, mejorar, aceptar. [PMI-E 4.6]</t>
  </si>
  <si>
    <t>Registro de riesgos: nombre, descripción, causa, impulsores, probabilidad e impacto, dueño, respuesta y estado. [Vose 1.6]</t>
  </si>
  <si>
    <t>2. Simulación Montecarlo</t>
  </si>
  <si>
    <t>Se generan N escenarios (iteraciones). En cada uno se muestrean todas las variables inciertas y se calcula el resultado; el conjunto de resultados aproxima su distribución de probabilidad. [PMI-E X6.4.6; Vose 4.2.4; Stevens 1–2]</t>
  </si>
  <si>
    <t>Ley de los grandes números: el promedio de las iteraciones converge a la media verdadera. Teorema central del límite: el error de la media es aproximadamente normal con desviación σ/√N. [Kroese-H, apéndice; Stevens 2]</t>
  </si>
  <si>
    <t>Consecuencia práctica: para reducir el error a la décima parte hay que multiplicar las iteraciones por 100. [Stevens 2.4]</t>
  </si>
  <si>
    <t>Un percentil Pxx es el valor que no se supera en el xx % de las iteraciones: P80 = 80 % de confianza de no superarlo.</t>
  </si>
  <si>
    <t>3. Números aleatorios</t>
  </si>
  <si>
    <t>Los generadores congruenciales producen una secuencia determinista que parece aleatoria; su calidad depende del período y de la uniformidad en varias dimensiones. [Kroese-H cap. 1]</t>
  </si>
  <si>
    <t>Rnd() de VBA es un congruencial de 24 bits: período ≈ 16,7 millones. Una simulación de 100 000 iteraciones × 37 riesgos × varios números por muestra supera ese período y repetiría la secuencia. Por eso NO se usa.</t>
  </si>
  <si>
    <t>Se usa MRG32k3a de L'Ecuyer (recomendado en Kroese-H 1.3): dos recurrencias de orden 3, x(n) = (1 403 580·x(n−2) − 810 728·x(n−3)) mod 4 294 967 087 y y(n) = (527 612·y(n−1) − 1 370 589·y(n−3)) mod 4 294 944 443; u(n) = ((x(n) − y(n)) mod m1) / (m1 + 1). Período ≈ 3,1 × 10^57. Todas las operaciones son exactas en Double (&lt; 2^53).</t>
  </si>
  <si>
    <t>Semilla: con un número en Semilla la simulación es reproducible; vacía, se toma del reloj.</t>
  </si>
  <si>
    <t>4. Generación de variables aleatorias y catálogo</t>
  </si>
  <si>
    <t>Transformada inversa: si U ~ Uniforme(0,1), X = F⁻¹(U) tiene distribución F (triangular, uniforme, exponencial, Weibull, Gumbel, logística, Pareto, normal truncada, discretas). [Kroese-H cap. 3]</t>
  </si>
  <si>
    <t>Aceptación-rechazo: se proponen valores y se aceptan con cierta probabilidad (Gamma de Marsaglia–Tsang). [Kroese-H cap. 3]</t>
  </si>
  <si>
    <t>Normal: Box–Muller, Z = √(−2 ln U1)·cos(2π U2). Φ⁻¹ por el algoritmo de Acklam (error &lt; 1,2 × 10⁻⁹).</t>
  </si>
  <si>
    <t>Beta(α, β) = X / (X + Y) con X ~ Gamma(α), Y ~ Gamma(β). PERT = Beta con α = 1 + λ(moda − mín)/(máx − mín), β = 1 + λ(máx − moda)/(máx − mín), λ = 4; media PERT = (mín + 4·moda + máx) / 6. [Vose parte II]</t>
  </si>
  <si>
    <t>Fórmulas de media: UNIFORME (a+b)/2 · TRIANGULAR (a+m+b)/3 · NORMAL μ · LOGNORMAL m (parametrizada por media m y desviación s de la variable: σ² = ln(1 + s²/m²), μ = ln m − σ²/2) · GAMMA k·θ · EXPONENCIAL media · WEIBULL λ·Γ(1 + 1/k) · GUMBEL μ + 0,5772·β · LOGISTICA μ · PARETO α·xm/(α−1) · POISSON λ · BINOMIAL n·p · DISCRETA Σ v·p · NORMAL_TRUNCADA μ + σ(φ(a*) − φ(b*))/(Φ(b*) − Φ(a*)).</t>
  </si>
  <si>
    <t>TRIGEN: triangular cuyos percentiles P(%bajo) y P(100 − %bajo) coinciden con los valores bajo y alto dados; el mínimo y el máximo se resuelven numéricamente. [Vose]</t>
  </si>
  <si>
    <t>POISSON: Knuth para λ &lt; 30; PTRS de Hörmann para λ ≥ 30. BINOMIAL: suma de Bernoulli para n ≤ 50; si no, inversión con recurrencia (aproximación normal solo si la probabilidad de 0 no es representable).</t>
  </si>
  <si>
    <t>5. Modelo de evento de riesgo</t>
  </si>
  <si>
    <t>Cada riesgo es un evento: Bernoulli(p) × impacto. La MISMA ocurrencia dispara todas sus dimensiones en esa iteración, y en la sensibilidad el riesgo se trata como una sola variable (ocurrencia + impacto). [Vose 5.3.7]</t>
  </si>
  <si>
    <t>Oportunidades: el mismo modelo con signo negativo. Si la probabilidad supera 50 %, conviene incluir el evento en la línea base y modelar su no ocurrencia como oportunidad. [Vose cap. 1]</t>
  </si>
  <si>
    <t>Total por dimensión en cada iteración = suma de los impactos de los riesgos activos.</t>
  </si>
  <si>
    <t>6. Correlación</t>
  </si>
  <si>
    <t>Pearson mide relación lineal; Spearman (correlación de rangos) mide relación monótona y no depende de la forma de las distribuciones. [Vose 13.2]</t>
  </si>
  <si>
    <t>Iman–Conover: se generan puntajes normales con la correlación deseada y se reordenan las muestras de cada riesgo para que sus rangos sigan a los puntajes; las distribuciones marginales no cambian. [Vose 13.2.4]</t>
  </si>
  <si>
    <t>Modelo de un factor por grupo: S = √r·W + √(1−r)·E, con W común al grupo. La matriz resultante siempre es válida (semidefinida positiva). La correlación de rango objetivo ρ se convierte a normal con r = 2·sen(π·ρ/6).</t>
  </si>
  <si>
    <t>Con probabilidades &lt; 1 muchos valores son 0 (empates) y la correlación de rango lograda es menor que la objetivo.</t>
  </si>
  <si>
    <t>7. Estadísticos de salida</t>
  </si>
  <si>
    <t>Percentiles con interpolación lineal, igual que PERCENTIL.INC: posición h = (N − 1)·p + 1.</t>
  </si>
  <si>
    <t>Media, desviación estándar (N − 1), coeficiente de variación = desviación / |media|.</t>
  </si>
  <si>
    <t>IC 95 % de la media: media ± 1,96·σ/√N. IC 95 % del percentil p: valores ordenados en las posiciones N·p ± 1,96·√(N·p·(1−p)). Iteraciones sugeridas para ±1 %: N·(semiancho relativo / 0,01)². [Vose cap. 7; Kroese-H]</t>
  </si>
  <si>
    <t>8. Reservas y valor monetario esperado</t>
  </si>
  <si>
    <t>a) Reserva para contingencias = P(nivel de confianza) del impacto simulado de los riesgos conocidos. [PMI-E X6.4.1]</t>
  </si>
  <si>
    <t>b) Variante Vose: presupuesto al valor esperado (base + media) y contingencia = P(nivel) − media; el directorio elige el nivel (80–85 % es usual). [Vose 19.1]</t>
  </si>
  <si>
    <t>c) Reserva de gestión = % de la base; cubre lo no identificado y no se simula. d) Presupuesto recomendado = base + a + c.</t>
  </si>
  <si>
    <t>VME = probabilidad × impacto (medio). La suma de los VME de todos los riesgos debe coincidir con la media simulada. [PMI-E X6.4.4]</t>
  </si>
  <si>
    <t>9. Sensibilidad (tornado)</t>
  </si>
  <si>
    <t>Para cada riesgo: correlación de Spearman entre su impacto y el total; contribución a la varianza = ρ²/Σρ²; swing = media del total cuando el riesgo está en su 10 % superior − media cuando está en su 10 % inferior. [Vose 5.3.7]</t>
  </si>
  <si>
    <t>El tornado ordena los riesgos por swing: los de arriba son los que más conviene gestionar o investigar.</t>
  </si>
  <si>
    <t>10. Matriz probabilidad–impacto</t>
  </si>
  <si>
    <t>Escala de 5 niveles para probabilidad e impacto; conviene que cada nivel sea ~3 veces el anterior. [Vose tabla 1.1; PMI-E X6.3.5, X6.4.3]</t>
  </si>
  <si>
    <t>Nivel de impacto del riesgo = mayor nivel entre sus dimensiones (impacto medio si ocurre). Puntaje = nivel P × nivel I; verde ≤ 4, ámbar 5–12, rojo ≥ 15.</t>
  </si>
  <si>
    <t>11. Antes / después de las respuestas</t>
  </si>
  <si>
    <t>Escenario después: probabilidad residual y factor de impacto residual para cada riesgo con respuesta, más el costo de las respuestas (determinístico). [PMI-E 4.6; Vose 1.3–1.4]</t>
  </si>
  <si>
    <t>Se usan los MISMOS números aleatorios en ambos escenarios (números aleatorios comunes): la diferencia se debe solo a las respuestas. Beneficio neto = reserva antes − reserva después (incluye el costo de las respuestas).</t>
  </si>
  <si>
    <t>12. Limitaciones y técnicas no aplicadas</t>
  </si>
  <si>
    <t>Plazo por suma (sin lógica de red del cronograma). [Vose 19.2]</t>
  </si>
  <si>
    <t>Hipercubo latino: mejora poco con muchas distribuciones y exige inversas de la CDF incompatibles con Gamma por rechazo. [Vose 4.4.3]</t>
  </si>
  <si>
    <t>Subset Simulation: diseñada para probabilidades de falla muy pequeñas (eventos raros), no es el caso. [Au y Wang]</t>
  </si>
  <si>
    <t>MCMC: para inferencia bayesiana, no se necesita en este modelo. [Robert y Casella]</t>
  </si>
  <si>
    <t>Reducción de varianza de finanzas (variables de control, antitéticas): la precisión se controla con N. [Glasserman]</t>
  </si>
  <si>
    <t>Asignación de contingencia por partida: aplica a partidas de costo, no a eventos. [Vose 19.1]</t>
  </si>
  <si>
    <t>Law y Kelton: el archivo .md solo contiene imágenes, sin texto utilizable.</t>
  </si>
  <si>
    <t>13. Bibliografía (archivos .md de MD.zip)</t>
  </si>
  <si>
    <t>[PMI-E] PMI. El Estándar para la Gestión de Riesgos en Portafolios, Programas y Proyectos (español).</t>
  </si>
  <si>
    <t>[PMI-G] PMI. Risk Management in Portfolios, Programs, and Projects: A Practice Guide.</t>
  </si>
  <si>
    <t>[Vose] Vose, D. Risk Analysis: A Quantitative Guide, 3.ª ed. Wiley.</t>
  </si>
  <si>
    <t>[Kroese-H] Kroese, D. P.; Taimre, T.; Botev, Z. I. Handbook of Monte Carlo Methods. Wiley.</t>
  </si>
  <si>
    <t>[Kroese-S] Kroese, D. P.; Taimre, T.; Botev, Z. I.; Rubinstein, R. Y. Simulation and the Monte Carlo Method — manual de soluciones.</t>
  </si>
  <si>
    <t>[Stevens] Stevens, A. Monte-Carlo Simulation: An Introduction for Engineers and Scientists.</t>
  </si>
  <si>
    <t>[Glasserman] Glasserman, P. Monte Carlo Methods in Financial Engineering. Springer.</t>
  </si>
  <si>
    <t>[Robert y Casella] Robert, C. P.; Casella, G. Monte Carlo Statistical Methods, 2.ª ed. Springer.</t>
  </si>
  <si>
    <t>[Au y Wang] Au, S.-K.; Wang, Y. Engineering Risk Assessment with Subset Simulation. Wiley.</t>
  </si>
  <si>
    <t>[Law y Kelton] Law, A. M.; Kelton, W. D. Simulation Modeling and Analysis (sin texto en el .md).</t>
  </si>
</sst>
</file>

<file path=xl/styles.xml><?xml version="1.0" encoding="utf-8"?>
<styleSheet xmlns="http://schemas.openxmlformats.org/spreadsheetml/2006/main">
  <numFmts count="6">
    <numFmt numFmtId="164" formatCode="#,##0"/>
    <numFmt numFmtId="165" formatCode="#,##0.0"/>
    <numFmt numFmtId="166" formatCode="0%"/>
    <numFmt numFmtId="167" formatCode="#,##0.##"/>
    <numFmt numFmtId="168" formatCode="0.0%"/>
    <numFmt numFmtId="169" formatCode="0.00"/>
  </numFmts>
  <fonts count="14">
    <font>
      <sz val="11"/>
      <color theme="1"/>
      <name val="Calibri"/>
      <family val="2"/>
      <scheme val="minor"/>
    </font>
    <font>
      <b/>
      <sz val="16"/>
      <color rgb="FFFFA028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rgb="FF333333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CC7A00"/>
      <name val="Calibri"/>
      <family val="2"/>
      <scheme val="minor"/>
    </font>
    <font>
      <b/>
      <sz val="10"/>
      <color rgb="FFFFA02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433D"/>
      <name val="Calibri"/>
      <family val="2"/>
      <scheme val="minor"/>
    </font>
    <font>
      <sz val="10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3"/>
      <color rgb="FFFFA02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B020"/>
        <bgColor indexed="64"/>
      </patternFill>
    </fill>
    <fill>
      <patternFill patternType="solid">
        <fgColor rgb="FFFFF7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0D6"/>
        <bgColor indexed="64"/>
      </patternFill>
    </fill>
  </fills>
  <borders count="4">
    <border>
      <left/>
      <right/>
      <top/>
      <bottom/>
      <diagonal/>
    </border>
    <border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>
      <left/>
      <right/>
      <top/>
      <bottom style="medium">
        <color rgb="FFFFA028"/>
      </bottom>
      <diagonal/>
    </border>
    <border>
      <left style="medium">
        <color rgb="FFCC7A00"/>
      </left>
      <right style="medium">
        <color rgb="FFCC7A00"/>
      </right>
      <top style="medium">
        <color rgb="FFCC7A00"/>
      </top>
      <bottom style="medium">
        <color rgb="FFCC7A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4" fillId="3" borderId="1" xfId="0" applyFont="1" applyFill="1" applyBorder="1" applyAlignment="1">
      <alignment vertical="center" wrapText="1"/>
    </xf>
    <xf numFmtId="0" fontId="5" fillId="0" borderId="2" xfId="0" applyFont="1" applyBorder="1" applyAlignment="1">
      <alignment vertical="center"/>
    </xf>
    <xf numFmtId="0" fontId="6" fillId="0" borderId="1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4" borderId="1" xfId="0" applyFont="1" applyFill="1" applyBorder="1" applyAlignment="1">
      <alignment vertical="top" wrapText="1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vertical="top" wrapText="1"/>
    </xf>
    <xf numFmtId="0" fontId="8" fillId="2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6" fillId="5" borderId="1" xfId="0" applyFont="1" applyFill="1" applyBorder="1" applyAlignment="1">
      <alignment vertical="center"/>
    </xf>
    <xf numFmtId="0" fontId="6" fillId="4" borderId="1" xfId="0" applyFont="1" applyFill="1" applyBorder="1" applyAlignment="1">
      <alignment vertical="center"/>
    </xf>
    <xf numFmtId="0" fontId="2" fillId="0" borderId="0" xfId="0" applyFont="1" applyAlignment="1">
      <alignment vertical="top" wrapText="1"/>
    </xf>
    <xf numFmtId="0" fontId="10" fillId="0" borderId="0" xfId="0" applyFont="1" applyAlignment="1">
      <alignment horizontal="right" vertical="center"/>
    </xf>
    <xf numFmtId="0" fontId="2" fillId="0" borderId="0" xfId="0" applyFont="1" applyAlignment="1">
      <alignment vertical="center" wrapText="1"/>
    </xf>
    <xf numFmtId="0" fontId="11" fillId="6" borderId="1" xfId="0" applyFont="1" applyFill="1" applyBorder="1" applyAlignment="1">
      <alignment vertical="center"/>
    </xf>
    <xf numFmtId="0" fontId="6" fillId="0" borderId="0" xfId="0" applyFont="1" applyAlignment="1">
      <alignment horizontal="right" vertical="center"/>
    </xf>
    <xf numFmtId="164" fontId="2" fillId="7" borderId="1" xfId="0" applyNumberFormat="1" applyFont="1" applyFill="1" applyBorder="1" applyAlignment="1">
      <alignment vertical="center"/>
    </xf>
    <xf numFmtId="165" fontId="2" fillId="7" borderId="1" xfId="0" applyNumberFormat="1" applyFont="1" applyFill="1" applyBorder="1" applyAlignment="1">
      <alignment vertical="center"/>
    </xf>
    <xf numFmtId="0" fontId="2" fillId="7" borderId="1" xfId="0" applyFont="1" applyFill="1" applyBorder="1" applyAlignment="1">
      <alignment vertical="center"/>
    </xf>
    <xf numFmtId="0" fontId="2" fillId="7" borderId="1" xfId="0" applyFont="1" applyFill="1" applyBorder="1" applyAlignment="1">
      <alignment horizontal="center" vertical="center"/>
    </xf>
    <xf numFmtId="164" fontId="2" fillId="6" borderId="1" xfId="0" applyNumberFormat="1" applyFont="1" applyFill="1" applyBorder="1" applyAlignment="1">
      <alignment vertical="center"/>
    </xf>
    <xf numFmtId="166" fontId="2" fillId="7" borderId="1" xfId="0" applyNumberFormat="1" applyFont="1" applyFill="1" applyBorder="1" applyAlignment="1">
      <alignment horizontal="center" vertical="center"/>
    </xf>
    <xf numFmtId="165" fontId="2" fillId="6" borderId="1" xfId="0" applyNumberFormat="1" applyFont="1" applyFill="1" applyBorder="1" applyAlignment="1">
      <alignment vertical="center"/>
    </xf>
    <xf numFmtId="167" fontId="2" fillId="7" borderId="1" xfId="0" applyNumberFormat="1" applyFont="1" applyFill="1" applyBorder="1" applyAlignment="1">
      <alignment vertical="center"/>
    </xf>
    <xf numFmtId="168" fontId="2" fillId="7" borderId="1" xfId="0" applyNumberFormat="1" applyFont="1" applyFill="1" applyBorder="1" applyAlignment="1">
      <alignment horizontal="center" vertical="center"/>
    </xf>
    <xf numFmtId="0" fontId="2" fillId="7" borderId="1" xfId="0" applyFont="1" applyFill="1" applyBorder="1" applyAlignment="1">
      <alignment vertical="top" wrapText="1"/>
    </xf>
    <xf numFmtId="0" fontId="2" fillId="7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vertical="center" wrapText="1"/>
    </xf>
    <xf numFmtId="169" fontId="2" fillId="7" borderId="1" xfId="0" applyNumberFormat="1" applyFont="1" applyFill="1" applyBorder="1" applyAlignment="1">
      <alignment horizontal="center" vertical="center"/>
    </xf>
    <xf numFmtId="0" fontId="13" fillId="2" borderId="0" xfId="0" applyFont="1" applyFill="1" applyAlignment="1">
      <alignment vertical="center"/>
    </xf>
  </cellXfs>
  <cellStyles count="1">
    <cellStyle name="Normal" xfId="0" builtinId="0"/>
  </cellStyles>
  <dxfs count="9">
    <dxf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numFmt numFmtId="166" formatCode="0%"/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numFmt numFmtId="164" formatCode="#,##0"/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fill>
        <patternFill>
          <bgColor rgb="FFEDEDED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numFmt numFmtId="165" formatCode="#,##0.0"/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numFmt numFmtId="169" formatCode="0.00"/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UNIFORME, TRIANGULAR y PERT (mín 10, moda 15, máx 40)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UNIFORME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GUIA!$AE$6:$AE$106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GUIA!$AF$6:$AF$106</c:f>
              <c:numCache>
                <c:formatCode>General</c:formatCode>
                <c:ptCount val="101"/>
                <c:pt idx="0">
                  <c:v>0.03333333</c:v>
                </c:pt>
                <c:pt idx="1">
                  <c:v>0.03333333</c:v>
                </c:pt>
                <c:pt idx="2">
                  <c:v>0.03333333</c:v>
                </c:pt>
                <c:pt idx="3">
                  <c:v>0.03333333</c:v>
                </c:pt>
                <c:pt idx="4">
                  <c:v>0.03333333</c:v>
                </c:pt>
                <c:pt idx="5">
                  <c:v>0.03333333</c:v>
                </c:pt>
                <c:pt idx="6">
                  <c:v>0.03333333</c:v>
                </c:pt>
                <c:pt idx="7">
                  <c:v>0.03333333</c:v>
                </c:pt>
                <c:pt idx="8">
                  <c:v>0.03333333</c:v>
                </c:pt>
                <c:pt idx="9">
                  <c:v>0.03333333</c:v>
                </c:pt>
                <c:pt idx="10">
                  <c:v>0.03333333</c:v>
                </c:pt>
                <c:pt idx="11">
                  <c:v>0.03333333</c:v>
                </c:pt>
                <c:pt idx="12">
                  <c:v>0.03333333</c:v>
                </c:pt>
                <c:pt idx="13">
                  <c:v>0.03333333</c:v>
                </c:pt>
                <c:pt idx="14">
                  <c:v>0.03333333</c:v>
                </c:pt>
                <c:pt idx="15">
                  <c:v>0.03333333</c:v>
                </c:pt>
                <c:pt idx="16">
                  <c:v>0.03333333</c:v>
                </c:pt>
                <c:pt idx="17">
                  <c:v>0.03333333</c:v>
                </c:pt>
                <c:pt idx="18">
                  <c:v>0.03333333</c:v>
                </c:pt>
                <c:pt idx="19">
                  <c:v>0.03333333</c:v>
                </c:pt>
                <c:pt idx="20">
                  <c:v>0.03333333</c:v>
                </c:pt>
                <c:pt idx="21">
                  <c:v>0.03333333</c:v>
                </c:pt>
                <c:pt idx="22">
                  <c:v>0.03333333</c:v>
                </c:pt>
                <c:pt idx="23">
                  <c:v>0.03333333</c:v>
                </c:pt>
                <c:pt idx="24">
                  <c:v>0.03333333</c:v>
                </c:pt>
                <c:pt idx="25">
                  <c:v>0.03333333</c:v>
                </c:pt>
                <c:pt idx="26">
                  <c:v>0.03333333</c:v>
                </c:pt>
                <c:pt idx="27">
                  <c:v>0.03333333</c:v>
                </c:pt>
                <c:pt idx="28">
                  <c:v>0.03333333</c:v>
                </c:pt>
                <c:pt idx="29">
                  <c:v>0.03333333</c:v>
                </c:pt>
                <c:pt idx="30">
                  <c:v>0.03333333</c:v>
                </c:pt>
                <c:pt idx="31">
                  <c:v>0.03333333</c:v>
                </c:pt>
                <c:pt idx="32">
                  <c:v>0.03333333</c:v>
                </c:pt>
                <c:pt idx="33">
                  <c:v>0.03333333</c:v>
                </c:pt>
                <c:pt idx="34">
                  <c:v>0.03333333</c:v>
                </c:pt>
                <c:pt idx="35">
                  <c:v>0.03333333</c:v>
                </c:pt>
                <c:pt idx="36">
                  <c:v>0.03333333</c:v>
                </c:pt>
                <c:pt idx="37">
                  <c:v>0.03333333</c:v>
                </c:pt>
                <c:pt idx="38">
                  <c:v>0.03333333</c:v>
                </c:pt>
                <c:pt idx="39">
                  <c:v>0.03333333</c:v>
                </c:pt>
                <c:pt idx="40">
                  <c:v>0.03333333</c:v>
                </c:pt>
                <c:pt idx="41">
                  <c:v>0.03333333</c:v>
                </c:pt>
                <c:pt idx="42">
                  <c:v>0.03333333</c:v>
                </c:pt>
                <c:pt idx="43">
                  <c:v>0.03333333</c:v>
                </c:pt>
                <c:pt idx="44">
                  <c:v>0.03333333</c:v>
                </c:pt>
                <c:pt idx="45">
                  <c:v>0.03333333</c:v>
                </c:pt>
                <c:pt idx="46">
                  <c:v>0.03333333</c:v>
                </c:pt>
                <c:pt idx="47">
                  <c:v>0.03333333</c:v>
                </c:pt>
                <c:pt idx="48">
                  <c:v>0.03333333</c:v>
                </c:pt>
                <c:pt idx="49">
                  <c:v>0.03333333</c:v>
                </c:pt>
                <c:pt idx="50">
                  <c:v>0.03333333</c:v>
                </c:pt>
                <c:pt idx="51">
                  <c:v>0.03333333</c:v>
                </c:pt>
                <c:pt idx="52">
                  <c:v>0.03333333</c:v>
                </c:pt>
                <c:pt idx="53">
                  <c:v>0.03333333</c:v>
                </c:pt>
                <c:pt idx="54">
                  <c:v>0.03333333</c:v>
                </c:pt>
                <c:pt idx="55">
                  <c:v>0.03333333</c:v>
                </c:pt>
                <c:pt idx="56">
                  <c:v>0.03333333</c:v>
                </c:pt>
                <c:pt idx="57">
                  <c:v>0.03333333</c:v>
                </c:pt>
                <c:pt idx="58">
                  <c:v>0.03333333</c:v>
                </c:pt>
                <c:pt idx="59">
                  <c:v>0.03333333</c:v>
                </c:pt>
                <c:pt idx="60">
                  <c:v>0.03333333</c:v>
                </c:pt>
                <c:pt idx="61">
                  <c:v>0.03333333</c:v>
                </c:pt>
                <c:pt idx="62">
                  <c:v>0.03333333</c:v>
                </c:pt>
                <c:pt idx="63">
                  <c:v>0.03333333</c:v>
                </c:pt>
                <c:pt idx="64">
                  <c:v>0.03333333</c:v>
                </c:pt>
                <c:pt idx="65">
                  <c:v>0.03333333</c:v>
                </c:pt>
                <c:pt idx="66">
                  <c:v>0.03333333</c:v>
                </c:pt>
                <c:pt idx="67">
                  <c:v>0.03333333</c:v>
                </c:pt>
                <c:pt idx="68">
                  <c:v>0.03333333</c:v>
                </c:pt>
                <c:pt idx="69">
                  <c:v>0.03333333</c:v>
                </c:pt>
                <c:pt idx="70">
                  <c:v>0.03333333</c:v>
                </c:pt>
                <c:pt idx="71">
                  <c:v>0.03333333</c:v>
                </c:pt>
                <c:pt idx="72">
                  <c:v>0.03333333</c:v>
                </c:pt>
                <c:pt idx="73">
                  <c:v>0.03333333</c:v>
                </c:pt>
                <c:pt idx="74">
                  <c:v>0.03333333</c:v>
                </c:pt>
                <c:pt idx="75">
                  <c:v>0.03333333</c:v>
                </c:pt>
                <c:pt idx="76">
                  <c:v>0.03333333</c:v>
                </c:pt>
                <c:pt idx="77">
                  <c:v>0.03333333</c:v>
                </c:pt>
                <c:pt idx="78">
                  <c:v>0.03333333</c:v>
                </c:pt>
                <c:pt idx="79">
                  <c:v>0.03333333</c:v>
                </c:pt>
                <c:pt idx="80">
                  <c:v>0.03333333</c:v>
                </c:pt>
                <c:pt idx="81">
                  <c:v>0.03333333</c:v>
                </c:pt>
                <c:pt idx="82">
                  <c:v>0.03333333</c:v>
                </c:pt>
                <c:pt idx="83">
                  <c:v>0.03333333</c:v>
                </c:pt>
                <c:pt idx="84">
                  <c:v>0.03333333</c:v>
                </c:pt>
                <c:pt idx="85">
                  <c:v>0.03333333</c:v>
                </c:pt>
                <c:pt idx="86">
                  <c:v>0.03333333</c:v>
                </c:pt>
                <c:pt idx="87">
                  <c:v>0.03333333</c:v>
                </c:pt>
                <c:pt idx="88">
                  <c:v>0.03333333</c:v>
                </c:pt>
                <c:pt idx="89">
                  <c:v>0.03333333</c:v>
                </c:pt>
                <c:pt idx="90">
                  <c:v>0.03333333</c:v>
                </c:pt>
                <c:pt idx="91">
                  <c:v>0.03333333</c:v>
                </c:pt>
                <c:pt idx="92">
                  <c:v>0.03333333</c:v>
                </c:pt>
                <c:pt idx="93">
                  <c:v>0.03333333</c:v>
                </c:pt>
                <c:pt idx="94">
                  <c:v>0.03333333</c:v>
                </c:pt>
                <c:pt idx="95">
                  <c:v>0.03333333</c:v>
                </c:pt>
                <c:pt idx="96">
                  <c:v>0.03333333</c:v>
                </c:pt>
                <c:pt idx="97">
                  <c:v>0.03333333</c:v>
                </c:pt>
                <c:pt idx="98">
                  <c:v>0.03333333</c:v>
                </c:pt>
                <c:pt idx="99">
                  <c:v>0.03333333</c:v>
                </c:pt>
                <c:pt idx="100">
                  <c:v>0.03333333</c:v>
                </c:pt>
              </c:numCache>
            </c:numRef>
          </c:yVal>
          <c:smooth val="1"/>
        </c:ser>
        <c:ser>
          <c:idx val="1"/>
          <c:order val="1"/>
          <c:tx>
            <c:v>TRIANGULAR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GUIA!$AE$6:$AE$106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GUIA!$AG$6:$AG$106</c:f>
              <c:numCache>
                <c:formatCode>General</c:formatCode>
                <c:ptCount val="101"/>
                <c:pt idx="0">
                  <c:v>0</c:v>
                </c:pt>
                <c:pt idx="1">
                  <c:v>0.004</c:v>
                </c:pt>
                <c:pt idx="2">
                  <c:v>0.008</c:v>
                </c:pt>
                <c:pt idx="3">
                  <c:v>0.012</c:v>
                </c:pt>
                <c:pt idx="4">
                  <c:v>0.016</c:v>
                </c:pt>
                <c:pt idx="5">
                  <c:v>0.02</c:v>
                </c:pt>
                <c:pt idx="6">
                  <c:v>0.024</c:v>
                </c:pt>
                <c:pt idx="7">
                  <c:v>0.028</c:v>
                </c:pt>
                <c:pt idx="8">
                  <c:v>0.032</c:v>
                </c:pt>
                <c:pt idx="9">
                  <c:v>0.036</c:v>
                </c:pt>
                <c:pt idx="10">
                  <c:v>0.04</c:v>
                </c:pt>
                <c:pt idx="11">
                  <c:v>0.044</c:v>
                </c:pt>
                <c:pt idx="12">
                  <c:v>0.048</c:v>
                </c:pt>
                <c:pt idx="13">
                  <c:v>0.052</c:v>
                </c:pt>
                <c:pt idx="14">
                  <c:v>0.056</c:v>
                </c:pt>
                <c:pt idx="15">
                  <c:v>0.06</c:v>
                </c:pt>
                <c:pt idx="16">
                  <c:v>0.064</c:v>
                </c:pt>
                <c:pt idx="17">
                  <c:v>0.0664</c:v>
                </c:pt>
                <c:pt idx="18">
                  <c:v>0.06560000000000001</c:v>
                </c:pt>
                <c:pt idx="19">
                  <c:v>0.0648</c:v>
                </c:pt>
                <c:pt idx="20">
                  <c:v>0.064</c:v>
                </c:pt>
                <c:pt idx="21">
                  <c:v>0.06320000000000001</c:v>
                </c:pt>
                <c:pt idx="22">
                  <c:v>0.0624</c:v>
                </c:pt>
                <c:pt idx="23">
                  <c:v>0.0616</c:v>
                </c:pt>
                <c:pt idx="24">
                  <c:v>0.0608</c:v>
                </c:pt>
                <c:pt idx="25">
                  <c:v>0.06</c:v>
                </c:pt>
                <c:pt idx="26">
                  <c:v>0.0592</c:v>
                </c:pt>
                <c:pt idx="27">
                  <c:v>0.0584</c:v>
                </c:pt>
                <c:pt idx="28">
                  <c:v>0.0576</c:v>
                </c:pt>
                <c:pt idx="29">
                  <c:v>0.0568</c:v>
                </c:pt>
                <c:pt idx="30">
                  <c:v>0.056</c:v>
                </c:pt>
                <c:pt idx="31">
                  <c:v>0.0552</c:v>
                </c:pt>
                <c:pt idx="32">
                  <c:v>0.0544</c:v>
                </c:pt>
                <c:pt idx="33">
                  <c:v>0.0536</c:v>
                </c:pt>
                <c:pt idx="34">
                  <c:v>0.0528</c:v>
                </c:pt>
                <c:pt idx="35">
                  <c:v>0.052</c:v>
                </c:pt>
                <c:pt idx="36">
                  <c:v>0.0512</c:v>
                </c:pt>
                <c:pt idx="37">
                  <c:v>0.0504</c:v>
                </c:pt>
                <c:pt idx="38">
                  <c:v>0.0496</c:v>
                </c:pt>
                <c:pt idx="39">
                  <c:v>0.0488</c:v>
                </c:pt>
                <c:pt idx="40">
                  <c:v>0.048</c:v>
                </c:pt>
                <c:pt idx="41">
                  <c:v>0.0472</c:v>
                </c:pt>
                <c:pt idx="42">
                  <c:v>0.0464</c:v>
                </c:pt>
                <c:pt idx="43">
                  <c:v>0.0456</c:v>
                </c:pt>
                <c:pt idx="44">
                  <c:v>0.0448</c:v>
                </c:pt>
                <c:pt idx="45">
                  <c:v>0.044</c:v>
                </c:pt>
                <c:pt idx="46">
                  <c:v>0.0432</c:v>
                </c:pt>
                <c:pt idx="47">
                  <c:v>0.0424</c:v>
                </c:pt>
                <c:pt idx="48">
                  <c:v>0.0416</c:v>
                </c:pt>
                <c:pt idx="49">
                  <c:v>0.0408</c:v>
                </c:pt>
                <c:pt idx="50">
                  <c:v>0.04</c:v>
                </c:pt>
                <c:pt idx="51">
                  <c:v>0.0392</c:v>
                </c:pt>
                <c:pt idx="52">
                  <c:v>0.0384</c:v>
                </c:pt>
                <c:pt idx="53">
                  <c:v>0.0376</c:v>
                </c:pt>
                <c:pt idx="54">
                  <c:v>0.0368</c:v>
                </c:pt>
                <c:pt idx="55">
                  <c:v>0.036</c:v>
                </c:pt>
                <c:pt idx="56">
                  <c:v>0.0352</c:v>
                </c:pt>
                <c:pt idx="57">
                  <c:v>0.0344</c:v>
                </c:pt>
                <c:pt idx="58">
                  <c:v>0.0336</c:v>
                </c:pt>
                <c:pt idx="59">
                  <c:v>0.0328</c:v>
                </c:pt>
                <c:pt idx="60">
                  <c:v>0.032</c:v>
                </c:pt>
                <c:pt idx="61">
                  <c:v>0.0312</c:v>
                </c:pt>
                <c:pt idx="62">
                  <c:v>0.0304</c:v>
                </c:pt>
                <c:pt idx="63">
                  <c:v>0.0296</c:v>
                </c:pt>
                <c:pt idx="64">
                  <c:v>0.0288</c:v>
                </c:pt>
                <c:pt idx="65">
                  <c:v>0.028</c:v>
                </c:pt>
                <c:pt idx="66">
                  <c:v>0.0272</c:v>
                </c:pt>
                <c:pt idx="67">
                  <c:v>0.0264</c:v>
                </c:pt>
                <c:pt idx="68">
                  <c:v>0.0256</c:v>
                </c:pt>
                <c:pt idx="69">
                  <c:v>0.0248</c:v>
                </c:pt>
                <c:pt idx="70">
                  <c:v>0.024</c:v>
                </c:pt>
                <c:pt idx="71">
                  <c:v>0.0232</c:v>
                </c:pt>
                <c:pt idx="72">
                  <c:v>0.0224</c:v>
                </c:pt>
                <c:pt idx="73">
                  <c:v>0.0216</c:v>
                </c:pt>
                <c:pt idx="74">
                  <c:v>0.0208</c:v>
                </c:pt>
                <c:pt idx="75">
                  <c:v>0.02</c:v>
                </c:pt>
                <c:pt idx="76">
                  <c:v>0.0192</c:v>
                </c:pt>
                <c:pt idx="77">
                  <c:v>0.0184</c:v>
                </c:pt>
                <c:pt idx="78">
                  <c:v>0.0176</c:v>
                </c:pt>
                <c:pt idx="79">
                  <c:v>0.0168</c:v>
                </c:pt>
                <c:pt idx="80">
                  <c:v>0.016</c:v>
                </c:pt>
                <c:pt idx="81">
                  <c:v>0.0152</c:v>
                </c:pt>
                <c:pt idx="82">
                  <c:v>0.0144</c:v>
                </c:pt>
                <c:pt idx="83">
                  <c:v>0.0136</c:v>
                </c:pt>
                <c:pt idx="84">
                  <c:v>0.0128</c:v>
                </c:pt>
                <c:pt idx="85">
                  <c:v>0.012</c:v>
                </c:pt>
                <c:pt idx="86">
                  <c:v>0.0112</c:v>
                </c:pt>
                <c:pt idx="87">
                  <c:v>0.0104</c:v>
                </c:pt>
                <c:pt idx="88">
                  <c:v>0.009599999999999999</c:v>
                </c:pt>
                <c:pt idx="89">
                  <c:v>0.008800000000000001</c:v>
                </c:pt>
                <c:pt idx="90">
                  <c:v>0.008</c:v>
                </c:pt>
                <c:pt idx="91">
                  <c:v>0.0072</c:v>
                </c:pt>
                <c:pt idx="92">
                  <c:v>0.0064</c:v>
                </c:pt>
                <c:pt idx="93">
                  <c:v>0.0056</c:v>
                </c:pt>
                <c:pt idx="94">
                  <c:v>0.0048</c:v>
                </c:pt>
                <c:pt idx="95">
                  <c:v>0.004</c:v>
                </c:pt>
                <c:pt idx="96">
                  <c:v>0.0032</c:v>
                </c:pt>
                <c:pt idx="97">
                  <c:v>0.0024</c:v>
                </c:pt>
                <c:pt idx="98">
                  <c:v>0.0016</c:v>
                </c:pt>
                <c:pt idx="99">
                  <c:v>0.0008</c:v>
                </c:pt>
                <c:pt idx="10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PERT</c:v>
          </c:tx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GUIA!$AE$6:$AE$106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GUIA!$AH$6:$AH$106</c:f>
              <c:numCache>
                <c:formatCode>General</c:formatCode>
                <c:ptCount val="101"/>
                <c:pt idx="0">
                  <c:v>0</c:v>
                </c:pt>
                <c:pt idx="1">
                  <c:v>0.02147713</c:v>
                </c:pt>
                <c:pt idx="2">
                  <c:v>0.03295838</c:v>
                </c:pt>
                <c:pt idx="3">
                  <c:v>0.04173614</c:v>
                </c:pt>
                <c:pt idx="4">
                  <c:v>0.04884309</c:v>
                </c:pt>
                <c:pt idx="5">
                  <c:v>0.05473322</c:v>
                </c:pt>
                <c:pt idx="6">
                  <c:v>0.05966496</c:v>
                </c:pt>
                <c:pt idx="7">
                  <c:v>0.06380688</c:v>
                </c:pt>
                <c:pt idx="8">
                  <c:v>0.06727883</c:v>
                </c:pt>
                <c:pt idx="9">
                  <c:v>0.07017116</c:v>
                </c:pt>
                <c:pt idx="10">
                  <c:v>0.07255499999999999</c:v>
                </c:pt>
                <c:pt idx="11">
                  <c:v>0.0744882</c:v>
                </c:pt>
                <c:pt idx="12">
                  <c:v>0.07601898999999999</c:v>
                </c:pt>
                <c:pt idx="13">
                  <c:v>0.07718841</c:v>
                </c:pt>
                <c:pt idx="14">
                  <c:v>0.07803196</c:v>
                </c:pt>
                <c:pt idx="15">
                  <c:v>0.07858076999999999</c:v>
                </c:pt>
                <c:pt idx="16">
                  <c:v>0.07886239</c:v>
                </c:pt>
                <c:pt idx="17">
                  <c:v>0.0789015</c:v>
                </c:pt>
                <c:pt idx="18">
                  <c:v>0.07872032</c:v>
                </c:pt>
                <c:pt idx="19">
                  <c:v>0.07833902</c:v>
                </c:pt>
                <c:pt idx="20">
                  <c:v>0.077776</c:v>
                </c:pt>
                <c:pt idx="21">
                  <c:v>0.07704814</c:v>
                </c:pt>
                <c:pt idx="22">
                  <c:v>0.07617097</c:v>
                </c:pt>
                <c:pt idx="23">
                  <c:v>0.07515882</c:v>
                </c:pt>
                <c:pt idx="24">
                  <c:v>0.07402501</c:v>
                </c:pt>
                <c:pt idx="25">
                  <c:v>0.07278187</c:v>
                </c:pt>
                <c:pt idx="26">
                  <c:v>0.07144091</c:v>
                </c:pt>
                <c:pt idx="27">
                  <c:v>0.07001284000000001</c:v>
                </c:pt>
                <c:pt idx="28">
                  <c:v>0.06850769</c:v>
                </c:pt>
                <c:pt idx="29">
                  <c:v>0.06693483</c:v>
                </c:pt>
                <c:pt idx="30">
                  <c:v>0.06530303</c:v>
                </c:pt>
                <c:pt idx="31">
                  <c:v>0.0636205</c:v>
                </c:pt>
                <c:pt idx="32">
                  <c:v>0.06189497</c:v>
                </c:pt>
                <c:pt idx="33">
                  <c:v>0.06013366</c:v>
                </c:pt>
                <c:pt idx="34">
                  <c:v>0.05834335</c:v>
                </c:pt>
                <c:pt idx="35">
                  <c:v>0.05653042</c:v>
                </c:pt>
                <c:pt idx="36">
                  <c:v>0.05470083</c:v>
                </c:pt>
                <c:pt idx="37">
                  <c:v>0.05286018</c:v>
                </c:pt>
                <c:pt idx="38">
                  <c:v>0.05101372</c:v>
                </c:pt>
                <c:pt idx="39">
                  <c:v>0.04916637</c:v>
                </c:pt>
                <c:pt idx="40">
                  <c:v>0.04732273</c:v>
                </c:pt>
                <c:pt idx="41">
                  <c:v>0.0454871</c:v>
                </c:pt>
                <c:pt idx="42">
                  <c:v>0.0436635</c:v>
                </c:pt>
                <c:pt idx="43">
                  <c:v>0.04185566</c:v>
                </c:pt>
                <c:pt idx="44">
                  <c:v>0.04006707</c:v>
                </c:pt>
                <c:pt idx="45">
                  <c:v>0.03830096</c:v>
                </c:pt>
                <c:pt idx="46">
                  <c:v>0.03656033</c:v>
                </c:pt>
                <c:pt idx="47">
                  <c:v>0.03484794</c:v>
                </c:pt>
                <c:pt idx="48">
                  <c:v>0.03316635</c:v>
                </c:pt>
                <c:pt idx="49">
                  <c:v>0.03151788</c:v>
                </c:pt>
                <c:pt idx="50">
                  <c:v>0.02990467</c:v>
                </c:pt>
                <c:pt idx="51">
                  <c:v>0.02832866</c:v>
                </c:pt>
                <c:pt idx="52">
                  <c:v>0.0267916</c:v>
                </c:pt>
                <c:pt idx="53">
                  <c:v>0.02529506</c:v>
                </c:pt>
                <c:pt idx="54">
                  <c:v>0.02384044</c:v>
                </c:pt>
                <c:pt idx="55">
                  <c:v>0.02242896</c:v>
                </c:pt>
                <c:pt idx="56">
                  <c:v>0.02106169</c:v>
                </c:pt>
                <c:pt idx="57">
                  <c:v>0.01973954</c:v>
                </c:pt>
                <c:pt idx="58">
                  <c:v>0.01846327</c:v>
                </c:pt>
                <c:pt idx="59">
                  <c:v>0.01723349</c:v>
                </c:pt>
                <c:pt idx="60">
                  <c:v>0.01605067</c:v>
                </c:pt>
                <c:pt idx="61">
                  <c:v>0.01491515</c:v>
                </c:pt>
                <c:pt idx="62">
                  <c:v>0.01382713</c:v>
                </c:pt>
                <c:pt idx="63">
                  <c:v>0.0127867</c:v>
                </c:pt>
                <c:pt idx="64">
                  <c:v>0.01179381</c:v>
                </c:pt>
                <c:pt idx="65">
                  <c:v>0.01084829</c:v>
                </c:pt>
                <c:pt idx="66">
                  <c:v>0.009949879999999999</c:v>
                </c:pt>
                <c:pt idx="67">
                  <c:v>0.009098200000000001</c:v>
                </c:pt>
                <c:pt idx="68">
                  <c:v>0.00829274</c:v>
                </c:pt>
                <c:pt idx="69">
                  <c:v>0.00753293</c:v>
                </c:pt>
                <c:pt idx="70">
                  <c:v>0.00681808</c:v>
                </c:pt>
                <c:pt idx="71">
                  <c:v>0.0061474</c:v>
                </c:pt>
                <c:pt idx="72">
                  <c:v>0.00552002</c:v>
                </c:pt>
                <c:pt idx="73">
                  <c:v>0.004935</c:v>
                </c:pt>
                <c:pt idx="74">
                  <c:v>0.00439128</c:v>
                </c:pt>
                <c:pt idx="75">
                  <c:v>0.00388776</c:v>
                </c:pt>
                <c:pt idx="76">
                  <c:v>0.00342325</c:v>
                </c:pt>
                <c:pt idx="77">
                  <c:v>0.00299649</c:v>
                </c:pt>
                <c:pt idx="78">
                  <c:v>0.00260614</c:v>
                </c:pt>
                <c:pt idx="79">
                  <c:v>0.00225082</c:v>
                </c:pt>
                <c:pt idx="80">
                  <c:v>0.00192909</c:v>
                </c:pt>
                <c:pt idx="81">
                  <c:v>0.00163944</c:v>
                </c:pt>
                <c:pt idx="82">
                  <c:v>0.00138031</c:v>
                </c:pt>
                <c:pt idx="83">
                  <c:v>0.00115011</c:v>
                </c:pt>
                <c:pt idx="84">
                  <c:v>0.00094721</c:v>
                </c:pt>
                <c:pt idx="85">
                  <c:v>0.00076991</c:v>
                </c:pt>
                <c:pt idx="86">
                  <c:v>0.00061653</c:v>
                </c:pt>
                <c:pt idx="87">
                  <c:v>0.00048531</c:v>
                </c:pt>
                <c:pt idx="88">
                  <c:v>0.0003745</c:v>
                </c:pt>
                <c:pt idx="89">
                  <c:v>0.00028233</c:v>
                </c:pt>
                <c:pt idx="90">
                  <c:v>0.00020702</c:v>
                </c:pt>
                <c:pt idx="91">
                  <c:v>0.00014679</c:v>
                </c:pt>
                <c:pt idx="92">
                  <c:v>9.985e-05</c:v>
                </c:pt>
                <c:pt idx="93">
                  <c:v>6.444e-05</c:v>
                </c:pt>
                <c:pt idx="94">
                  <c:v>3.883e-05</c:v>
                </c:pt>
                <c:pt idx="95">
                  <c:v>2.129e-05</c:v>
                </c:pt>
                <c:pt idx="96">
                  <c:v>1.019e-05</c:v>
                </c:pt>
                <c:pt idx="97">
                  <c:v>3.93e-06</c:v>
                </c:pt>
                <c:pt idx="98">
                  <c:v>1.03e-06</c:v>
                </c:pt>
                <c:pt idx="99">
                  <c:v>1e-07</c:v>
                </c:pt>
                <c:pt idx="100">
                  <c:v>0</c:v>
                </c:pt>
              </c:numCache>
            </c:numRef>
          </c:yVal>
          <c:smooth val="1"/>
        </c:ser>
        <c:axId val="50010001"/>
        <c:axId val="50010002"/>
      </c:scatterChart>
      <c:valAx>
        <c:axId val="5001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10002"/>
        <c:crosses val="autoZero"/>
        <c:crossBetween val="midCat"/>
      </c:val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1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PERT_MODIFICADA: gamma 2, 4 (PERT) y 8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gamma 2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GUIA!$AI$6:$AI$106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GUIA!$AJ$6:$AJ$106</c:f>
              <c:numCache>
                <c:formatCode>General</c:formatCode>
                <c:ptCount val="101"/>
                <c:pt idx="0">
                  <c:v>0</c:v>
                </c:pt>
                <c:pt idx="1">
                  <c:v>0.03153793</c:v>
                </c:pt>
                <c:pt idx="2">
                  <c:v>0.03906861</c:v>
                </c:pt>
                <c:pt idx="3">
                  <c:v>0.0439644</c:v>
                </c:pt>
                <c:pt idx="4">
                  <c:v>0.04756052</c:v>
                </c:pt>
                <c:pt idx="5">
                  <c:v>0.05034664</c:v>
                </c:pt>
                <c:pt idx="6">
                  <c:v>0.05256597</c:v>
                </c:pt>
                <c:pt idx="7">
                  <c:v>0.05435992</c:v>
                </c:pt>
                <c:pt idx="8">
                  <c:v>0.05581928</c:v>
                </c:pt>
                <c:pt idx="9">
                  <c:v>0.0570065</c:v>
                </c:pt>
                <c:pt idx="10">
                  <c:v>0.05796672</c:v>
                </c:pt>
                <c:pt idx="11">
                  <c:v>0.05873389</c:v>
                </c:pt>
                <c:pt idx="12">
                  <c:v>0.05933433</c:v>
                </c:pt>
                <c:pt idx="13">
                  <c:v>0.05978897</c:v>
                </c:pt>
                <c:pt idx="14">
                  <c:v>0.06011478</c:v>
                </c:pt>
                <c:pt idx="15">
                  <c:v>0.06032581</c:v>
                </c:pt>
                <c:pt idx="16">
                  <c:v>0.06043381</c:v>
                </c:pt>
                <c:pt idx="17">
                  <c:v>0.06044879</c:v>
                </c:pt>
                <c:pt idx="18">
                  <c:v>0.06037935</c:v>
                </c:pt>
                <c:pt idx="19">
                  <c:v>0.06023294</c:v>
                </c:pt>
                <c:pt idx="20">
                  <c:v>0.06001611</c:v>
                </c:pt>
                <c:pt idx="21">
                  <c:v>0.05973462</c:v>
                </c:pt>
                <c:pt idx="22">
                  <c:v>0.05939361</c:v>
                </c:pt>
                <c:pt idx="23">
                  <c:v>0.05899769</c:v>
                </c:pt>
                <c:pt idx="24">
                  <c:v>0.05855099</c:v>
                </c:pt>
                <c:pt idx="25">
                  <c:v>0.05805727</c:v>
                </c:pt>
                <c:pt idx="26">
                  <c:v>0.05751995</c:v>
                </c:pt>
                <c:pt idx="27">
                  <c:v>0.05694215</c:v>
                </c:pt>
                <c:pt idx="28">
                  <c:v>0.05632675</c:v>
                </c:pt>
                <c:pt idx="29">
                  <c:v>0.05567639</c:v>
                </c:pt>
                <c:pt idx="30">
                  <c:v>0.05499354</c:v>
                </c:pt>
                <c:pt idx="31">
                  <c:v>0.05428047</c:v>
                </c:pt>
                <c:pt idx="32">
                  <c:v>0.0535393</c:v>
                </c:pt>
                <c:pt idx="33">
                  <c:v>0.05277203</c:v>
                </c:pt>
                <c:pt idx="34">
                  <c:v>0.05198053</c:v>
                </c:pt>
                <c:pt idx="35">
                  <c:v>0.05116655</c:v>
                </c:pt>
                <c:pt idx="36">
                  <c:v>0.05033174</c:v>
                </c:pt>
                <c:pt idx="37">
                  <c:v>0.04947768</c:v>
                </c:pt>
                <c:pt idx="38">
                  <c:v>0.04860585</c:v>
                </c:pt>
                <c:pt idx="39">
                  <c:v>0.04771766</c:v>
                </c:pt>
                <c:pt idx="40">
                  <c:v>0.04681445</c:v>
                </c:pt>
                <c:pt idx="41">
                  <c:v>0.04589751</c:v>
                </c:pt>
                <c:pt idx="42">
                  <c:v>0.04496807</c:v>
                </c:pt>
                <c:pt idx="43">
                  <c:v>0.0440273</c:v>
                </c:pt>
                <c:pt idx="44">
                  <c:v>0.04307634</c:v>
                </c:pt>
                <c:pt idx="45">
                  <c:v>0.04211626</c:v>
                </c:pt>
                <c:pt idx="46">
                  <c:v>0.04114813</c:v>
                </c:pt>
                <c:pt idx="47">
                  <c:v>0.04017294</c:v>
                </c:pt>
                <c:pt idx="48">
                  <c:v>0.03919168</c:v>
                </c:pt>
                <c:pt idx="49">
                  <c:v>0.03820529</c:v>
                </c:pt>
                <c:pt idx="50">
                  <c:v>0.0372147</c:v>
                </c:pt>
                <c:pt idx="51">
                  <c:v>0.0362208</c:v>
                </c:pt>
                <c:pt idx="52">
                  <c:v>0.03522446</c:v>
                </c:pt>
                <c:pt idx="53">
                  <c:v>0.03422653</c:v>
                </c:pt>
                <c:pt idx="54">
                  <c:v>0.03322784</c:v>
                </c:pt>
                <c:pt idx="55">
                  <c:v>0.03222921</c:v>
                </c:pt>
                <c:pt idx="56">
                  <c:v>0.03123141</c:v>
                </c:pt>
                <c:pt idx="57">
                  <c:v>0.03023525</c:v>
                </c:pt>
                <c:pt idx="58">
                  <c:v>0.02924148</c:v>
                </c:pt>
                <c:pt idx="59">
                  <c:v>0.02825086</c:v>
                </c:pt>
                <c:pt idx="60">
                  <c:v>0.02726413</c:v>
                </c:pt>
                <c:pt idx="61">
                  <c:v>0.02628202</c:v>
                </c:pt>
                <c:pt idx="62">
                  <c:v>0.02530528</c:v>
                </c:pt>
                <c:pt idx="63">
                  <c:v>0.0243346</c:v>
                </c:pt>
                <c:pt idx="64">
                  <c:v>0.02337072</c:v>
                </c:pt>
                <c:pt idx="65">
                  <c:v>0.02241433</c:v>
                </c:pt>
                <c:pt idx="66">
                  <c:v>0.02146614</c:v>
                </c:pt>
                <c:pt idx="67">
                  <c:v>0.02052687</c:v>
                </c:pt>
                <c:pt idx="68">
                  <c:v>0.0195972</c:v>
                </c:pt>
                <c:pt idx="69">
                  <c:v>0.01867786</c:v>
                </c:pt>
                <c:pt idx="70">
                  <c:v>0.01776953</c:v>
                </c:pt>
                <c:pt idx="71">
                  <c:v>0.01687293</c:v>
                </c:pt>
                <c:pt idx="72">
                  <c:v>0.01598878</c:v>
                </c:pt>
                <c:pt idx="73">
                  <c:v>0.01511779</c:v>
                </c:pt>
                <c:pt idx="74">
                  <c:v>0.01426069</c:v>
                </c:pt>
                <c:pt idx="75">
                  <c:v>0.01341822</c:v>
                </c:pt>
                <c:pt idx="76">
                  <c:v>0.01259112</c:v>
                </c:pt>
                <c:pt idx="77">
                  <c:v>0.01178016</c:v>
                </c:pt>
                <c:pt idx="78">
                  <c:v>0.01098611</c:v>
                </c:pt>
                <c:pt idx="79">
                  <c:v>0.01020976</c:v>
                </c:pt>
                <c:pt idx="80">
                  <c:v>0.009451940000000001</c:v>
                </c:pt>
                <c:pt idx="81">
                  <c:v>0.008713490000000001</c:v>
                </c:pt>
                <c:pt idx="82">
                  <c:v>0.007995270000000001</c:v>
                </c:pt>
                <c:pt idx="83">
                  <c:v>0.00729819</c:v>
                </c:pt>
                <c:pt idx="84">
                  <c:v>0.0066232</c:v>
                </c:pt>
                <c:pt idx="85">
                  <c:v>0.00597126</c:v>
                </c:pt>
                <c:pt idx="86">
                  <c:v>0.00534344</c:v>
                </c:pt>
                <c:pt idx="87">
                  <c:v>0.00474082</c:v>
                </c:pt>
                <c:pt idx="88">
                  <c:v>0.00416458</c:v>
                </c:pt>
                <c:pt idx="89">
                  <c:v>0.00361598</c:v>
                </c:pt>
                <c:pt idx="90">
                  <c:v>0.00309639</c:v>
                </c:pt>
                <c:pt idx="91">
                  <c:v>0.00260731</c:v>
                </c:pt>
                <c:pt idx="92">
                  <c:v>0.00215041</c:v>
                </c:pt>
                <c:pt idx="93">
                  <c:v>0.00172756</c:v>
                </c:pt>
                <c:pt idx="94">
                  <c:v>0.00134092</c:v>
                </c:pt>
                <c:pt idx="95">
                  <c:v>0.0009930399999999999</c:v>
                </c:pt>
                <c:pt idx="96">
                  <c:v>0.0006870100000000001</c:v>
                </c:pt>
                <c:pt idx="97">
                  <c:v>0.00042681</c:v>
                </c:pt>
                <c:pt idx="98">
                  <c:v>0.00021789</c:v>
                </c:pt>
                <c:pt idx="99">
                  <c:v>6.886e-05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gamma 4</c:v>
          </c:tx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GUIA!$AI$6:$AI$106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GUIA!$AK$6:$AK$106</c:f>
              <c:numCache>
                <c:formatCode>General</c:formatCode>
                <c:ptCount val="101"/>
                <c:pt idx="0">
                  <c:v>0</c:v>
                </c:pt>
                <c:pt idx="1">
                  <c:v>0.02147713</c:v>
                </c:pt>
                <c:pt idx="2">
                  <c:v>0.03295838</c:v>
                </c:pt>
                <c:pt idx="3">
                  <c:v>0.04173614</c:v>
                </c:pt>
                <c:pt idx="4">
                  <c:v>0.04884309</c:v>
                </c:pt>
                <c:pt idx="5">
                  <c:v>0.05473322</c:v>
                </c:pt>
                <c:pt idx="6">
                  <c:v>0.05966496</c:v>
                </c:pt>
                <c:pt idx="7">
                  <c:v>0.06380688</c:v>
                </c:pt>
                <c:pt idx="8">
                  <c:v>0.06727883</c:v>
                </c:pt>
                <c:pt idx="9">
                  <c:v>0.07017116</c:v>
                </c:pt>
                <c:pt idx="10">
                  <c:v>0.07255499999999999</c:v>
                </c:pt>
                <c:pt idx="11">
                  <c:v>0.0744882</c:v>
                </c:pt>
                <c:pt idx="12">
                  <c:v>0.07601898999999999</c:v>
                </c:pt>
                <c:pt idx="13">
                  <c:v>0.07718841</c:v>
                </c:pt>
                <c:pt idx="14">
                  <c:v>0.07803196</c:v>
                </c:pt>
                <c:pt idx="15">
                  <c:v>0.07858076999999999</c:v>
                </c:pt>
                <c:pt idx="16">
                  <c:v>0.07886239</c:v>
                </c:pt>
                <c:pt idx="17">
                  <c:v>0.0789015</c:v>
                </c:pt>
                <c:pt idx="18">
                  <c:v>0.07872032</c:v>
                </c:pt>
                <c:pt idx="19">
                  <c:v>0.07833902</c:v>
                </c:pt>
                <c:pt idx="20">
                  <c:v>0.077776</c:v>
                </c:pt>
                <c:pt idx="21">
                  <c:v>0.07704814</c:v>
                </c:pt>
                <c:pt idx="22">
                  <c:v>0.07617097</c:v>
                </c:pt>
                <c:pt idx="23">
                  <c:v>0.07515882</c:v>
                </c:pt>
                <c:pt idx="24">
                  <c:v>0.07402501</c:v>
                </c:pt>
                <c:pt idx="25">
                  <c:v>0.07278187</c:v>
                </c:pt>
                <c:pt idx="26">
                  <c:v>0.07144091</c:v>
                </c:pt>
                <c:pt idx="27">
                  <c:v>0.07001284000000001</c:v>
                </c:pt>
                <c:pt idx="28">
                  <c:v>0.06850769</c:v>
                </c:pt>
                <c:pt idx="29">
                  <c:v>0.06693483</c:v>
                </c:pt>
                <c:pt idx="30">
                  <c:v>0.06530303</c:v>
                </c:pt>
                <c:pt idx="31">
                  <c:v>0.0636205</c:v>
                </c:pt>
                <c:pt idx="32">
                  <c:v>0.06189497</c:v>
                </c:pt>
                <c:pt idx="33">
                  <c:v>0.06013366</c:v>
                </c:pt>
                <c:pt idx="34">
                  <c:v>0.05834335</c:v>
                </c:pt>
                <c:pt idx="35">
                  <c:v>0.05653042</c:v>
                </c:pt>
                <c:pt idx="36">
                  <c:v>0.05470083</c:v>
                </c:pt>
                <c:pt idx="37">
                  <c:v>0.05286018</c:v>
                </c:pt>
                <c:pt idx="38">
                  <c:v>0.05101372</c:v>
                </c:pt>
                <c:pt idx="39">
                  <c:v>0.04916637</c:v>
                </c:pt>
                <c:pt idx="40">
                  <c:v>0.04732273</c:v>
                </c:pt>
                <c:pt idx="41">
                  <c:v>0.0454871</c:v>
                </c:pt>
                <c:pt idx="42">
                  <c:v>0.0436635</c:v>
                </c:pt>
                <c:pt idx="43">
                  <c:v>0.04185566</c:v>
                </c:pt>
                <c:pt idx="44">
                  <c:v>0.04006707</c:v>
                </c:pt>
                <c:pt idx="45">
                  <c:v>0.03830096</c:v>
                </c:pt>
                <c:pt idx="46">
                  <c:v>0.03656033</c:v>
                </c:pt>
                <c:pt idx="47">
                  <c:v>0.03484794</c:v>
                </c:pt>
                <c:pt idx="48">
                  <c:v>0.03316635</c:v>
                </c:pt>
                <c:pt idx="49">
                  <c:v>0.03151788</c:v>
                </c:pt>
                <c:pt idx="50">
                  <c:v>0.02990467</c:v>
                </c:pt>
                <c:pt idx="51">
                  <c:v>0.02832866</c:v>
                </c:pt>
                <c:pt idx="52">
                  <c:v>0.0267916</c:v>
                </c:pt>
                <c:pt idx="53">
                  <c:v>0.02529506</c:v>
                </c:pt>
                <c:pt idx="54">
                  <c:v>0.02384044</c:v>
                </c:pt>
                <c:pt idx="55">
                  <c:v>0.02242896</c:v>
                </c:pt>
                <c:pt idx="56">
                  <c:v>0.02106169</c:v>
                </c:pt>
                <c:pt idx="57">
                  <c:v>0.01973954</c:v>
                </c:pt>
                <c:pt idx="58">
                  <c:v>0.01846327</c:v>
                </c:pt>
                <c:pt idx="59">
                  <c:v>0.01723349</c:v>
                </c:pt>
                <c:pt idx="60">
                  <c:v>0.01605067</c:v>
                </c:pt>
                <c:pt idx="61">
                  <c:v>0.01491515</c:v>
                </c:pt>
                <c:pt idx="62">
                  <c:v>0.01382713</c:v>
                </c:pt>
                <c:pt idx="63">
                  <c:v>0.0127867</c:v>
                </c:pt>
                <c:pt idx="64">
                  <c:v>0.01179381</c:v>
                </c:pt>
                <c:pt idx="65">
                  <c:v>0.01084829</c:v>
                </c:pt>
                <c:pt idx="66">
                  <c:v>0.009949879999999999</c:v>
                </c:pt>
                <c:pt idx="67">
                  <c:v>0.009098200000000001</c:v>
                </c:pt>
                <c:pt idx="68">
                  <c:v>0.00829274</c:v>
                </c:pt>
                <c:pt idx="69">
                  <c:v>0.00753293</c:v>
                </c:pt>
                <c:pt idx="70">
                  <c:v>0.00681808</c:v>
                </c:pt>
                <c:pt idx="71">
                  <c:v>0.0061474</c:v>
                </c:pt>
                <c:pt idx="72">
                  <c:v>0.00552002</c:v>
                </c:pt>
                <c:pt idx="73">
                  <c:v>0.004935</c:v>
                </c:pt>
                <c:pt idx="74">
                  <c:v>0.00439128</c:v>
                </c:pt>
                <c:pt idx="75">
                  <c:v>0.00388776</c:v>
                </c:pt>
                <c:pt idx="76">
                  <c:v>0.00342325</c:v>
                </c:pt>
                <c:pt idx="77">
                  <c:v>0.00299649</c:v>
                </c:pt>
                <c:pt idx="78">
                  <c:v>0.00260614</c:v>
                </c:pt>
                <c:pt idx="79">
                  <c:v>0.00225082</c:v>
                </c:pt>
                <c:pt idx="80">
                  <c:v>0.00192909</c:v>
                </c:pt>
                <c:pt idx="81">
                  <c:v>0.00163944</c:v>
                </c:pt>
                <c:pt idx="82">
                  <c:v>0.00138031</c:v>
                </c:pt>
                <c:pt idx="83">
                  <c:v>0.00115011</c:v>
                </c:pt>
                <c:pt idx="84">
                  <c:v>0.00094721</c:v>
                </c:pt>
                <c:pt idx="85">
                  <c:v>0.00076991</c:v>
                </c:pt>
                <c:pt idx="86">
                  <c:v>0.00061653</c:v>
                </c:pt>
                <c:pt idx="87">
                  <c:v>0.00048531</c:v>
                </c:pt>
                <c:pt idx="88">
                  <c:v>0.0003745</c:v>
                </c:pt>
                <c:pt idx="89">
                  <c:v>0.00028233</c:v>
                </c:pt>
                <c:pt idx="90">
                  <c:v>0.00020702</c:v>
                </c:pt>
                <c:pt idx="91">
                  <c:v>0.00014679</c:v>
                </c:pt>
                <c:pt idx="92">
                  <c:v>9.985e-05</c:v>
                </c:pt>
                <c:pt idx="93">
                  <c:v>6.444e-05</c:v>
                </c:pt>
                <c:pt idx="94">
                  <c:v>3.883e-05</c:v>
                </c:pt>
                <c:pt idx="95">
                  <c:v>2.129e-05</c:v>
                </c:pt>
                <c:pt idx="96">
                  <c:v>1.019e-05</c:v>
                </c:pt>
                <c:pt idx="97">
                  <c:v>3.93e-06</c:v>
                </c:pt>
                <c:pt idx="98">
                  <c:v>1.03e-06</c:v>
                </c:pt>
                <c:pt idx="99">
                  <c:v>1e-07</c:v>
                </c:pt>
                <c:pt idx="10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gamma 8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GUIA!$AI$6:$AI$106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GUIA!$AL$6:$AL$106</c:f>
              <c:numCache>
                <c:formatCode>General</c:formatCode>
                <c:ptCount val="101"/>
                <c:pt idx="0">
                  <c:v>0</c:v>
                </c:pt>
                <c:pt idx="1">
                  <c:v>0.00789221</c:v>
                </c:pt>
                <c:pt idx="2">
                  <c:v>0.01858566</c:v>
                </c:pt>
                <c:pt idx="3">
                  <c:v>0.02980374</c:v>
                </c:pt>
                <c:pt idx="4">
                  <c:v>0.04081807</c:v>
                </c:pt>
                <c:pt idx="5">
                  <c:v>0.05125642</c:v>
                </c:pt>
                <c:pt idx="6">
                  <c:v>0.06090948</c:v>
                </c:pt>
                <c:pt idx="7">
                  <c:v>0.06965965</c:v>
                </c:pt>
                <c:pt idx="8">
                  <c:v>0.07744672</c:v>
                </c:pt>
                <c:pt idx="9">
                  <c:v>0.08424876000000001</c:v>
                </c:pt>
                <c:pt idx="10">
                  <c:v>0.09007016</c:v>
                </c:pt>
                <c:pt idx="11">
                  <c:v>0.09493387</c:v>
                </c:pt>
                <c:pt idx="12">
                  <c:v>0.09887588</c:v>
                </c:pt>
                <c:pt idx="13">
                  <c:v>0.10194135</c:v>
                </c:pt>
                <c:pt idx="14">
                  <c:v>0.10418166</c:v>
                </c:pt>
                <c:pt idx="15">
                  <c:v>0.10565225</c:v>
                </c:pt>
                <c:pt idx="16">
                  <c:v>0.1064109</c:v>
                </c:pt>
                <c:pt idx="17">
                  <c:v>0.10651646</c:v>
                </c:pt>
                <c:pt idx="18">
                  <c:v>0.10602784</c:v>
                </c:pt>
                <c:pt idx="19">
                  <c:v>0.10500319</c:v>
                </c:pt>
                <c:pt idx="20">
                  <c:v>0.10349931</c:v>
                </c:pt>
                <c:pt idx="21">
                  <c:v>0.10157119</c:v>
                </c:pt>
                <c:pt idx="22">
                  <c:v>0.09927163</c:v>
                </c:pt>
                <c:pt idx="23">
                  <c:v>0.09665095999999999</c:v>
                </c:pt>
                <c:pt idx="24">
                  <c:v>0.09375688</c:v>
                </c:pt>
                <c:pt idx="25">
                  <c:v>0.09063431</c:v>
                </c:pt>
                <c:pt idx="26">
                  <c:v>0.08732531</c:v>
                </c:pt>
                <c:pt idx="27">
                  <c:v>0.08386903</c:v>
                </c:pt>
                <c:pt idx="28">
                  <c:v>0.08030173</c:v>
                </c:pt>
                <c:pt idx="29">
                  <c:v>0.07665677</c:v>
                </c:pt>
                <c:pt idx="30">
                  <c:v>0.07296469999999999</c:v>
                </c:pt>
                <c:pt idx="31">
                  <c:v>0.06925329</c:v>
                </c:pt>
                <c:pt idx="32">
                  <c:v>0.06554762</c:v>
                </c:pt>
                <c:pt idx="33">
                  <c:v>0.06187019</c:v>
                </c:pt>
                <c:pt idx="34">
                  <c:v>0.05824102</c:v>
                </c:pt>
                <c:pt idx="35">
                  <c:v>0.05467775</c:v>
                </c:pt>
                <c:pt idx="36">
                  <c:v>0.05119577</c:v>
                </c:pt>
                <c:pt idx="37">
                  <c:v>0.04780832</c:v>
                </c:pt>
                <c:pt idx="38">
                  <c:v>0.04452668</c:v>
                </c:pt>
                <c:pt idx="39">
                  <c:v>0.0413602</c:v>
                </c:pt>
                <c:pt idx="40">
                  <c:v>0.0383165</c:v>
                </c:pt>
                <c:pt idx="41">
                  <c:v>0.03540159</c:v>
                </c:pt>
                <c:pt idx="42">
                  <c:v>0.03261994</c:v>
                </c:pt>
                <c:pt idx="43">
                  <c:v>0.02997468</c:v>
                </c:pt>
                <c:pt idx="44">
                  <c:v>0.02746764</c:v>
                </c:pt>
                <c:pt idx="45">
                  <c:v>0.02509952</c:v>
                </c:pt>
                <c:pt idx="46">
                  <c:v>0.02287001</c:v>
                </c:pt>
                <c:pt idx="47">
                  <c:v>0.02077784</c:v>
                </c:pt>
                <c:pt idx="48">
                  <c:v>0.01882095</c:v>
                </c:pt>
                <c:pt idx="49">
                  <c:v>0.01699653</c:v>
                </c:pt>
                <c:pt idx="50">
                  <c:v>0.01530116</c:v>
                </c:pt>
                <c:pt idx="51">
                  <c:v>0.01373088</c:v>
                </c:pt>
                <c:pt idx="52">
                  <c:v>0.01228128</c:v>
                </c:pt>
                <c:pt idx="53">
                  <c:v>0.01094757</c:v>
                </c:pt>
                <c:pt idx="54">
                  <c:v>0.009724669999999999</c:v>
                </c:pt>
                <c:pt idx="55">
                  <c:v>0.00860725</c:v>
                </c:pt>
                <c:pt idx="56">
                  <c:v>0.00758984</c:v>
                </c:pt>
                <c:pt idx="57">
                  <c:v>0.00666685</c:v>
                </c:pt>
                <c:pt idx="58">
                  <c:v>0.00583262</c:v>
                </c:pt>
                <c:pt idx="59">
                  <c:v>0.00508151</c:v>
                </c:pt>
                <c:pt idx="60">
                  <c:v>0.00440791</c:v>
                </c:pt>
                <c:pt idx="61">
                  <c:v>0.00380629</c:v>
                </c:pt>
                <c:pt idx="62">
                  <c:v>0.00327123</c:v>
                </c:pt>
                <c:pt idx="63">
                  <c:v>0.00279745</c:v>
                </c:pt>
                <c:pt idx="64">
                  <c:v>0.00237988</c:v>
                </c:pt>
                <c:pt idx="65">
                  <c:v>0.00201358</c:v>
                </c:pt>
                <c:pt idx="66">
                  <c:v>0.00169388</c:v>
                </c:pt>
                <c:pt idx="67">
                  <c:v>0.00141631</c:v>
                </c:pt>
                <c:pt idx="68">
                  <c:v>0.00117664</c:v>
                </c:pt>
                <c:pt idx="69">
                  <c:v>0.0009709</c:v>
                </c:pt>
                <c:pt idx="70">
                  <c:v>0.00079537</c:v>
                </c:pt>
                <c:pt idx="71">
                  <c:v>0.0006465899999999999</c:v>
                </c:pt>
                <c:pt idx="72">
                  <c:v>0.00052135</c:v>
                </c:pt>
                <c:pt idx="73">
                  <c:v>0.0004167</c:v>
                </c:pt>
                <c:pt idx="74">
                  <c:v>0.00032994</c:v>
                </c:pt>
                <c:pt idx="75">
                  <c:v>0.00025861</c:v>
                </c:pt>
                <c:pt idx="76">
                  <c:v>0.0002005</c:v>
                </c:pt>
                <c:pt idx="77">
                  <c:v>0.00015363</c:v>
                </c:pt>
                <c:pt idx="78">
                  <c:v>0.00011621</c:v>
                </c:pt>
                <c:pt idx="79">
                  <c:v>8.668e-05</c:v>
                </c:pt>
                <c:pt idx="80">
                  <c:v>6.367000000000001e-05</c:v>
                </c:pt>
                <c:pt idx="81">
                  <c:v>4.599e-05</c:v>
                </c:pt>
                <c:pt idx="82">
                  <c:v>3.26e-05</c:v>
                </c:pt>
                <c:pt idx="83">
                  <c:v>2.263e-05</c:v>
                </c:pt>
                <c:pt idx="84">
                  <c:v>1.535e-05</c:v>
                </c:pt>
                <c:pt idx="85">
                  <c:v>1.014e-05</c:v>
                </c:pt>
                <c:pt idx="86">
                  <c:v>6.5e-06</c:v>
                </c:pt>
                <c:pt idx="87">
                  <c:v>4.03e-06</c:v>
                </c:pt>
                <c:pt idx="88">
                  <c:v>2.4e-06</c:v>
                </c:pt>
                <c:pt idx="89">
                  <c:v>1.36e-06</c:v>
                </c:pt>
                <c:pt idx="90">
                  <c:v>7.3e-07</c:v>
                </c:pt>
                <c:pt idx="91">
                  <c:v>3.7e-07</c:v>
                </c:pt>
                <c:pt idx="92">
                  <c:v>1.7e-07</c:v>
                </c:pt>
                <c:pt idx="93">
                  <c:v>7e-08</c:v>
                </c:pt>
                <c:pt idx="94">
                  <c:v>3e-08</c:v>
                </c:pt>
                <c:pt idx="95">
                  <c:v>1e-08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axId val="50020001"/>
        <c:axId val="50020002"/>
      </c:scatterChart>
      <c:valAx>
        <c:axId val="5002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20002"/>
        <c:crosses val="autoZero"/>
        <c:crossBetween val="midCat"/>
      </c:valAx>
      <c:valAx>
        <c:axId val="5002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2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NORMAL (20; 10) y NORMAL_TRUNCADA en [0; 35]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NORMAL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GUIA!$AM$6:$AM$106</c:f>
              <c:numCache>
                <c:formatCode>General</c:formatCode>
                <c:ptCount val="101"/>
                <c:pt idx="0">
                  <c:v>-10</c:v>
                </c:pt>
                <c:pt idx="1">
                  <c:v>-9.4</c:v>
                </c:pt>
                <c:pt idx="2">
                  <c:v>-8.800000000000001</c:v>
                </c:pt>
                <c:pt idx="3">
                  <c:v>-8.199999999999999</c:v>
                </c:pt>
                <c:pt idx="4">
                  <c:v>-7.6</c:v>
                </c:pt>
                <c:pt idx="5">
                  <c:v>-7</c:v>
                </c:pt>
                <c:pt idx="6">
                  <c:v>-6.4</c:v>
                </c:pt>
                <c:pt idx="7">
                  <c:v>-5.8</c:v>
                </c:pt>
                <c:pt idx="8">
                  <c:v>-5.2</c:v>
                </c:pt>
                <c:pt idx="9">
                  <c:v>-4.600000000000001</c:v>
                </c:pt>
                <c:pt idx="10">
                  <c:v>-4</c:v>
                </c:pt>
                <c:pt idx="11">
                  <c:v>-3.4</c:v>
                </c:pt>
                <c:pt idx="12">
                  <c:v>-2.800000000000001</c:v>
                </c:pt>
                <c:pt idx="13">
                  <c:v>-2.2</c:v>
                </c:pt>
                <c:pt idx="14">
                  <c:v>-1.6</c:v>
                </c:pt>
                <c:pt idx="15">
                  <c:v>-1</c:v>
                </c:pt>
                <c:pt idx="16">
                  <c:v>-0.4000000000000004</c:v>
                </c:pt>
                <c:pt idx="17">
                  <c:v>0.1999999999999993</c:v>
                </c:pt>
                <c:pt idx="18">
                  <c:v>0.7999999999999989</c:v>
                </c:pt>
                <c:pt idx="19">
                  <c:v>1.4</c:v>
                </c:pt>
                <c:pt idx="20">
                  <c:v>2</c:v>
                </c:pt>
                <c:pt idx="21">
                  <c:v>2.6</c:v>
                </c:pt>
                <c:pt idx="22">
                  <c:v>3.199999999999999</c:v>
                </c:pt>
                <c:pt idx="23">
                  <c:v>3.799999999999999</c:v>
                </c:pt>
                <c:pt idx="24">
                  <c:v>4.399999999999999</c:v>
                </c:pt>
                <c:pt idx="25">
                  <c:v>5</c:v>
                </c:pt>
                <c:pt idx="26">
                  <c:v>5.6</c:v>
                </c:pt>
                <c:pt idx="27">
                  <c:v>6.199999999999999</c:v>
                </c:pt>
                <c:pt idx="28">
                  <c:v>6.800000000000001</c:v>
                </c:pt>
                <c:pt idx="29">
                  <c:v>7.399999999999999</c:v>
                </c:pt>
                <c:pt idx="30">
                  <c:v>8</c:v>
                </c:pt>
                <c:pt idx="31">
                  <c:v>8.599999999999998</c:v>
                </c:pt>
                <c:pt idx="32">
                  <c:v>9.199999999999999</c:v>
                </c:pt>
                <c:pt idx="33">
                  <c:v>9.800000000000001</c:v>
                </c:pt>
                <c:pt idx="34">
                  <c:v>10.4</c:v>
                </c:pt>
                <c:pt idx="35">
                  <c:v>11</c:v>
                </c:pt>
                <c:pt idx="36">
                  <c:v>11.6</c:v>
                </c:pt>
                <c:pt idx="37">
                  <c:v>12.2</c:v>
                </c:pt>
                <c:pt idx="38">
                  <c:v>12.8</c:v>
                </c:pt>
                <c:pt idx="39">
                  <c:v>13.4</c:v>
                </c:pt>
                <c:pt idx="40">
                  <c:v>14</c:v>
                </c:pt>
                <c:pt idx="41">
                  <c:v>14.6</c:v>
                </c:pt>
                <c:pt idx="42">
                  <c:v>15.2</c:v>
                </c:pt>
                <c:pt idx="43">
                  <c:v>15.8</c:v>
                </c:pt>
                <c:pt idx="44">
                  <c:v>16.4</c:v>
                </c:pt>
                <c:pt idx="45">
                  <c:v>17</c:v>
                </c:pt>
                <c:pt idx="46">
                  <c:v>17.6</c:v>
                </c:pt>
                <c:pt idx="47">
                  <c:v>18.2</c:v>
                </c:pt>
                <c:pt idx="48">
                  <c:v>18.8</c:v>
                </c:pt>
                <c:pt idx="49">
                  <c:v>19.4</c:v>
                </c:pt>
                <c:pt idx="50">
                  <c:v>20</c:v>
                </c:pt>
                <c:pt idx="51">
                  <c:v>20.6</c:v>
                </c:pt>
                <c:pt idx="52">
                  <c:v>21.2</c:v>
                </c:pt>
                <c:pt idx="53">
                  <c:v>21.8</c:v>
                </c:pt>
                <c:pt idx="54">
                  <c:v>22.4</c:v>
                </c:pt>
                <c:pt idx="55">
                  <c:v>23</c:v>
                </c:pt>
                <c:pt idx="56">
                  <c:v>23.6</c:v>
                </c:pt>
                <c:pt idx="57">
                  <c:v>24.2</c:v>
                </c:pt>
                <c:pt idx="58">
                  <c:v>24.8</c:v>
                </c:pt>
                <c:pt idx="59">
                  <c:v>25.4</c:v>
                </c:pt>
                <c:pt idx="60">
                  <c:v>26</c:v>
                </c:pt>
                <c:pt idx="61">
                  <c:v>26.6</c:v>
                </c:pt>
                <c:pt idx="62">
                  <c:v>27.2</c:v>
                </c:pt>
                <c:pt idx="63">
                  <c:v>27.8</c:v>
                </c:pt>
                <c:pt idx="64">
                  <c:v>28.4</c:v>
                </c:pt>
                <c:pt idx="65">
                  <c:v>29</c:v>
                </c:pt>
                <c:pt idx="66">
                  <c:v>29.6</c:v>
                </c:pt>
                <c:pt idx="67">
                  <c:v>30.2</c:v>
                </c:pt>
                <c:pt idx="68">
                  <c:v>30.8</c:v>
                </c:pt>
                <c:pt idx="69">
                  <c:v>31.4</c:v>
                </c:pt>
                <c:pt idx="70">
                  <c:v>32</c:v>
                </c:pt>
                <c:pt idx="71">
                  <c:v>32.6</c:v>
                </c:pt>
                <c:pt idx="72">
                  <c:v>33.2</c:v>
                </c:pt>
                <c:pt idx="73">
                  <c:v>33.8</c:v>
                </c:pt>
                <c:pt idx="74">
                  <c:v>34.4</c:v>
                </c:pt>
                <c:pt idx="75">
                  <c:v>35</c:v>
                </c:pt>
                <c:pt idx="76">
                  <c:v>35.6</c:v>
                </c:pt>
                <c:pt idx="77">
                  <c:v>36.2</c:v>
                </c:pt>
                <c:pt idx="78">
                  <c:v>36.8</c:v>
                </c:pt>
                <c:pt idx="79">
                  <c:v>37.4</c:v>
                </c:pt>
                <c:pt idx="80">
                  <c:v>38</c:v>
                </c:pt>
                <c:pt idx="81">
                  <c:v>38.6</c:v>
                </c:pt>
                <c:pt idx="82">
                  <c:v>39.2</c:v>
                </c:pt>
                <c:pt idx="83">
                  <c:v>39.8</c:v>
                </c:pt>
                <c:pt idx="84">
                  <c:v>40.4</c:v>
                </c:pt>
                <c:pt idx="85">
                  <c:v>41</c:v>
                </c:pt>
                <c:pt idx="86">
                  <c:v>41.6</c:v>
                </c:pt>
                <c:pt idx="87">
                  <c:v>42.2</c:v>
                </c:pt>
                <c:pt idx="88">
                  <c:v>42.8</c:v>
                </c:pt>
                <c:pt idx="89">
                  <c:v>43.4</c:v>
                </c:pt>
                <c:pt idx="90">
                  <c:v>44</c:v>
                </c:pt>
                <c:pt idx="91">
                  <c:v>44.6</c:v>
                </c:pt>
                <c:pt idx="92">
                  <c:v>45.2</c:v>
                </c:pt>
                <c:pt idx="93">
                  <c:v>45.8</c:v>
                </c:pt>
                <c:pt idx="94">
                  <c:v>46.4</c:v>
                </c:pt>
                <c:pt idx="95">
                  <c:v>47</c:v>
                </c:pt>
                <c:pt idx="96">
                  <c:v>47.59999999999999</c:v>
                </c:pt>
                <c:pt idx="97">
                  <c:v>48.2</c:v>
                </c:pt>
                <c:pt idx="98">
                  <c:v>48.8</c:v>
                </c:pt>
                <c:pt idx="99">
                  <c:v>49.4</c:v>
                </c:pt>
                <c:pt idx="100">
                  <c:v>50</c:v>
                </c:pt>
              </c:numCache>
            </c:numRef>
          </c:xVal>
          <c:yVal>
            <c:numRef>
              <c:f>GUIA!$AN$6:$AN$106</c:f>
              <c:numCache>
                <c:formatCode>General</c:formatCode>
                <c:ptCount val="101"/>
                <c:pt idx="0">
                  <c:v>0.00044318</c:v>
                </c:pt>
                <c:pt idx="1">
                  <c:v>0.00052963</c:v>
                </c:pt>
                <c:pt idx="2">
                  <c:v>0.00063067</c:v>
                </c:pt>
                <c:pt idx="3">
                  <c:v>0.00074829</c:v>
                </c:pt>
                <c:pt idx="4">
                  <c:v>0.00088465</c:v>
                </c:pt>
                <c:pt idx="5">
                  <c:v>0.00104209</c:v>
                </c:pt>
                <c:pt idx="6">
                  <c:v>0.00122315</c:v>
                </c:pt>
                <c:pt idx="7">
                  <c:v>0.00143051</c:v>
                </c:pt>
                <c:pt idx="8">
                  <c:v>0.00166701</c:v>
                </c:pt>
                <c:pt idx="9">
                  <c:v>0.00193563</c:v>
                </c:pt>
                <c:pt idx="10">
                  <c:v>0.00223945</c:v>
                </c:pt>
                <c:pt idx="11">
                  <c:v>0.00258166</c:v>
                </c:pt>
                <c:pt idx="12">
                  <c:v>0.00296546</c:v>
                </c:pt>
                <c:pt idx="13">
                  <c:v>0.00339408</c:v>
                </c:pt>
                <c:pt idx="14">
                  <c:v>0.00387069</c:v>
                </c:pt>
                <c:pt idx="15">
                  <c:v>0.00439836</c:v>
                </c:pt>
                <c:pt idx="16">
                  <c:v>0.00498001</c:v>
                </c:pt>
                <c:pt idx="17">
                  <c:v>0.00561831</c:v>
                </c:pt>
                <c:pt idx="18">
                  <c:v>0.00631566</c:v>
                </c:pt>
                <c:pt idx="19">
                  <c:v>0.00707404</c:v>
                </c:pt>
                <c:pt idx="20">
                  <c:v>0.007895020000000001</c:v>
                </c:pt>
                <c:pt idx="21">
                  <c:v>0.00877961</c:v>
                </c:pt>
                <c:pt idx="22">
                  <c:v>0.009728229999999999</c:v>
                </c:pt>
                <c:pt idx="23">
                  <c:v>0.01074061</c:v>
                </c:pt>
                <c:pt idx="24">
                  <c:v>0.01181573</c:v>
                </c:pt>
                <c:pt idx="25">
                  <c:v>0.01295176</c:v>
                </c:pt>
                <c:pt idx="26">
                  <c:v>0.014146</c:v>
                </c:pt>
                <c:pt idx="27">
                  <c:v>0.01539483</c:v>
                </c:pt>
                <c:pt idx="28">
                  <c:v>0.0166937</c:v>
                </c:pt>
                <c:pt idx="29">
                  <c:v>0.01803712</c:v>
                </c:pt>
                <c:pt idx="30">
                  <c:v>0.01941861</c:v>
                </c:pt>
                <c:pt idx="31">
                  <c:v>0.02083078</c:v>
                </c:pt>
                <c:pt idx="32">
                  <c:v>0.02226535</c:v>
                </c:pt>
                <c:pt idx="33">
                  <c:v>0.0237132</c:v>
                </c:pt>
                <c:pt idx="34">
                  <c:v>0.02516443</c:v>
                </c:pt>
                <c:pt idx="35">
                  <c:v>0.02660852</c:v>
                </c:pt>
                <c:pt idx="36">
                  <c:v>0.02803438</c:v>
                </c:pt>
                <c:pt idx="37">
                  <c:v>0.0294305</c:v>
                </c:pt>
                <c:pt idx="38">
                  <c:v>0.03078513</c:v>
                </c:pt>
                <c:pt idx="39">
                  <c:v>0.03208638</c:v>
                </c:pt>
                <c:pt idx="40">
                  <c:v>0.03332246</c:v>
                </c:pt>
                <c:pt idx="41">
                  <c:v>0.0344818</c:v>
                </c:pt>
                <c:pt idx="42">
                  <c:v>0.03555325</c:v>
                </c:pt>
                <c:pt idx="43">
                  <c:v>0.03652627</c:v>
                </c:pt>
                <c:pt idx="44">
                  <c:v>0.03739106</c:v>
                </c:pt>
                <c:pt idx="45">
                  <c:v>0.03813878</c:v>
                </c:pt>
                <c:pt idx="46">
                  <c:v>0.03876166</c:v>
                </c:pt>
                <c:pt idx="47">
                  <c:v>0.03925315</c:v>
                </c:pt>
                <c:pt idx="48">
                  <c:v>0.03960802</c:v>
                </c:pt>
                <c:pt idx="49">
                  <c:v>0.03982248</c:v>
                </c:pt>
                <c:pt idx="50">
                  <c:v>0.03989423</c:v>
                </c:pt>
                <c:pt idx="51">
                  <c:v>0.03982248</c:v>
                </c:pt>
                <c:pt idx="52">
                  <c:v>0.03960802</c:v>
                </c:pt>
                <c:pt idx="53">
                  <c:v>0.03925315</c:v>
                </c:pt>
                <c:pt idx="54">
                  <c:v>0.03876166</c:v>
                </c:pt>
                <c:pt idx="55">
                  <c:v>0.03813878</c:v>
                </c:pt>
                <c:pt idx="56">
                  <c:v>0.03739106</c:v>
                </c:pt>
                <c:pt idx="57">
                  <c:v>0.03652627</c:v>
                </c:pt>
                <c:pt idx="58">
                  <c:v>0.03555325</c:v>
                </c:pt>
                <c:pt idx="59">
                  <c:v>0.0344818</c:v>
                </c:pt>
                <c:pt idx="60">
                  <c:v>0.03332246</c:v>
                </c:pt>
                <c:pt idx="61">
                  <c:v>0.03208638</c:v>
                </c:pt>
                <c:pt idx="62">
                  <c:v>0.03078513</c:v>
                </c:pt>
                <c:pt idx="63">
                  <c:v>0.0294305</c:v>
                </c:pt>
                <c:pt idx="64">
                  <c:v>0.02803438</c:v>
                </c:pt>
                <c:pt idx="65">
                  <c:v>0.02660852</c:v>
                </c:pt>
                <c:pt idx="66">
                  <c:v>0.02516443</c:v>
                </c:pt>
                <c:pt idx="67">
                  <c:v>0.0237132</c:v>
                </c:pt>
                <c:pt idx="68">
                  <c:v>0.02226535</c:v>
                </c:pt>
                <c:pt idx="69">
                  <c:v>0.02083078</c:v>
                </c:pt>
                <c:pt idx="70">
                  <c:v>0.01941861</c:v>
                </c:pt>
                <c:pt idx="71">
                  <c:v>0.01803712</c:v>
                </c:pt>
                <c:pt idx="72">
                  <c:v>0.0166937</c:v>
                </c:pt>
                <c:pt idx="73">
                  <c:v>0.01539483</c:v>
                </c:pt>
                <c:pt idx="74">
                  <c:v>0.014146</c:v>
                </c:pt>
                <c:pt idx="75">
                  <c:v>0.01295176</c:v>
                </c:pt>
                <c:pt idx="76">
                  <c:v>0.01181573</c:v>
                </c:pt>
                <c:pt idx="77">
                  <c:v>0.01074061</c:v>
                </c:pt>
                <c:pt idx="78">
                  <c:v>0.009728229999999999</c:v>
                </c:pt>
                <c:pt idx="79">
                  <c:v>0.00877961</c:v>
                </c:pt>
                <c:pt idx="80">
                  <c:v>0.007895020000000001</c:v>
                </c:pt>
                <c:pt idx="81">
                  <c:v>0.00707404</c:v>
                </c:pt>
                <c:pt idx="82">
                  <c:v>0.00631566</c:v>
                </c:pt>
                <c:pt idx="83">
                  <c:v>0.00561831</c:v>
                </c:pt>
                <c:pt idx="84">
                  <c:v>0.00498001</c:v>
                </c:pt>
                <c:pt idx="85">
                  <c:v>0.00439836</c:v>
                </c:pt>
                <c:pt idx="86">
                  <c:v>0.00387069</c:v>
                </c:pt>
                <c:pt idx="87">
                  <c:v>0.00339408</c:v>
                </c:pt>
                <c:pt idx="88">
                  <c:v>0.00296546</c:v>
                </c:pt>
                <c:pt idx="89">
                  <c:v>0.00258166</c:v>
                </c:pt>
                <c:pt idx="90">
                  <c:v>0.00223945</c:v>
                </c:pt>
                <c:pt idx="91">
                  <c:v>0.00193563</c:v>
                </c:pt>
                <c:pt idx="92">
                  <c:v>0.00166701</c:v>
                </c:pt>
                <c:pt idx="93">
                  <c:v>0.00143051</c:v>
                </c:pt>
                <c:pt idx="94">
                  <c:v>0.00122315</c:v>
                </c:pt>
                <c:pt idx="95">
                  <c:v>0.00104209</c:v>
                </c:pt>
                <c:pt idx="96">
                  <c:v>0.00088465</c:v>
                </c:pt>
                <c:pt idx="97">
                  <c:v>0.00074829</c:v>
                </c:pt>
                <c:pt idx="98">
                  <c:v>0.00063067</c:v>
                </c:pt>
                <c:pt idx="99">
                  <c:v>0.00052963</c:v>
                </c:pt>
                <c:pt idx="100">
                  <c:v>0.00044318</c:v>
                </c:pt>
              </c:numCache>
            </c:numRef>
          </c:yVal>
          <c:smooth val="1"/>
        </c:ser>
        <c:ser>
          <c:idx val="1"/>
          <c:order val="1"/>
          <c:tx>
            <c:v>NORMAL_TRUNCADA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GUIA!$AM$6:$AM$106</c:f>
              <c:numCache>
                <c:formatCode>General</c:formatCode>
                <c:ptCount val="101"/>
                <c:pt idx="0">
                  <c:v>-10</c:v>
                </c:pt>
                <c:pt idx="1">
                  <c:v>-9.4</c:v>
                </c:pt>
                <c:pt idx="2">
                  <c:v>-8.800000000000001</c:v>
                </c:pt>
                <c:pt idx="3">
                  <c:v>-8.199999999999999</c:v>
                </c:pt>
                <c:pt idx="4">
                  <c:v>-7.6</c:v>
                </c:pt>
                <c:pt idx="5">
                  <c:v>-7</c:v>
                </c:pt>
                <c:pt idx="6">
                  <c:v>-6.4</c:v>
                </c:pt>
                <c:pt idx="7">
                  <c:v>-5.8</c:v>
                </c:pt>
                <c:pt idx="8">
                  <c:v>-5.2</c:v>
                </c:pt>
                <c:pt idx="9">
                  <c:v>-4.600000000000001</c:v>
                </c:pt>
                <c:pt idx="10">
                  <c:v>-4</c:v>
                </c:pt>
                <c:pt idx="11">
                  <c:v>-3.4</c:v>
                </c:pt>
                <c:pt idx="12">
                  <c:v>-2.800000000000001</c:v>
                </c:pt>
                <c:pt idx="13">
                  <c:v>-2.2</c:v>
                </c:pt>
                <c:pt idx="14">
                  <c:v>-1.6</c:v>
                </c:pt>
                <c:pt idx="15">
                  <c:v>-1</c:v>
                </c:pt>
                <c:pt idx="16">
                  <c:v>-0.4000000000000004</c:v>
                </c:pt>
                <c:pt idx="17">
                  <c:v>0.1999999999999993</c:v>
                </c:pt>
                <c:pt idx="18">
                  <c:v>0.7999999999999989</c:v>
                </c:pt>
                <c:pt idx="19">
                  <c:v>1.4</c:v>
                </c:pt>
                <c:pt idx="20">
                  <c:v>2</c:v>
                </c:pt>
                <c:pt idx="21">
                  <c:v>2.6</c:v>
                </c:pt>
                <c:pt idx="22">
                  <c:v>3.199999999999999</c:v>
                </c:pt>
                <c:pt idx="23">
                  <c:v>3.799999999999999</c:v>
                </c:pt>
                <c:pt idx="24">
                  <c:v>4.399999999999999</c:v>
                </c:pt>
                <c:pt idx="25">
                  <c:v>5</c:v>
                </c:pt>
                <c:pt idx="26">
                  <c:v>5.6</c:v>
                </c:pt>
                <c:pt idx="27">
                  <c:v>6.199999999999999</c:v>
                </c:pt>
                <c:pt idx="28">
                  <c:v>6.800000000000001</c:v>
                </c:pt>
                <c:pt idx="29">
                  <c:v>7.399999999999999</c:v>
                </c:pt>
                <c:pt idx="30">
                  <c:v>8</c:v>
                </c:pt>
                <c:pt idx="31">
                  <c:v>8.599999999999998</c:v>
                </c:pt>
                <c:pt idx="32">
                  <c:v>9.199999999999999</c:v>
                </c:pt>
                <c:pt idx="33">
                  <c:v>9.800000000000001</c:v>
                </c:pt>
                <c:pt idx="34">
                  <c:v>10.4</c:v>
                </c:pt>
                <c:pt idx="35">
                  <c:v>11</c:v>
                </c:pt>
                <c:pt idx="36">
                  <c:v>11.6</c:v>
                </c:pt>
                <c:pt idx="37">
                  <c:v>12.2</c:v>
                </c:pt>
                <c:pt idx="38">
                  <c:v>12.8</c:v>
                </c:pt>
                <c:pt idx="39">
                  <c:v>13.4</c:v>
                </c:pt>
                <c:pt idx="40">
                  <c:v>14</c:v>
                </c:pt>
                <c:pt idx="41">
                  <c:v>14.6</c:v>
                </c:pt>
                <c:pt idx="42">
                  <c:v>15.2</c:v>
                </c:pt>
                <c:pt idx="43">
                  <c:v>15.8</c:v>
                </c:pt>
                <c:pt idx="44">
                  <c:v>16.4</c:v>
                </c:pt>
                <c:pt idx="45">
                  <c:v>17</c:v>
                </c:pt>
                <c:pt idx="46">
                  <c:v>17.6</c:v>
                </c:pt>
                <c:pt idx="47">
                  <c:v>18.2</c:v>
                </c:pt>
                <c:pt idx="48">
                  <c:v>18.8</c:v>
                </c:pt>
                <c:pt idx="49">
                  <c:v>19.4</c:v>
                </c:pt>
                <c:pt idx="50">
                  <c:v>20</c:v>
                </c:pt>
                <c:pt idx="51">
                  <c:v>20.6</c:v>
                </c:pt>
                <c:pt idx="52">
                  <c:v>21.2</c:v>
                </c:pt>
                <c:pt idx="53">
                  <c:v>21.8</c:v>
                </c:pt>
                <c:pt idx="54">
                  <c:v>22.4</c:v>
                </c:pt>
                <c:pt idx="55">
                  <c:v>23</c:v>
                </c:pt>
                <c:pt idx="56">
                  <c:v>23.6</c:v>
                </c:pt>
                <c:pt idx="57">
                  <c:v>24.2</c:v>
                </c:pt>
                <c:pt idx="58">
                  <c:v>24.8</c:v>
                </c:pt>
                <c:pt idx="59">
                  <c:v>25.4</c:v>
                </c:pt>
                <c:pt idx="60">
                  <c:v>26</c:v>
                </c:pt>
                <c:pt idx="61">
                  <c:v>26.6</c:v>
                </c:pt>
                <c:pt idx="62">
                  <c:v>27.2</c:v>
                </c:pt>
                <c:pt idx="63">
                  <c:v>27.8</c:v>
                </c:pt>
                <c:pt idx="64">
                  <c:v>28.4</c:v>
                </c:pt>
                <c:pt idx="65">
                  <c:v>29</c:v>
                </c:pt>
                <c:pt idx="66">
                  <c:v>29.6</c:v>
                </c:pt>
                <c:pt idx="67">
                  <c:v>30.2</c:v>
                </c:pt>
                <c:pt idx="68">
                  <c:v>30.8</c:v>
                </c:pt>
                <c:pt idx="69">
                  <c:v>31.4</c:v>
                </c:pt>
                <c:pt idx="70">
                  <c:v>32</c:v>
                </c:pt>
                <c:pt idx="71">
                  <c:v>32.6</c:v>
                </c:pt>
                <c:pt idx="72">
                  <c:v>33.2</c:v>
                </c:pt>
                <c:pt idx="73">
                  <c:v>33.8</c:v>
                </c:pt>
                <c:pt idx="74">
                  <c:v>34.4</c:v>
                </c:pt>
                <c:pt idx="75">
                  <c:v>35</c:v>
                </c:pt>
                <c:pt idx="76">
                  <c:v>35.6</c:v>
                </c:pt>
                <c:pt idx="77">
                  <c:v>36.2</c:v>
                </c:pt>
                <c:pt idx="78">
                  <c:v>36.8</c:v>
                </c:pt>
                <c:pt idx="79">
                  <c:v>37.4</c:v>
                </c:pt>
                <c:pt idx="80">
                  <c:v>38</c:v>
                </c:pt>
                <c:pt idx="81">
                  <c:v>38.6</c:v>
                </c:pt>
                <c:pt idx="82">
                  <c:v>39.2</c:v>
                </c:pt>
                <c:pt idx="83">
                  <c:v>39.8</c:v>
                </c:pt>
                <c:pt idx="84">
                  <c:v>40.4</c:v>
                </c:pt>
                <c:pt idx="85">
                  <c:v>41</c:v>
                </c:pt>
                <c:pt idx="86">
                  <c:v>41.6</c:v>
                </c:pt>
                <c:pt idx="87">
                  <c:v>42.2</c:v>
                </c:pt>
                <c:pt idx="88">
                  <c:v>42.8</c:v>
                </c:pt>
                <c:pt idx="89">
                  <c:v>43.4</c:v>
                </c:pt>
                <c:pt idx="90">
                  <c:v>44</c:v>
                </c:pt>
                <c:pt idx="91">
                  <c:v>44.6</c:v>
                </c:pt>
                <c:pt idx="92">
                  <c:v>45.2</c:v>
                </c:pt>
                <c:pt idx="93">
                  <c:v>45.8</c:v>
                </c:pt>
                <c:pt idx="94">
                  <c:v>46.4</c:v>
                </c:pt>
                <c:pt idx="95">
                  <c:v>47</c:v>
                </c:pt>
                <c:pt idx="96">
                  <c:v>47.59999999999999</c:v>
                </c:pt>
                <c:pt idx="97">
                  <c:v>48.2</c:v>
                </c:pt>
                <c:pt idx="98">
                  <c:v>48.8</c:v>
                </c:pt>
                <c:pt idx="99">
                  <c:v>49.4</c:v>
                </c:pt>
                <c:pt idx="100">
                  <c:v>50</c:v>
                </c:pt>
              </c:numCache>
            </c:numRef>
          </c:xVal>
          <c:yVal>
            <c:numRef>
              <c:f>GUIA!$AO$6:$AO$106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0.00617097</c:v>
                </c:pt>
                <c:pt idx="18">
                  <c:v>0.00693691</c:v>
                </c:pt>
                <c:pt idx="19">
                  <c:v>0.00776989</c:v>
                </c:pt>
                <c:pt idx="20">
                  <c:v>0.00867162</c:v>
                </c:pt>
                <c:pt idx="21">
                  <c:v>0.009643229999999999</c:v>
                </c:pt>
                <c:pt idx="22">
                  <c:v>0.01068516</c:v>
                </c:pt>
                <c:pt idx="23">
                  <c:v>0.01179713</c:v>
                </c:pt>
                <c:pt idx="24">
                  <c:v>0.01297801</c:v>
                </c:pt>
                <c:pt idx="25">
                  <c:v>0.01422578</c:v>
                </c:pt>
                <c:pt idx="26">
                  <c:v>0.01553749</c:v>
                </c:pt>
                <c:pt idx="27">
                  <c:v>0.01690917</c:v>
                </c:pt>
                <c:pt idx="28">
                  <c:v>0.01833581</c:v>
                </c:pt>
                <c:pt idx="29">
                  <c:v>0.01981137</c:v>
                </c:pt>
                <c:pt idx="30">
                  <c:v>0.02132875</c:v>
                </c:pt>
                <c:pt idx="31">
                  <c:v>0.02287984</c:v>
                </c:pt>
                <c:pt idx="32">
                  <c:v>0.02445552</c:v>
                </c:pt>
                <c:pt idx="33">
                  <c:v>0.02604579</c:v>
                </c:pt>
                <c:pt idx="34">
                  <c:v>0.02763978</c:v>
                </c:pt>
                <c:pt idx="35">
                  <c:v>0.02922592</c:v>
                </c:pt>
                <c:pt idx="36">
                  <c:v>0.03079203</c:v>
                </c:pt>
                <c:pt idx="37">
                  <c:v>0.03232549</c:v>
                </c:pt>
                <c:pt idx="38">
                  <c:v>0.03381336</c:v>
                </c:pt>
                <c:pt idx="39">
                  <c:v>0.03524261</c:v>
                </c:pt>
                <c:pt idx="40">
                  <c:v>0.03660028</c:v>
                </c:pt>
                <c:pt idx="41">
                  <c:v>0.03787366</c:v>
                </c:pt>
                <c:pt idx="42">
                  <c:v>0.03905051</c:v>
                </c:pt>
                <c:pt idx="43">
                  <c:v>0.04011924</c:v>
                </c:pt>
                <c:pt idx="44">
                  <c:v>0.0410691</c:v>
                </c:pt>
                <c:pt idx="45">
                  <c:v>0.04189037</c:v>
                </c:pt>
                <c:pt idx="46">
                  <c:v>0.04257452</c:v>
                </c:pt>
                <c:pt idx="47">
                  <c:v>0.04311435</c:v>
                </c:pt>
                <c:pt idx="48">
                  <c:v>0.04350414</c:v>
                </c:pt>
                <c:pt idx="49">
                  <c:v>0.04373969</c:v>
                </c:pt>
                <c:pt idx="50">
                  <c:v>0.0438185</c:v>
                </c:pt>
                <c:pt idx="51">
                  <c:v>0.04373969</c:v>
                </c:pt>
                <c:pt idx="52">
                  <c:v>0.04350414</c:v>
                </c:pt>
                <c:pt idx="53">
                  <c:v>0.04311435</c:v>
                </c:pt>
                <c:pt idx="54">
                  <c:v>0.04257452</c:v>
                </c:pt>
                <c:pt idx="55">
                  <c:v>0.04189037</c:v>
                </c:pt>
                <c:pt idx="56">
                  <c:v>0.0410691</c:v>
                </c:pt>
                <c:pt idx="57">
                  <c:v>0.04011924</c:v>
                </c:pt>
                <c:pt idx="58">
                  <c:v>0.03905051</c:v>
                </c:pt>
                <c:pt idx="59">
                  <c:v>0.03787366</c:v>
                </c:pt>
                <c:pt idx="60">
                  <c:v>0.03660028</c:v>
                </c:pt>
                <c:pt idx="61">
                  <c:v>0.03524261</c:v>
                </c:pt>
                <c:pt idx="62">
                  <c:v>0.03381336</c:v>
                </c:pt>
                <c:pt idx="63">
                  <c:v>0.03232549</c:v>
                </c:pt>
                <c:pt idx="64">
                  <c:v>0.03079203</c:v>
                </c:pt>
                <c:pt idx="65">
                  <c:v>0.02922592</c:v>
                </c:pt>
                <c:pt idx="66">
                  <c:v>0.02763978</c:v>
                </c:pt>
                <c:pt idx="67">
                  <c:v>0.02604579</c:v>
                </c:pt>
                <c:pt idx="68">
                  <c:v>0.02445552</c:v>
                </c:pt>
                <c:pt idx="69">
                  <c:v>0.02287984</c:v>
                </c:pt>
                <c:pt idx="70">
                  <c:v>0.02132875</c:v>
                </c:pt>
                <c:pt idx="71">
                  <c:v>0.01981137</c:v>
                </c:pt>
                <c:pt idx="72">
                  <c:v>0.01833581</c:v>
                </c:pt>
                <c:pt idx="73">
                  <c:v>0.01690917</c:v>
                </c:pt>
                <c:pt idx="74">
                  <c:v>0.01553749</c:v>
                </c:pt>
                <c:pt idx="75">
                  <c:v>0.01422578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axId val="50030001"/>
        <c:axId val="50030002"/>
      </c:scatterChart>
      <c:valAx>
        <c:axId val="5003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30002"/>
        <c:crosses val="autoZero"/>
        <c:crossBetween val="midCat"/>
      </c:valAx>
      <c:valAx>
        <c:axId val="5003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3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LOGNORMAL y GAMMA con la misma media (20) y desviación (12)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LOGNORMAL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GUIA!$AQ$6:$AQ$106</c:f>
              <c:numCache>
                <c:formatCode>General</c:formatCode>
                <c:ptCount val="101"/>
                <c:pt idx="0">
                  <c:v>0.5</c:v>
                </c:pt>
                <c:pt idx="1">
                  <c:v>1.3</c:v>
                </c:pt>
                <c:pt idx="2">
                  <c:v>2.1</c:v>
                </c:pt>
                <c:pt idx="3">
                  <c:v>2.9</c:v>
                </c:pt>
                <c:pt idx="4">
                  <c:v>3.7</c:v>
                </c:pt>
                <c:pt idx="5">
                  <c:v>4.5</c:v>
                </c:pt>
                <c:pt idx="6">
                  <c:v>5.300000000000001</c:v>
                </c:pt>
                <c:pt idx="7">
                  <c:v>6.100000000000001</c:v>
                </c:pt>
                <c:pt idx="8">
                  <c:v>6.9</c:v>
                </c:pt>
                <c:pt idx="9">
                  <c:v>7.7</c:v>
                </c:pt>
                <c:pt idx="10">
                  <c:v>8.5</c:v>
                </c:pt>
                <c:pt idx="11">
                  <c:v>9.300000000000001</c:v>
                </c:pt>
                <c:pt idx="12">
                  <c:v>10.1</c:v>
                </c:pt>
                <c:pt idx="13">
                  <c:v>10.9</c:v>
                </c:pt>
                <c:pt idx="14">
                  <c:v>11.7</c:v>
                </c:pt>
                <c:pt idx="15">
                  <c:v>12.5</c:v>
                </c:pt>
                <c:pt idx="16">
                  <c:v>13.3</c:v>
                </c:pt>
                <c:pt idx="17">
                  <c:v>14.1</c:v>
                </c:pt>
                <c:pt idx="18">
                  <c:v>14.9</c:v>
                </c:pt>
                <c:pt idx="19">
                  <c:v>15.7</c:v>
                </c:pt>
                <c:pt idx="20">
                  <c:v>16.5</c:v>
                </c:pt>
                <c:pt idx="21">
                  <c:v>17.3</c:v>
                </c:pt>
                <c:pt idx="22">
                  <c:v>18.1</c:v>
                </c:pt>
                <c:pt idx="23">
                  <c:v>18.9</c:v>
                </c:pt>
                <c:pt idx="24">
                  <c:v>19.7</c:v>
                </c:pt>
                <c:pt idx="25">
                  <c:v>20.5</c:v>
                </c:pt>
                <c:pt idx="26">
                  <c:v>21.3</c:v>
                </c:pt>
                <c:pt idx="27">
                  <c:v>22.1</c:v>
                </c:pt>
                <c:pt idx="28">
                  <c:v>22.9</c:v>
                </c:pt>
                <c:pt idx="29">
                  <c:v>23.7</c:v>
                </c:pt>
                <c:pt idx="30">
                  <c:v>24.5</c:v>
                </c:pt>
                <c:pt idx="31">
                  <c:v>25.3</c:v>
                </c:pt>
                <c:pt idx="32">
                  <c:v>26.1</c:v>
                </c:pt>
                <c:pt idx="33">
                  <c:v>26.9</c:v>
                </c:pt>
                <c:pt idx="34">
                  <c:v>27.7</c:v>
                </c:pt>
                <c:pt idx="35">
                  <c:v>28.5</c:v>
                </c:pt>
                <c:pt idx="36">
                  <c:v>29.3</c:v>
                </c:pt>
                <c:pt idx="37">
                  <c:v>30.1</c:v>
                </c:pt>
                <c:pt idx="38">
                  <c:v>30.9</c:v>
                </c:pt>
                <c:pt idx="39">
                  <c:v>31.7</c:v>
                </c:pt>
                <c:pt idx="40">
                  <c:v>32.5</c:v>
                </c:pt>
                <c:pt idx="41">
                  <c:v>33.3</c:v>
                </c:pt>
                <c:pt idx="42">
                  <c:v>34.1</c:v>
                </c:pt>
                <c:pt idx="43">
                  <c:v>34.9</c:v>
                </c:pt>
                <c:pt idx="44">
                  <c:v>35.7</c:v>
                </c:pt>
                <c:pt idx="45">
                  <c:v>36.5</c:v>
                </c:pt>
                <c:pt idx="46">
                  <c:v>37.3</c:v>
                </c:pt>
                <c:pt idx="47">
                  <c:v>38.1</c:v>
                </c:pt>
                <c:pt idx="48">
                  <c:v>38.90000000000001</c:v>
                </c:pt>
                <c:pt idx="49">
                  <c:v>39.7</c:v>
                </c:pt>
                <c:pt idx="50">
                  <c:v>40.5</c:v>
                </c:pt>
                <c:pt idx="51">
                  <c:v>41.3</c:v>
                </c:pt>
                <c:pt idx="52">
                  <c:v>42.1</c:v>
                </c:pt>
                <c:pt idx="53">
                  <c:v>42.90000000000001</c:v>
                </c:pt>
                <c:pt idx="54">
                  <c:v>43.7</c:v>
                </c:pt>
                <c:pt idx="55">
                  <c:v>44.5</c:v>
                </c:pt>
                <c:pt idx="56">
                  <c:v>45.3</c:v>
                </c:pt>
                <c:pt idx="57">
                  <c:v>46.1</c:v>
                </c:pt>
                <c:pt idx="58">
                  <c:v>46.90000000000001</c:v>
                </c:pt>
                <c:pt idx="59">
                  <c:v>47.7</c:v>
                </c:pt>
                <c:pt idx="60">
                  <c:v>48.5</c:v>
                </c:pt>
                <c:pt idx="61">
                  <c:v>49.3</c:v>
                </c:pt>
                <c:pt idx="62">
                  <c:v>50.1</c:v>
                </c:pt>
                <c:pt idx="63">
                  <c:v>50.90000000000001</c:v>
                </c:pt>
                <c:pt idx="64">
                  <c:v>51.7</c:v>
                </c:pt>
                <c:pt idx="65">
                  <c:v>52.5</c:v>
                </c:pt>
                <c:pt idx="66">
                  <c:v>53.3</c:v>
                </c:pt>
                <c:pt idx="67">
                  <c:v>54.1</c:v>
                </c:pt>
                <c:pt idx="68">
                  <c:v>54.90000000000001</c:v>
                </c:pt>
                <c:pt idx="69">
                  <c:v>55.7</c:v>
                </c:pt>
                <c:pt idx="70">
                  <c:v>56.5</c:v>
                </c:pt>
                <c:pt idx="71">
                  <c:v>57.3</c:v>
                </c:pt>
                <c:pt idx="72">
                  <c:v>58.1</c:v>
                </c:pt>
                <c:pt idx="73">
                  <c:v>58.90000000000001</c:v>
                </c:pt>
                <c:pt idx="74">
                  <c:v>59.7</c:v>
                </c:pt>
                <c:pt idx="75">
                  <c:v>60.5</c:v>
                </c:pt>
                <c:pt idx="76">
                  <c:v>61.3</c:v>
                </c:pt>
                <c:pt idx="77">
                  <c:v>62.1</c:v>
                </c:pt>
                <c:pt idx="78">
                  <c:v>62.90000000000001</c:v>
                </c:pt>
                <c:pt idx="79">
                  <c:v>63.7</c:v>
                </c:pt>
                <c:pt idx="80">
                  <c:v>64.5</c:v>
                </c:pt>
                <c:pt idx="81">
                  <c:v>65.3</c:v>
                </c:pt>
                <c:pt idx="82">
                  <c:v>66.10000000000001</c:v>
                </c:pt>
                <c:pt idx="83">
                  <c:v>66.90000000000001</c:v>
                </c:pt>
                <c:pt idx="84">
                  <c:v>67.7</c:v>
                </c:pt>
                <c:pt idx="85">
                  <c:v>68.5</c:v>
                </c:pt>
                <c:pt idx="86">
                  <c:v>69.3</c:v>
                </c:pt>
                <c:pt idx="87">
                  <c:v>70.10000000000001</c:v>
                </c:pt>
                <c:pt idx="88">
                  <c:v>70.90000000000001</c:v>
                </c:pt>
                <c:pt idx="89">
                  <c:v>71.7</c:v>
                </c:pt>
                <c:pt idx="90">
                  <c:v>72.5</c:v>
                </c:pt>
                <c:pt idx="91">
                  <c:v>73.3</c:v>
                </c:pt>
                <c:pt idx="92">
                  <c:v>74.10000000000001</c:v>
                </c:pt>
                <c:pt idx="93">
                  <c:v>74.90000000000001</c:v>
                </c:pt>
                <c:pt idx="94">
                  <c:v>75.7</c:v>
                </c:pt>
                <c:pt idx="95">
                  <c:v>76.5</c:v>
                </c:pt>
                <c:pt idx="96">
                  <c:v>77.30000000000001</c:v>
                </c:pt>
                <c:pt idx="97">
                  <c:v>78.10000000000001</c:v>
                </c:pt>
                <c:pt idx="98">
                  <c:v>78.90000000000001</c:v>
                </c:pt>
                <c:pt idx="99">
                  <c:v>79.7</c:v>
                </c:pt>
                <c:pt idx="100">
                  <c:v>80.5</c:v>
                </c:pt>
              </c:numCache>
            </c:numRef>
          </c:xVal>
          <c:yVal>
            <c:numRef>
              <c:f>GUIA!$AR$6:$AR$106</c:f>
              <c:numCache>
                <c:formatCode>General</c:formatCode>
                <c:ptCount val="101"/>
                <c:pt idx="0">
                  <c:v>0</c:v>
                </c:pt>
                <c:pt idx="1">
                  <c:v>1.106e-05</c:v>
                </c:pt>
                <c:pt idx="2">
                  <c:v>0.00026318</c:v>
                </c:pt>
                <c:pt idx="3">
                  <c:v>0.00145846</c:v>
                </c:pt>
                <c:pt idx="4">
                  <c:v>0.00424355</c:v>
                </c:pt>
                <c:pt idx="5">
                  <c:v>0.00870306</c:v>
                </c:pt>
                <c:pt idx="6">
                  <c:v>0.01441808</c:v>
                </c:pt>
                <c:pt idx="7">
                  <c:v>0.02075207</c:v>
                </c:pt>
                <c:pt idx="8">
                  <c:v>0.0270856</c:v>
                </c:pt>
                <c:pt idx="9">
                  <c:v>0.03293566</c:v>
                </c:pt>
                <c:pt idx="10">
                  <c:v>0.03798694</c:v>
                </c:pt>
                <c:pt idx="11">
                  <c:v>0.04207573</c:v>
                </c:pt>
                <c:pt idx="12">
                  <c:v>0.04515565</c:v>
                </c:pt>
                <c:pt idx="13">
                  <c:v>0.04726143</c:v>
                </c:pt>
                <c:pt idx="14">
                  <c:v>0.04847789</c:v>
                </c:pt>
                <c:pt idx="15">
                  <c:v>0.04891621</c:v>
                </c:pt>
                <c:pt idx="16">
                  <c:v>0.04869721</c:v>
                </c:pt>
                <c:pt idx="17">
                  <c:v>0.0479403</c:v>
                </c:pt>
                <c:pt idx="18">
                  <c:v>0.04675691</c:v>
                </c:pt>
                <c:pt idx="19">
                  <c:v>0.0452469</c:v>
                </c:pt>
                <c:pt idx="20">
                  <c:v>0.04349712</c:v>
                </c:pt>
                <c:pt idx="21">
                  <c:v>0.04158135</c:v>
                </c:pt>
                <c:pt idx="22">
                  <c:v>0.03956092</c:v>
                </c:pt>
                <c:pt idx="23">
                  <c:v>0.03748593</c:v>
                </c:pt>
                <c:pt idx="24">
                  <c:v>0.0353965</c:v>
                </c:pt>
                <c:pt idx="25">
                  <c:v>0.03332419</c:v>
                </c:pt>
                <c:pt idx="26">
                  <c:v>0.03129326</c:v>
                </c:pt>
                <c:pt idx="27">
                  <c:v>0.02932191</c:v>
                </c:pt>
                <c:pt idx="28">
                  <c:v>0.02742331</c:v>
                </c:pt>
                <c:pt idx="29">
                  <c:v>0.02560654</c:v>
                </c:pt>
                <c:pt idx="30">
                  <c:v>0.02387739</c:v>
                </c:pt>
                <c:pt idx="31">
                  <c:v>0.02223904</c:v>
                </c:pt>
                <c:pt idx="32">
                  <c:v>0.02069263</c:v>
                </c:pt>
                <c:pt idx="33">
                  <c:v>0.01923769</c:v>
                </c:pt>
                <c:pt idx="34">
                  <c:v>0.01787256</c:v>
                </c:pt>
                <c:pt idx="35">
                  <c:v>0.01659468</c:v>
                </c:pt>
                <c:pt idx="36">
                  <c:v>0.01540087</c:v>
                </c:pt>
                <c:pt idx="37">
                  <c:v>0.0142875</c:v>
                </c:pt>
                <c:pt idx="38">
                  <c:v>0.01325064</c:v>
                </c:pt>
                <c:pt idx="39">
                  <c:v>0.01228624</c:v>
                </c:pt>
                <c:pt idx="40">
                  <c:v>0.01139019</c:v>
                </c:pt>
                <c:pt idx="41">
                  <c:v>0.01055836</c:v>
                </c:pt>
                <c:pt idx="42">
                  <c:v>0.00978675</c:v>
                </c:pt>
                <c:pt idx="43">
                  <c:v>0.00907144</c:v>
                </c:pt>
                <c:pt idx="44">
                  <c:v>0.00840867</c:v>
                </c:pt>
                <c:pt idx="45">
                  <c:v>0.00779484</c:v>
                </c:pt>
                <c:pt idx="46">
                  <c:v>0.00722652</c:v>
                </c:pt>
                <c:pt idx="47">
                  <c:v>0.00670048</c:v>
                </c:pt>
                <c:pt idx="48">
                  <c:v>0.00621368</c:v>
                </c:pt>
                <c:pt idx="49">
                  <c:v>0.00576324</c:v>
                </c:pt>
                <c:pt idx="50">
                  <c:v>0.0053465</c:v>
                </c:pt>
                <c:pt idx="51">
                  <c:v>0.00496093</c:v>
                </c:pt>
                <c:pt idx="52">
                  <c:v>0.00460422</c:v>
                </c:pt>
                <c:pt idx="53">
                  <c:v>0.00427419</c:v>
                </c:pt>
                <c:pt idx="54">
                  <c:v>0.00396882</c:v>
                </c:pt>
                <c:pt idx="55">
                  <c:v>0.00368625</c:v>
                </c:pt>
                <c:pt idx="56">
                  <c:v>0.00342473</c:v>
                </c:pt>
                <c:pt idx="57">
                  <c:v>0.00318266</c:v>
                </c:pt>
                <c:pt idx="58">
                  <c:v>0.00295857</c:v>
                </c:pt>
                <c:pt idx="59">
                  <c:v>0.00275106</c:v>
                </c:pt>
                <c:pt idx="60">
                  <c:v>0.00255889</c:v>
                </c:pt>
                <c:pt idx="61">
                  <c:v>0.00238087</c:v>
                </c:pt>
                <c:pt idx="62">
                  <c:v>0.00221592</c:v>
                </c:pt>
                <c:pt idx="63">
                  <c:v>0.00206305</c:v>
                </c:pt>
                <c:pt idx="64">
                  <c:v>0.00192134</c:v>
                </c:pt>
                <c:pt idx="65">
                  <c:v>0.00178993</c:v>
                </c:pt>
                <c:pt idx="66">
                  <c:v>0.00166805</c:v>
                </c:pt>
                <c:pt idx="67">
                  <c:v>0.00155497</c:v>
                </c:pt>
                <c:pt idx="68">
                  <c:v>0.00145002</c:v>
                </c:pt>
                <c:pt idx="69">
                  <c:v>0.0013526</c:v>
                </c:pt>
                <c:pt idx="70">
                  <c:v>0.00126214</c:v>
                </c:pt>
                <c:pt idx="71">
                  <c:v>0.00117811</c:v>
                </c:pt>
                <c:pt idx="72">
                  <c:v>0.00110003</c:v>
                </c:pt>
                <c:pt idx="73">
                  <c:v>0.00102746</c:v>
                </c:pt>
                <c:pt idx="74">
                  <c:v>0.00095999</c:v>
                </c:pt>
                <c:pt idx="75">
                  <c:v>0.00089724</c:v>
                </c:pt>
                <c:pt idx="76">
                  <c:v>0.00083886</c:v>
                </c:pt>
                <c:pt idx="77">
                  <c:v>0.00078454</c:v>
                </c:pt>
                <c:pt idx="78">
                  <c:v>0.00073397</c:v>
                </c:pt>
                <c:pt idx="79">
                  <c:v>0.00068687</c:v>
                </c:pt>
                <c:pt idx="80">
                  <c:v>0.00064301</c:v>
                </c:pt>
                <c:pt idx="81">
                  <c:v>0.00060213</c:v>
                </c:pt>
                <c:pt idx="82">
                  <c:v>0.00056403</c:v>
                </c:pt>
                <c:pt idx="83">
                  <c:v>0.00052851</c:v>
                </c:pt>
                <c:pt idx="84">
                  <c:v>0.00049538</c:v>
                </c:pt>
                <c:pt idx="85">
                  <c:v>0.00046447</c:v>
                </c:pt>
                <c:pt idx="86">
                  <c:v>0.00043562</c:v>
                </c:pt>
                <c:pt idx="87">
                  <c:v>0.00040868</c:v>
                </c:pt>
                <c:pt idx="88">
                  <c:v>0.00038353</c:v>
                </c:pt>
                <c:pt idx="89">
                  <c:v>0.00036004</c:v>
                </c:pt>
                <c:pt idx="90">
                  <c:v>0.00033808</c:v>
                </c:pt>
                <c:pt idx="91">
                  <c:v>0.00031756</c:v>
                </c:pt>
                <c:pt idx="92">
                  <c:v>0.00029837</c:v>
                </c:pt>
                <c:pt idx="93">
                  <c:v>0.00028043</c:v>
                </c:pt>
                <c:pt idx="94">
                  <c:v>0.00026364</c:v>
                </c:pt>
                <c:pt idx="95">
                  <c:v>0.00024792</c:v>
                </c:pt>
                <c:pt idx="96">
                  <c:v>0.00023321</c:v>
                </c:pt>
                <c:pt idx="97">
                  <c:v>0.00021944</c:v>
                </c:pt>
                <c:pt idx="98">
                  <c:v>0.00020653</c:v>
                </c:pt>
                <c:pt idx="99">
                  <c:v>0.00019444</c:v>
                </c:pt>
                <c:pt idx="100">
                  <c:v>0.00018311</c:v>
                </c:pt>
              </c:numCache>
            </c:numRef>
          </c:yVal>
          <c:smooth val="1"/>
        </c:ser>
        <c:ser>
          <c:idx val="1"/>
          <c:order val="1"/>
          <c:tx>
            <c:v>GAMMA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GUIA!$AQ$6:$AQ$106</c:f>
              <c:numCache>
                <c:formatCode>General</c:formatCode>
                <c:ptCount val="101"/>
                <c:pt idx="0">
                  <c:v>0.5</c:v>
                </c:pt>
                <c:pt idx="1">
                  <c:v>1.3</c:v>
                </c:pt>
                <c:pt idx="2">
                  <c:v>2.1</c:v>
                </c:pt>
                <c:pt idx="3">
                  <c:v>2.9</c:v>
                </c:pt>
                <c:pt idx="4">
                  <c:v>3.7</c:v>
                </c:pt>
                <c:pt idx="5">
                  <c:v>4.5</c:v>
                </c:pt>
                <c:pt idx="6">
                  <c:v>5.300000000000001</c:v>
                </c:pt>
                <c:pt idx="7">
                  <c:v>6.100000000000001</c:v>
                </c:pt>
                <c:pt idx="8">
                  <c:v>6.9</c:v>
                </c:pt>
                <c:pt idx="9">
                  <c:v>7.7</c:v>
                </c:pt>
                <c:pt idx="10">
                  <c:v>8.5</c:v>
                </c:pt>
                <c:pt idx="11">
                  <c:v>9.300000000000001</c:v>
                </c:pt>
                <c:pt idx="12">
                  <c:v>10.1</c:v>
                </c:pt>
                <c:pt idx="13">
                  <c:v>10.9</c:v>
                </c:pt>
                <c:pt idx="14">
                  <c:v>11.7</c:v>
                </c:pt>
                <c:pt idx="15">
                  <c:v>12.5</c:v>
                </c:pt>
                <c:pt idx="16">
                  <c:v>13.3</c:v>
                </c:pt>
                <c:pt idx="17">
                  <c:v>14.1</c:v>
                </c:pt>
                <c:pt idx="18">
                  <c:v>14.9</c:v>
                </c:pt>
                <c:pt idx="19">
                  <c:v>15.7</c:v>
                </c:pt>
                <c:pt idx="20">
                  <c:v>16.5</c:v>
                </c:pt>
                <c:pt idx="21">
                  <c:v>17.3</c:v>
                </c:pt>
                <c:pt idx="22">
                  <c:v>18.1</c:v>
                </c:pt>
                <c:pt idx="23">
                  <c:v>18.9</c:v>
                </c:pt>
                <c:pt idx="24">
                  <c:v>19.7</c:v>
                </c:pt>
                <c:pt idx="25">
                  <c:v>20.5</c:v>
                </c:pt>
                <c:pt idx="26">
                  <c:v>21.3</c:v>
                </c:pt>
                <c:pt idx="27">
                  <c:v>22.1</c:v>
                </c:pt>
                <c:pt idx="28">
                  <c:v>22.9</c:v>
                </c:pt>
                <c:pt idx="29">
                  <c:v>23.7</c:v>
                </c:pt>
                <c:pt idx="30">
                  <c:v>24.5</c:v>
                </c:pt>
                <c:pt idx="31">
                  <c:v>25.3</c:v>
                </c:pt>
                <c:pt idx="32">
                  <c:v>26.1</c:v>
                </c:pt>
                <c:pt idx="33">
                  <c:v>26.9</c:v>
                </c:pt>
                <c:pt idx="34">
                  <c:v>27.7</c:v>
                </c:pt>
                <c:pt idx="35">
                  <c:v>28.5</c:v>
                </c:pt>
                <c:pt idx="36">
                  <c:v>29.3</c:v>
                </c:pt>
                <c:pt idx="37">
                  <c:v>30.1</c:v>
                </c:pt>
                <c:pt idx="38">
                  <c:v>30.9</c:v>
                </c:pt>
                <c:pt idx="39">
                  <c:v>31.7</c:v>
                </c:pt>
                <c:pt idx="40">
                  <c:v>32.5</c:v>
                </c:pt>
                <c:pt idx="41">
                  <c:v>33.3</c:v>
                </c:pt>
                <c:pt idx="42">
                  <c:v>34.1</c:v>
                </c:pt>
                <c:pt idx="43">
                  <c:v>34.9</c:v>
                </c:pt>
                <c:pt idx="44">
                  <c:v>35.7</c:v>
                </c:pt>
                <c:pt idx="45">
                  <c:v>36.5</c:v>
                </c:pt>
                <c:pt idx="46">
                  <c:v>37.3</c:v>
                </c:pt>
                <c:pt idx="47">
                  <c:v>38.1</c:v>
                </c:pt>
                <c:pt idx="48">
                  <c:v>38.90000000000001</c:v>
                </c:pt>
                <c:pt idx="49">
                  <c:v>39.7</c:v>
                </c:pt>
                <c:pt idx="50">
                  <c:v>40.5</c:v>
                </c:pt>
                <c:pt idx="51">
                  <c:v>41.3</c:v>
                </c:pt>
                <c:pt idx="52">
                  <c:v>42.1</c:v>
                </c:pt>
                <c:pt idx="53">
                  <c:v>42.90000000000001</c:v>
                </c:pt>
                <c:pt idx="54">
                  <c:v>43.7</c:v>
                </c:pt>
                <c:pt idx="55">
                  <c:v>44.5</c:v>
                </c:pt>
                <c:pt idx="56">
                  <c:v>45.3</c:v>
                </c:pt>
                <c:pt idx="57">
                  <c:v>46.1</c:v>
                </c:pt>
                <c:pt idx="58">
                  <c:v>46.90000000000001</c:v>
                </c:pt>
                <c:pt idx="59">
                  <c:v>47.7</c:v>
                </c:pt>
                <c:pt idx="60">
                  <c:v>48.5</c:v>
                </c:pt>
                <c:pt idx="61">
                  <c:v>49.3</c:v>
                </c:pt>
                <c:pt idx="62">
                  <c:v>50.1</c:v>
                </c:pt>
                <c:pt idx="63">
                  <c:v>50.90000000000001</c:v>
                </c:pt>
                <c:pt idx="64">
                  <c:v>51.7</c:v>
                </c:pt>
                <c:pt idx="65">
                  <c:v>52.5</c:v>
                </c:pt>
                <c:pt idx="66">
                  <c:v>53.3</c:v>
                </c:pt>
                <c:pt idx="67">
                  <c:v>54.1</c:v>
                </c:pt>
                <c:pt idx="68">
                  <c:v>54.90000000000001</c:v>
                </c:pt>
                <c:pt idx="69">
                  <c:v>55.7</c:v>
                </c:pt>
                <c:pt idx="70">
                  <c:v>56.5</c:v>
                </c:pt>
                <c:pt idx="71">
                  <c:v>57.3</c:v>
                </c:pt>
                <c:pt idx="72">
                  <c:v>58.1</c:v>
                </c:pt>
                <c:pt idx="73">
                  <c:v>58.90000000000001</c:v>
                </c:pt>
                <c:pt idx="74">
                  <c:v>59.7</c:v>
                </c:pt>
                <c:pt idx="75">
                  <c:v>60.5</c:v>
                </c:pt>
                <c:pt idx="76">
                  <c:v>61.3</c:v>
                </c:pt>
                <c:pt idx="77">
                  <c:v>62.1</c:v>
                </c:pt>
                <c:pt idx="78">
                  <c:v>62.90000000000001</c:v>
                </c:pt>
                <c:pt idx="79">
                  <c:v>63.7</c:v>
                </c:pt>
                <c:pt idx="80">
                  <c:v>64.5</c:v>
                </c:pt>
                <c:pt idx="81">
                  <c:v>65.3</c:v>
                </c:pt>
                <c:pt idx="82">
                  <c:v>66.10000000000001</c:v>
                </c:pt>
                <c:pt idx="83">
                  <c:v>66.90000000000001</c:v>
                </c:pt>
                <c:pt idx="84">
                  <c:v>67.7</c:v>
                </c:pt>
                <c:pt idx="85">
                  <c:v>68.5</c:v>
                </c:pt>
                <c:pt idx="86">
                  <c:v>69.3</c:v>
                </c:pt>
                <c:pt idx="87">
                  <c:v>70.10000000000001</c:v>
                </c:pt>
                <c:pt idx="88">
                  <c:v>70.90000000000001</c:v>
                </c:pt>
                <c:pt idx="89">
                  <c:v>71.7</c:v>
                </c:pt>
                <c:pt idx="90">
                  <c:v>72.5</c:v>
                </c:pt>
                <c:pt idx="91">
                  <c:v>73.3</c:v>
                </c:pt>
                <c:pt idx="92">
                  <c:v>74.10000000000001</c:v>
                </c:pt>
                <c:pt idx="93">
                  <c:v>74.90000000000001</c:v>
                </c:pt>
                <c:pt idx="94">
                  <c:v>75.7</c:v>
                </c:pt>
                <c:pt idx="95">
                  <c:v>76.5</c:v>
                </c:pt>
                <c:pt idx="96">
                  <c:v>77.30000000000001</c:v>
                </c:pt>
                <c:pt idx="97">
                  <c:v>78.10000000000001</c:v>
                </c:pt>
                <c:pt idx="98">
                  <c:v>78.90000000000001</c:v>
                </c:pt>
                <c:pt idx="99">
                  <c:v>79.7</c:v>
                </c:pt>
                <c:pt idx="100">
                  <c:v>80.5</c:v>
                </c:pt>
              </c:numCache>
            </c:numRef>
          </c:xVal>
          <c:yVal>
            <c:numRef>
              <c:f>GUIA!$AS$6:$AS$106</c:f>
              <c:numCache>
                <c:formatCode>General</c:formatCode>
                <c:ptCount val="101"/>
                <c:pt idx="0">
                  <c:v>0.00068685</c:v>
                </c:pt>
                <c:pt idx="1">
                  <c:v>0.00335999</c:v>
                </c:pt>
                <c:pt idx="2">
                  <c:v>0.00705262</c:v>
                </c:pt>
                <c:pt idx="3">
                  <c:v>0.01120218</c:v>
                </c:pt>
                <c:pt idx="4">
                  <c:v>0.01545763</c:v>
                </c:pt>
                <c:pt idx="5">
                  <c:v>0.01958927</c:v>
                </c:pt>
                <c:pt idx="6">
                  <c:v>0.02344759</c:v>
                </c:pt>
                <c:pt idx="7">
                  <c:v>0.02693914</c:v>
                </c:pt>
                <c:pt idx="8">
                  <c:v>0.03001056</c:v>
                </c:pt>
                <c:pt idx="9">
                  <c:v>0.03263739</c:v>
                </c:pt>
                <c:pt idx="10">
                  <c:v>0.03481587</c:v>
                </c:pt>
                <c:pt idx="11">
                  <c:v>0.03655691</c:v>
                </c:pt>
                <c:pt idx="12">
                  <c:v>0.03788151</c:v>
                </c:pt>
                <c:pt idx="13">
                  <c:v>0.03881735</c:v>
                </c:pt>
                <c:pt idx="14">
                  <c:v>0.03939619</c:v>
                </c:pt>
                <c:pt idx="15">
                  <c:v>0.03965194</c:v>
                </c:pt>
                <c:pt idx="16">
                  <c:v>0.03961921</c:v>
                </c:pt>
                <c:pt idx="17">
                  <c:v>0.03933223</c:v>
                </c:pt>
                <c:pt idx="18">
                  <c:v>0.03882414</c:v>
                </c:pt>
                <c:pt idx="19">
                  <c:v>0.03812644</c:v>
                </c:pt>
                <c:pt idx="20">
                  <c:v>0.03726863</c:v>
                </c:pt>
                <c:pt idx="21">
                  <c:v>0.03627801</c:v>
                </c:pt>
                <c:pt idx="22">
                  <c:v>0.03517958</c:v>
                </c:pt>
                <c:pt idx="23">
                  <c:v>0.03399602</c:v>
                </c:pt>
                <c:pt idx="24">
                  <c:v>0.03274772</c:v>
                </c:pt>
                <c:pt idx="25">
                  <c:v>0.03145283</c:v>
                </c:pt>
                <c:pt idx="26">
                  <c:v>0.0301274</c:v>
                </c:pt>
                <c:pt idx="27">
                  <c:v>0.02878549</c:v>
                </c:pt>
                <c:pt idx="28">
                  <c:v>0.02743932</c:v>
                </c:pt>
                <c:pt idx="29">
                  <c:v>0.02609937</c:v>
                </c:pt>
                <c:pt idx="30">
                  <c:v>0.0247746</c:v>
                </c:pt>
                <c:pt idx="31">
                  <c:v>0.02347252</c:v>
                </c:pt>
                <c:pt idx="32">
                  <c:v>0.02219935</c:v>
                </c:pt>
                <c:pt idx="33">
                  <c:v>0.02096018</c:v>
                </c:pt>
                <c:pt idx="34">
                  <c:v>0.01975908</c:v>
                </c:pt>
                <c:pt idx="35">
                  <c:v>0.0185992</c:v>
                </c:pt>
                <c:pt idx="36">
                  <c:v>0.01748288</c:v>
                </c:pt>
                <c:pt idx="37">
                  <c:v>0.0164118</c:v>
                </c:pt>
                <c:pt idx="38">
                  <c:v>0.01538699</c:v>
                </c:pt>
                <c:pt idx="39">
                  <c:v>0.01440899</c:v>
                </c:pt>
                <c:pt idx="40">
                  <c:v>0.01347787</c:v>
                </c:pt>
                <c:pt idx="41">
                  <c:v>0.01259335</c:v>
                </c:pt>
                <c:pt idx="42">
                  <c:v>0.01175481</c:v>
                </c:pt>
                <c:pt idx="43">
                  <c:v>0.01096136</c:v>
                </c:pt>
                <c:pt idx="44">
                  <c:v>0.01021193</c:v>
                </c:pt>
                <c:pt idx="45">
                  <c:v>0.00950525</c:v>
                </c:pt>
                <c:pt idx="46">
                  <c:v>0.008839909999999999</c:v>
                </c:pt>
                <c:pt idx="47">
                  <c:v>0.00821443</c:v>
                </c:pt>
                <c:pt idx="48">
                  <c:v>0.00762722</c:v>
                </c:pt>
                <c:pt idx="49">
                  <c:v>0.00707666</c:v>
                </c:pt>
                <c:pt idx="50">
                  <c:v>0.00656111</c:v>
                </c:pt>
                <c:pt idx="51">
                  <c:v>0.00607889</c:v>
                </c:pt>
                <c:pt idx="52">
                  <c:v>0.00562836</c:v>
                </c:pt>
                <c:pt idx="53">
                  <c:v>0.00520788</c:v>
                </c:pt>
                <c:pt idx="54">
                  <c:v>0.00481583</c:v>
                </c:pt>
                <c:pt idx="55">
                  <c:v>0.00445064</c:v>
                </c:pt>
                <c:pt idx="56">
                  <c:v>0.00411078</c:v>
                </c:pt>
                <c:pt idx="57">
                  <c:v>0.00379477</c:v>
                </c:pt>
                <c:pt idx="58">
                  <c:v>0.00350117</c:v>
                </c:pt>
                <c:pt idx="59">
                  <c:v>0.00322862</c:v>
                </c:pt>
                <c:pt idx="60">
                  <c:v>0.0029758</c:v>
                </c:pt>
                <c:pt idx="61">
                  <c:v>0.00274145</c:v>
                </c:pt>
                <c:pt idx="62">
                  <c:v>0.00252437</c:v>
                </c:pt>
                <c:pt idx="63">
                  <c:v>0.00232343</c:v>
                </c:pt>
                <c:pt idx="64">
                  <c:v>0.00213755</c:v>
                </c:pt>
                <c:pt idx="65">
                  <c:v>0.00196569</c:v>
                </c:pt>
                <c:pt idx="66">
                  <c:v>0.00180691</c:v>
                </c:pt>
                <c:pt idx="67">
                  <c:v>0.00166029</c:v>
                </c:pt>
                <c:pt idx="68">
                  <c:v>0.00152498</c:v>
                </c:pt>
                <c:pt idx="69">
                  <c:v>0.00140016</c:v>
                </c:pt>
                <c:pt idx="70">
                  <c:v>0.00128509</c:v>
                </c:pt>
                <c:pt idx="71">
                  <c:v>0.00117905</c:v>
                </c:pt>
                <c:pt idx="72">
                  <c:v>0.00108139</c:v>
                </c:pt>
                <c:pt idx="73">
                  <c:v>0.00099149</c:v>
                </c:pt>
                <c:pt idx="74">
                  <c:v>0.00090876</c:v>
                </c:pt>
                <c:pt idx="75">
                  <c:v>0.00083267</c:v>
                </c:pt>
                <c:pt idx="76">
                  <c:v>0.00076271</c:v>
                </c:pt>
                <c:pt idx="77">
                  <c:v>0.0006984200000000001</c:v>
                </c:pt>
                <c:pt idx="78">
                  <c:v>0.00063935</c:v>
                </c:pt>
                <c:pt idx="79">
                  <c:v>0.00058512</c:v>
                </c:pt>
                <c:pt idx="80">
                  <c:v>0.00053534</c:v>
                </c:pt>
                <c:pt idx="81">
                  <c:v>0.00048965</c:v>
                </c:pt>
                <c:pt idx="82">
                  <c:v>0.00044775</c:v>
                </c:pt>
                <c:pt idx="83">
                  <c:v>0.00040932</c:v>
                </c:pt>
                <c:pt idx="84">
                  <c:v>0.0003741</c:v>
                </c:pt>
                <c:pt idx="85">
                  <c:v>0.00034183</c:v>
                </c:pt>
                <c:pt idx="86">
                  <c:v>0.00031226</c:v>
                </c:pt>
                <c:pt idx="87">
                  <c:v>0.00028518</c:v>
                </c:pt>
                <c:pt idx="88">
                  <c:v>0.00026039</c:v>
                </c:pt>
                <c:pt idx="89">
                  <c:v>0.0002377</c:v>
                </c:pt>
                <c:pt idx="90">
                  <c:v>0.00021694</c:v>
                </c:pt>
                <c:pt idx="91">
                  <c:v>0.00019796</c:v>
                </c:pt>
                <c:pt idx="92">
                  <c:v>0.00018059</c:v>
                </c:pt>
                <c:pt idx="93">
                  <c:v>0.00016471</c:v>
                </c:pt>
                <c:pt idx="94">
                  <c:v>0.0001502</c:v>
                </c:pt>
                <c:pt idx="95">
                  <c:v>0.00013694</c:v>
                </c:pt>
                <c:pt idx="96">
                  <c:v>0.00012483</c:v>
                </c:pt>
                <c:pt idx="97">
                  <c:v>0.00011377</c:v>
                </c:pt>
                <c:pt idx="98">
                  <c:v>0.00010366</c:v>
                </c:pt>
                <c:pt idx="99">
                  <c:v>9.444e-05</c:v>
                </c:pt>
                <c:pt idx="100">
                  <c:v>8.602000000000001e-05</c:v>
                </c:pt>
              </c:numCache>
            </c:numRef>
          </c:yVal>
          <c:smooth val="1"/>
        </c:ser>
        <c:axId val="50040001"/>
        <c:axId val="50040002"/>
      </c:scatterChart>
      <c:valAx>
        <c:axId val="5004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40002"/>
        <c:crosses val="autoZero"/>
        <c:crossBetween val="midCat"/>
      </c:valAx>
      <c:valAx>
        <c:axId val="5004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4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EXPONENCIAL (media 10) y WEIBULL (forma 2; escala 12)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EXPONENCIAL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GUIA!$AU$6:$AU$106</c:f>
              <c:numCache>
                <c:formatCode>General</c:formatCode>
                <c:ptCount val="101"/>
                <c:pt idx="0">
                  <c:v>0.01</c:v>
                </c:pt>
                <c:pt idx="1">
                  <c:v>0.51</c:v>
                </c:pt>
                <c:pt idx="2">
                  <c:v>1.01</c:v>
                </c:pt>
                <c:pt idx="3">
                  <c:v>1.51</c:v>
                </c:pt>
                <c:pt idx="4">
                  <c:v>2.01</c:v>
                </c:pt>
                <c:pt idx="5">
                  <c:v>2.51</c:v>
                </c:pt>
                <c:pt idx="6">
                  <c:v>3.01</c:v>
                </c:pt>
                <c:pt idx="7">
                  <c:v>3.51</c:v>
                </c:pt>
                <c:pt idx="8">
                  <c:v>4.01</c:v>
                </c:pt>
                <c:pt idx="9">
                  <c:v>4.51</c:v>
                </c:pt>
                <c:pt idx="10">
                  <c:v>5.01</c:v>
                </c:pt>
                <c:pt idx="11">
                  <c:v>5.51</c:v>
                </c:pt>
                <c:pt idx="12">
                  <c:v>6.01</c:v>
                </c:pt>
                <c:pt idx="13">
                  <c:v>6.51</c:v>
                </c:pt>
                <c:pt idx="14">
                  <c:v>7.01</c:v>
                </c:pt>
                <c:pt idx="15">
                  <c:v>7.51</c:v>
                </c:pt>
                <c:pt idx="16">
                  <c:v>8.01</c:v>
                </c:pt>
                <c:pt idx="17">
                  <c:v>8.51</c:v>
                </c:pt>
                <c:pt idx="18">
                  <c:v>9.01</c:v>
                </c:pt>
                <c:pt idx="19">
                  <c:v>9.51</c:v>
                </c:pt>
                <c:pt idx="20">
                  <c:v>10.01</c:v>
                </c:pt>
                <c:pt idx="21">
                  <c:v>10.51</c:v>
                </c:pt>
                <c:pt idx="22">
                  <c:v>11.01</c:v>
                </c:pt>
                <c:pt idx="23">
                  <c:v>11.51</c:v>
                </c:pt>
                <c:pt idx="24">
                  <c:v>12.01</c:v>
                </c:pt>
                <c:pt idx="25">
                  <c:v>12.51</c:v>
                </c:pt>
                <c:pt idx="26">
                  <c:v>13.01</c:v>
                </c:pt>
                <c:pt idx="27">
                  <c:v>13.51</c:v>
                </c:pt>
                <c:pt idx="28">
                  <c:v>14.01</c:v>
                </c:pt>
                <c:pt idx="29">
                  <c:v>14.51</c:v>
                </c:pt>
                <c:pt idx="30">
                  <c:v>15.01</c:v>
                </c:pt>
                <c:pt idx="31">
                  <c:v>15.51</c:v>
                </c:pt>
                <c:pt idx="32">
                  <c:v>16.01</c:v>
                </c:pt>
                <c:pt idx="33">
                  <c:v>16.51</c:v>
                </c:pt>
                <c:pt idx="34">
                  <c:v>17.01</c:v>
                </c:pt>
                <c:pt idx="35">
                  <c:v>17.51</c:v>
                </c:pt>
                <c:pt idx="36">
                  <c:v>18.01</c:v>
                </c:pt>
                <c:pt idx="37">
                  <c:v>18.51</c:v>
                </c:pt>
                <c:pt idx="38">
                  <c:v>19.01</c:v>
                </c:pt>
                <c:pt idx="39">
                  <c:v>19.51</c:v>
                </c:pt>
                <c:pt idx="40">
                  <c:v>20.01</c:v>
                </c:pt>
                <c:pt idx="41">
                  <c:v>20.51</c:v>
                </c:pt>
                <c:pt idx="42">
                  <c:v>21.01</c:v>
                </c:pt>
                <c:pt idx="43">
                  <c:v>21.51</c:v>
                </c:pt>
                <c:pt idx="44">
                  <c:v>22.01</c:v>
                </c:pt>
                <c:pt idx="45">
                  <c:v>22.51</c:v>
                </c:pt>
                <c:pt idx="46">
                  <c:v>23.01</c:v>
                </c:pt>
                <c:pt idx="47">
                  <c:v>23.51</c:v>
                </c:pt>
                <c:pt idx="48">
                  <c:v>24.01</c:v>
                </c:pt>
                <c:pt idx="49">
                  <c:v>24.51</c:v>
                </c:pt>
                <c:pt idx="50">
                  <c:v>25.01</c:v>
                </c:pt>
                <c:pt idx="51">
                  <c:v>25.51</c:v>
                </c:pt>
                <c:pt idx="52">
                  <c:v>26.01</c:v>
                </c:pt>
                <c:pt idx="53">
                  <c:v>26.51</c:v>
                </c:pt>
                <c:pt idx="54">
                  <c:v>27.01</c:v>
                </c:pt>
                <c:pt idx="55">
                  <c:v>27.51</c:v>
                </c:pt>
                <c:pt idx="56">
                  <c:v>28.01</c:v>
                </c:pt>
                <c:pt idx="57">
                  <c:v>28.51</c:v>
                </c:pt>
                <c:pt idx="58">
                  <c:v>29.01</c:v>
                </c:pt>
                <c:pt idx="59">
                  <c:v>29.51</c:v>
                </c:pt>
                <c:pt idx="60">
                  <c:v>30.01</c:v>
                </c:pt>
                <c:pt idx="61">
                  <c:v>30.51</c:v>
                </c:pt>
                <c:pt idx="62">
                  <c:v>31.01</c:v>
                </c:pt>
                <c:pt idx="63">
                  <c:v>31.51</c:v>
                </c:pt>
                <c:pt idx="64">
                  <c:v>32.01</c:v>
                </c:pt>
                <c:pt idx="65">
                  <c:v>32.51</c:v>
                </c:pt>
                <c:pt idx="66">
                  <c:v>33.01</c:v>
                </c:pt>
                <c:pt idx="67">
                  <c:v>33.51</c:v>
                </c:pt>
                <c:pt idx="68">
                  <c:v>34.01</c:v>
                </c:pt>
                <c:pt idx="69">
                  <c:v>34.51</c:v>
                </c:pt>
                <c:pt idx="70">
                  <c:v>35.01</c:v>
                </c:pt>
                <c:pt idx="71">
                  <c:v>35.51</c:v>
                </c:pt>
                <c:pt idx="72">
                  <c:v>36.01</c:v>
                </c:pt>
                <c:pt idx="73">
                  <c:v>36.51</c:v>
                </c:pt>
                <c:pt idx="74">
                  <c:v>37.01</c:v>
                </c:pt>
                <c:pt idx="75">
                  <c:v>37.51</c:v>
                </c:pt>
                <c:pt idx="76">
                  <c:v>38.01</c:v>
                </c:pt>
                <c:pt idx="77">
                  <c:v>38.51</c:v>
                </c:pt>
                <c:pt idx="78">
                  <c:v>39.01</c:v>
                </c:pt>
                <c:pt idx="79">
                  <c:v>39.51</c:v>
                </c:pt>
                <c:pt idx="80">
                  <c:v>40.01</c:v>
                </c:pt>
                <c:pt idx="81">
                  <c:v>40.51</c:v>
                </c:pt>
                <c:pt idx="82">
                  <c:v>41.01</c:v>
                </c:pt>
                <c:pt idx="83">
                  <c:v>41.51</c:v>
                </c:pt>
                <c:pt idx="84">
                  <c:v>42.01</c:v>
                </c:pt>
                <c:pt idx="85">
                  <c:v>42.51</c:v>
                </c:pt>
                <c:pt idx="86">
                  <c:v>43.01</c:v>
                </c:pt>
                <c:pt idx="87">
                  <c:v>43.51</c:v>
                </c:pt>
                <c:pt idx="88">
                  <c:v>44.01</c:v>
                </c:pt>
                <c:pt idx="89">
                  <c:v>44.51</c:v>
                </c:pt>
                <c:pt idx="90">
                  <c:v>45.01</c:v>
                </c:pt>
                <c:pt idx="91">
                  <c:v>45.51</c:v>
                </c:pt>
                <c:pt idx="92">
                  <c:v>46.01</c:v>
                </c:pt>
                <c:pt idx="93">
                  <c:v>46.51</c:v>
                </c:pt>
                <c:pt idx="94">
                  <c:v>47.01</c:v>
                </c:pt>
                <c:pt idx="95">
                  <c:v>47.51</c:v>
                </c:pt>
                <c:pt idx="96">
                  <c:v>48.01</c:v>
                </c:pt>
                <c:pt idx="97">
                  <c:v>48.51</c:v>
                </c:pt>
                <c:pt idx="98">
                  <c:v>49.01</c:v>
                </c:pt>
                <c:pt idx="99">
                  <c:v>49.51</c:v>
                </c:pt>
                <c:pt idx="100">
                  <c:v>50.01</c:v>
                </c:pt>
              </c:numCache>
            </c:numRef>
          </c:xVal>
          <c:yVal>
            <c:numRef>
              <c:f>GUIA!$AV$6:$AV$106</c:f>
              <c:numCache>
                <c:formatCode>General</c:formatCode>
                <c:ptCount val="101"/>
                <c:pt idx="0">
                  <c:v>0.09990005</c:v>
                </c:pt>
                <c:pt idx="1">
                  <c:v>0.09502787</c:v>
                </c:pt>
                <c:pt idx="2">
                  <c:v>0.0903933</c:v>
                </c:pt>
                <c:pt idx="3">
                  <c:v>0.08598477</c:v>
                </c:pt>
                <c:pt idx="4">
                  <c:v>0.08179124</c:v>
                </c:pt>
                <c:pt idx="5">
                  <c:v>0.07780223999999999</c:v>
                </c:pt>
                <c:pt idx="6">
                  <c:v>0.07400778</c:v>
                </c:pt>
                <c:pt idx="7">
                  <c:v>0.07039838</c:v>
                </c:pt>
                <c:pt idx="8">
                  <c:v>0.06696501000000001</c:v>
                </c:pt>
                <c:pt idx="9">
                  <c:v>0.06369908000000001</c:v>
                </c:pt>
                <c:pt idx="10">
                  <c:v>0.06059244</c:v>
                </c:pt>
                <c:pt idx="11">
                  <c:v>0.05763731</c:v>
                </c:pt>
                <c:pt idx="12">
                  <c:v>0.05482631</c:v>
                </c:pt>
                <c:pt idx="13">
                  <c:v>0.0521524</c:v>
                </c:pt>
                <c:pt idx="14">
                  <c:v>0.0496089</c:v>
                </c:pt>
                <c:pt idx="15">
                  <c:v>0.04718944</c:v>
                </c:pt>
                <c:pt idx="16">
                  <c:v>0.04488799</c:v>
                </c:pt>
                <c:pt idx="17">
                  <c:v>0.04269877</c:v>
                </c:pt>
                <c:pt idx="18">
                  <c:v>0.04061633</c:v>
                </c:pt>
                <c:pt idx="19">
                  <c:v>0.03863545</c:v>
                </c:pt>
                <c:pt idx="20">
                  <c:v>0.03675117</c:v>
                </c:pt>
                <c:pt idx="21">
                  <c:v>0.0349588</c:v>
                </c:pt>
                <c:pt idx="22">
                  <c:v>0.03325384</c:v>
                </c:pt>
                <c:pt idx="23">
                  <c:v>0.03163203</c:v>
                </c:pt>
                <c:pt idx="24">
                  <c:v>0.03008932</c:v>
                </c:pt>
                <c:pt idx="25">
                  <c:v>0.02862184</c:v>
                </c:pt>
                <c:pt idx="26">
                  <c:v>0.02722594</c:v>
                </c:pt>
                <c:pt idx="27">
                  <c:v>0.02589811</c:v>
                </c:pt>
                <c:pt idx="28">
                  <c:v>0.02463505</c:v>
                </c:pt>
                <c:pt idx="29">
                  <c:v>0.02343358</c:v>
                </c:pt>
                <c:pt idx="30">
                  <c:v>0.02229071</c:v>
                </c:pt>
                <c:pt idx="31">
                  <c:v>0.02120358</c:v>
                </c:pt>
                <c:pt idx="32">
                  <c:v>0.02016947</c:v>
                </c:pt>
                <c:pt idx="33">
                  <c:v>0.0191858</c:v>
                </c:pt>
                <c:pt idx="34">
                  <c:v>0.01825009</c:v>
                </c:pt>
                <c:pt idx="35">
                  <c:v>0.01736003</c:v>
                </c:pt>
                <c:pt idx="36">
                  <c:v>0.01651337</c:v>
                </c:pt>
                <c:pt idx="37">
                  <c:v>0.015708</c:v>
                </c:pt>
                <c:pt idx="38">
                  <c:v>0.01494191</c:v>
                </c:pt>
                <c:pt idx="39">
                  <c:v>0.01421319</c:v>
                </c:pt>
                <c:pt idx="40">
                  <c:v>0.01352</c:v>
                </c:pt>
                <c:pt idx="41">
                  <c:v>0.01286062</c:v>
                </c:pt>
                <c:pt idx="42">
                  <c:v>0.0122334</c:v>
                </c:pt>
                <c:pt idx="43">
                  <c:v>0.01163677</c:v>
                </c:pt>
                <c:pt idx="44">
                  <c:v>0.01106924</c:v>
                </c:pt>
                <c:pt idx="45">
                  <c:v>0.01052939</c:v>
                </c:pt>
                <c:pt idx="46">
                  <c:v>0.01001586</c:v>
                </c:pt>
                <c:pt idx="47">
                  <c:v>0.00952738</c:v>
                </c:pt>
                <c:pt idx="48">
                  <c:v>0.00906273</c:v>
                </c:pt>
                <c:pt idx="49">
                  <c:v>0.00862073</c:v>
                </c:pt>
                <c:pt idx="50">
                  <c:v>0.008200300000000001</c:v>
                </c:pt>
                <c:pt idx="51">
                  <c:v>0.00780036</c:v>
                </c:pt>
                <c:pt idx="52">
                  <c:v>0.00741993</c:v>
                </c:pt>
                <c:pt idx="53">
                  <c:v>0.00705806</c:v>
                </c:pt>
                <c:pt idx="54">
                  <c:v>0.00671383</c:v>
                </c:pt>
                <c:pt idx="55">
                  <c:v>0.0063864</c:v>
                </c:pt>
                <c:pt idx="56">
                  <c:v>0.00607493</c:v>
                </c:pt>
                <c:pt idx="57">
                  <c:v>0.00577865</c:v>
                </c:pt>
                <c:pt idx="58">
                  <c:v>0.00549682</c:v>
                </c:pt>
                <c:pt idx="59">
                  <c:v>0.00522874</c:v>
                </c:pt>
                <c:pt idx="60">
                  <c:v>0.00497373</c:v>
                </c:pt>
                <c:pt idx="61">
                  <c:v>0.00473116</c:v>
                </c:pt>
                <c:pt idx="62">
                  <c:v>0.00450042</c:v>
                </c:pt>
                <c:pt idx="63">
                  <c:v>0.00428093</c:v>
                </c:pt>
                <c:pt idx="64">
                  <c:v>0.00407215</c:v>
                </c:pt>
                <c:pt idx="65">
                  <c:v>0.00387355</c:v>
                </c:pt>
                <c:pt idx="66">
                  <c:v>0.00368463</c:v>
                </c:pt>
                <c:pt idx="67">
                  <c:v>0.00350493</c:v>
                </c:pt>
                <c:pt idx="68">
                  <c:v>0.00333399</c:v>
                </c:pt>
                <c:pt idx="69">
                  <c:v>0.00317139</c:v>
                </c:pt>
                <c:pt idx="70">
                  <c:v>0.00301672</c:v>
                </c:pt>
                <c:pt idx="71">
                  <c:v>0.00286959</c:v>
                </c:pt>
                <c:pt idx="72">
                  <c:v>0.00272964</c:v>
                </c:pt>
                <c:pt idx="73">
                  <c:v>0.00259652</c:v>
                </c:pt>
                <c:pt idx="74">
                  <c:v>0.00246988</c:v>
                </c:pt>
                <c:pt idx="75">
                  <c:v>0.00234942</c:v>
                </c:pt>
                <c:pt idx="76">
                  <c:v>0.00223484</c:v>
                </c:pt>
                <c:pt idx="77">
                  <c:v>0.00212585</c:v>
                </c:pt>
                <c:pt idx="78">
                  <c:v>0.00202217</c:v>
                </c:pt>
                <c:pt idx="79">
                  <c:v>0.00192355</c:v>
                </c:pt>
                <c:pt idx="80">
                  <c:v>0.00182973</c:v>
                </c:pt>
                <c:pt idx="81">
                  <c:v>0.0017405</c:v>
                </c:pt>
                <c:pt idx="82">
                  <c:v>0.00165561</c:v>
                </c:pt>
                <c:pt idx="83">
                  <c:v>0.00157487</c:v>
                </c:pt>
                <c:pt idx="84">
                  <c:v>0.00149806</c:v>
                </c:pt>
                <c:pt idx="85">
                  <c:v>0.001425</c:v>
                </c:pt>
                <c:pt idx="86">
                  <c:v>0.0013555</c:v>
                </c:pt>
                <c:pt idx="87">
                  <c:v>0.00128939</c:v>
                </c:pt>
                <c:pt idx="88">
                  <c:v>0.00122651</c:v>
                </c:pt>
                <c:pt idx="89">
                  <c:v>0.00116669</c:v>
                </c:pt>
                <c:pt idx="90">
                  <c:v>0.00110979</c:v>
                </c:pt>
                <c:pt idx="91">
                  <c:v>0.00105566</c:v>
                </c:pt>
                <c:pt idx="92">
                  <c:v>0.00100418</c:v>
                </c:pt>
                <c:pt idx="93">
                  <c:v>0.0009552</c:v>
                </c:pt>
                <c:pt idx="94">
                  <c:v>0.00090862</c:v>
                </c:pt>
                <c:pt idx="95">
                  <c:v>0.0008643</c:v>
                </c:pt>
                <c:pt idx="96">
                  <c:v>0.00082215</c:v>
                </c:pt>
                <c:pt idx="97">
                  <c:v>0.00078206</c:v>
                </c:pt>
                <c:pt idx="98">
                  <c:v>0.00074391</c:v>
                </c:pt>
                <c:pt idx="99">
                  <c:v>0.00070763</c:v>
                </c:pt>
                <c:pt idx="100">
                  <c:v>0.00067312</c:v>
                </c:pt>
              </c:numCache>
            </c:numRef>
          </c:yVal>
          <c:smooth val="1"/>
        </c:ser>
        <c:ser>
          <c:idx val="1"/>
          <c:order val="1"/>
          <c:tx>
            <c:v>WEIBULL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GUIA!$AU$6:$AU$106</c:f>
              <c:numCache>
                <c:formatCode>General</c:formatCode>
                <c:ptCount val="101"/>
                <c:pt idx="0">
                  <c:v>0.01</c:v>
                </c:pt>
                <c:pt idx="1">
                  <c:v>0.51</c:v>
                </c:pt>
                <c:pt idx="2">
                  <c:v>1.01</c:v>
                </c:pt>
                <c:pt idx="3">
                  <c:v>1.51</c:v>
                </c:pt>
                <c:pt idx="4">
                  <c:v>2.01</c:v>
                </c:pt>
                <c:pt idx="5">
                  <c:v>2.51</c:v>
                </c:pt>
                <c:pt idx="6">
                  <c:v>3.01</c:v>
                </c:pt>
                <c:pt idx="7">
                  <c:v>3.51</c:v>
                </c:pt>
                <c:pt idx="8">
                  <c:v>4.01</c:v>
                </c:pt>
                <c:pt idx="9">
                  <c:v>4.51</c:v>
                </c:pt>
                <c:pt idx="10">
                  <c:v>5.01</c:v>
                </c:pt>
                <c:pt idx="11">
                  <c:v>5.51</c:v>
                </c:pt>
                <c:pt idx="12">
                  <c:v>6.01</c:v>
                </c:pt>
                <c:pt idx="13">
                  <c:v>6.51</c:v>
                </c:pt>
                <c:pt idx="14">
                  <c:v>7.01</c:v>
                </c:pt>
                <c:pt idx="15">
                  <c:v>7.51</c:v>
                </c:pt>
                <c:pt idx="16">
                  <c:v>8.01</c:v>
                </c:pt>
                <c:pt idx="17">
                  <c:v>8.51</c:v>
                </c:pt>
                <c:pt idx="18">
                  <c:v>9.01</c:v>
                </c:pt>
                <c:pt idx="19">
                  <c:v>9.51</c:v>
                </c:pt>
                <c:pt idx="20">
                  <c:v>10.01</c:v>
                </c:pt>
                <c:pt idx="21">
                  <c:v>10.51</c:v>
                </c:pt>
                <c:pt idx="22">
                  <c:v>11.01</c:v>
                </c:pt>
                <c:pt idx="23">
                  <c:v>11.51</c:v>
                </c:pt>
                <c:pt idx="24">
                  <c:v>12.01</c:v>
                </c:pt>
                <c:pt idx="25">
                  <c:v>12.51</c:v>
                </c:pt>
                <c:pt idx="26">
                  <c:v>13.01</c:v>
                </c:pt>
                <c:pt idx="27">
                  <c:v>13.51</c:v>
                </c:pt>
                <c:pt idx="28">
                  <c:v>14.01</c:v>
                </c:pt>
                <c:pt idx="29">
                  <c:v>14.51</c:v>
                </c:pt>
                <c:pt idx="30">
                  <c:v>15.01</c:v>
                </c:pt>
                <c:pt idx="31">
                  <c:v>15.51</c:v>
                </c:pt>
                <c:pt idx="32">
                  <c:v>16.01</c:v>
                </c:pt>
                <c:pt idx="33">
                  <c:v>16.51</c:v>
                </c:pt>
                <c:pt idx="34">
                  <c:v>17.01</c:v>
                </c:pt>
                <c:pt idx="35">
                  <c:v>17.51</c:v>
                </c:pt>
                <c:pt idx="36">
                  <c:v>18.01</c:v>
                </c:pt>
                <c:pt idx="37">
                  <c:v>18.51</c:v>
                </c:pt>
                <c:pt idx="38">
                  <c:v>19.01</c:v>
                </c:pt>
                <c:pt idx="39">
                  <c:v>19.51</c:v>
                </c:pt>
                <c:pt idx="40">
                  <c:v>20.01</c:v>
                </c:pt>
                <c:pt idx="41">
                  <c:v>20.51</c:v>
                </c:pt>
                <c:pt idx="42">
                  <c:v>21.01</c:v>
                </c:pt>
                <c:pt idx="43">
                  <c:v>21.51</c:v>
                </c:pt>
                <c:pt idx="44">
                  <c:v>22.01</c:v>
                </c:pt>
                <c:pt idx="45">
                  <c:v>22.51</c:v>
                </c:pt>
                <c:pt idx="46">
                  <c:v>23.01</c:v>
                </c:pt>
                <c:pt idx="47">
                  <c:v>23.51</c:v>
                </c:pt>
                <c:pt idx="48">
                  <c:v>24.01</c:v>
                </c:pt>
                <c:pt idx="49">
                  <c:v>24.51</c:v>
                </c:pt>
                <c:pt idx="50">
                  <c:v>25.01</c:v>
                </c:pt>
                <c:pt idx="51">
                  <c:v>25.51</c:v>
                </c:pt>
                <c:pt idx="52">
                  <c:v>26.01</c:v>
                </c:pt>
                <c:pt idx="53">
                  <c:v>26.51</c:v>
                </c:pt>
                <c:pt idx="54">
                  <c:v>27.01</c:v>
                </c:pt>
                <c:pt idx="55">
                  <c:v>27.51</c:v>
                </c:pt>
                <c:pt idx="56">
                  <c:v>28.01</c:v>
                </c:pt>
                <c:pt idx="57">
                  <c:v>28.51</c:v>
                </c:pt>
                <c:pt idx="58">
                  <c:v>29.01</c:v>
                </c:pt>
                <c:pt idx="59">
                  <c:v>29.51</c:v>
                </c:pt>
                <c:pt idx="60">
                  <c:v>30.01</c:v>
                </c:pt>
                <c:pt idx="61">
                  <c:v>30.51</c:v>
                </c:pt>
                <c:pt idx="62">
                  <c:v>31.01</c:v>
                </c:pt>
                <c:pt idx="63">
                  <c:v>31.51</c:v>
                </c:pt>
                <c:pt idx="64">
                  <c:v>32.01</c:v>
                </c:pt>
                <c:pt idx="65">
                  <c:v>32.51</c:v>
                </c:pt>
                <c:pt idx="66">
                  <c:v>33.01</c:v>
                </c:pt>
                <c:pt idx="67">
                  <c:v>33.51</c:v>
                </c:pt>
                <c:pt idx="68">
                  <c:v>34.01</c:v>
                </c:pt>
                <c:pt idx="69">
                  <c:v>34.51</c:v>
                </c:pt>
                <c:pt idx="70">
                  <c:v>35.01</c:v>
                </c:pt>
                <c:pt idx="71">
                  <c:v>35.51</c:v>
                </c:pt>
                <c:pt idx="72">
                  <c:v>36.01</c:v>
                </c:pt>
                <c:pt idx="73">
                  <c:v>36.51</c:v>
                </c:pt>
                <c:pt idx="74">
                  <c:v>37.01</c:v>
                </c:pt>
                <c:pt idx="75">
                  <c:v>37.51</c:v>
                </c:pt>
                <c:pt idx="76">
                  <c:v>38.01</c:v>
                </c:pt>
                <c:pt idx="77">
                  <c:v>38.51</c:v>
                </c:pt>
                <c:pt idx="78">
                  <c:v>39.01</c:v>
                </c:pt>
                <c:pt idx="79">
                  <c:v>39.51</c:v>
                </c:pt>
                <c:pt idx="80">
                  <c:v>40.01</c:v>
                </c:pt>
                <c:pt idx="81">
                  <c:v>40.51</c:v>
                </c:pt>
                <c:pt idx="82">
                  <c:v>41.01</c:v>
                </c:pt>
                <c:pt idx="83">
                  <c:v>41.51</c:v>
                </c:pt>
                <c:pt idx="84">
                  <c:v>42.01</c:v>
                </c:pt>
                <c:pt idx="85">
                  <c:v>42.51</c:v>
                </c:pt>
                <c:pt idx="86">
                  <c:v>43.01</c:v>
                </c:pt>
                <c:pt idx="87">
                  <c:v>43.51</c:v>
                </c:pt>
                <c:pt idx="88">
                  <c:v>44.01</c:v>
                </c:pt>
                <c:pt idx="89">
                  <c:v>44.51</c:v>
                </c:pt>
                <c:pt idx="90">
                  <c:v>45.01</c:v>
                </c:pt>
                <c:pt idx="91">
                  <c:v>45.51</c:v>
                </c:pt>
                <c:pt idx="92">
                  <c:v>46.01</c:v>
                </c:pt>
                <c:pt idx="93">
                  <c:v>46.51</c:v>
                </c:pt>
                <c:pt idx="94">
                  <c:v>47.01</c:v>
                </c:pt>
                <c:pt idx="95">
                  <c:v>47.51</c:v>
                </c:pt>
                <c:pt idx="96">
                  <c:v>48.01</c:v>
                </c:pt>
                <c:pt idx="97">
                  <c:v>48.51</c:v>
                </c:pt>
                <c:pt idx="98">
                  <c:v>49.01</c:v>
                </c:pt>
                <c:pt idx="99">
                  <c:v>49.51</c:v>
                </c:pt>
                <c:pt idx="100">
                  <c:v>50.01</c:v>
                </c:pt>
              </c:numCache>
            </c:numRef>
          </c:xVal>
          <c:yVal>
            <c:numRef>
              <c:f>GUIA!$AW$6:$AW$106</c:f>
              <c:numCache>
                <c:formatCode>General</c:formatCode>
                <c:ptCount val="101"/>
                <c:pt idx="0">
                  <c:v>0.00013889</c:v>
                </c:pt>
                <c:pt idx="1">
                  <c:v>0.00707055</c:v>
                </c:pt>
                <c:pt idx="2">
                  <c:v>0.01392876</c:v>
                </c:pt>
                <c:pt idx="3">
                  <c:v>0.02064276</c:v>
                </c:pt>
                <c:pt idx="4">
                  <c:v>0.02714431</c:v>
                </c:pt>
                <c:pt idx="5">
                  <c:v>0.0333688</c:v>
                </c:pt>
                <c:pt idx="6">
                  <c:v>0.0392563</c:v>
                </c:pt>
                <c:pt idx="7">
                  <c:v>0.04475257</c:v>
                </c:pt>
                <c:pt idx="8">
                  <c:v>0.04980986</c:v>
                </c:pt>
                <c:pt idx="9">
                  <c:v>0.05438757</c:v>
                </c:pt>
                <c:pt idx="10">
                  <c:v>0.05845276</c:v>
                </c:pt>
                <c:pt idx="11">
                  <c:v>0.0619805</c:v>
                </c:pt>
                <c:pt idx="12">
                  <c:v>0.06495404</c:v>
                </c:pt>
                <c:pt idx="13">
                  <c:v>0.06736478</c:v>
                </c:pt>
                <c:pt idx="14">
                  <c:v>0.06921213</c:v>
                </c:pt>
                <c:pt idx="15">
                  <c:v>0.07050314000000001</c:v>
                </c:pt>
                <c:pt idx="16">
                  <c:v>0.07125206000000001</c:v>
                </c:pt>
                <c:pt idx="17">
                  <c:v>0.07147972</c:v>
                </c:pt>
                <c:pt idx="18">
                  <c:v>0.07121287</c:v>
                </c:pt>
                <c:pt idx="19">
                  <c:v>0.07048337</c:v>
                </c:pt>
                <c:pt idx="20">
                  <c:v>0.06932737</c:v>
                </c:pt>
                <c:pt idx="21">
                  <c:v>0.06778442</c:v>
                </c:pt>
                <c:pt idx="22">
                  <c:v>0.0658966</c:v>
                </c:pt>
                <c:pt idx="23">
                  <c:v>0.06370765</c:v>
                </c:pt>
                <c:pt idx="24">
                  <c:v>0.0612621</c:v>
                </c:pt>
                <c:pt idx="25">
                  <c:v>0.05860449</c:v>
                </c:pt>
                <c:pt idx="26">
                  <c:v>0.05577859</c:v>
                </c:pt>
                <c:pt idx="27">
                  <c:v>0.0528268</c:v>
                </c:pt>
                <c:pt idx="28">
                  <c:v>0.04978951</c:v>
                </c:pt>
                <c:pt idx="29">
                  <c:v>0.04670463</c:v>
                </c:pt>
                <c:pt idx="30">
                  <c:v>0.04360718</c:v>
                </c:pt>
                <c:pt idx="31">
                  <c:v>0.040529</c:v>
                </c:pt>
                <c:pt idx="32">
                  <c:v>0.03749854</c:v>
                </c:pt>
                <c:pt idx="33">
                  <c:v>0.03454069</c:v>
                </c:pt>
                <c:pt idx="34">
                  <c:v>0.03167679</c:v>
                </c:pt>
                <c:pt idx="35">
                  <c:v>0.02892464</c:v>
                </c:pt>
                <c:pt idx="36">
                  <c:v>0.0262986</c:v>
                </c:pt>
                <c:pt idx="37">
                  <c:v>0.02380972</c:v>
                </c:pt>
                <c:pt idx="38">
                  <c:v>0.021466</c:v>
                </c:pt>
                <c:pt idx="39">
                  <c:v>0.01927256</c:v>
                </c:pt>
                <c:pt idx="40">
                  <c:v>0.01723195</c:v>
                </c:pt>
                <c:pt idx="41">
                  <c:v>0.01534441</c:v>
                </c:pt>
                <c:pt idx="42">
                  <c:v>0.01360817</c:v>
                </c:pt>
                <c:pt idx="43">
                  <c:v>0.01201975</c:v>
                </c:pt>
                <c:pt idx="44">
                  <c:v>0.01057422</c:v>
                </c:pt>
                <c:pt idx="45">
                  <c:v>0.009265499999999999</c:v>
                </c:pt>
                <c:pt idx="46">
                  <c:v>0.008086629999999999</c:v>
                </c:pt>
                <c:pt idx="47">
                  <c:v>0.00702996</c:v>
                </c:pt>
                <c:pt idx="48">
                  <c:v>0.00608743</c:v>
                </c:pt>
                <c:pt idx="49">
                  <c:v>0.00525071</c:v>
                </c:pt>
                <c:pt idx="50">
                  <c:v>0.00451143</c:v>
                </c:pt>
                <c:pt idx="51">
                  <c:v>0.00386126</c:v>
                </c:pt>
                <c:pt idx="52">
                  <c:v>0.00329206</c:v>
                </c:pt>
                <c:pt idx="53">
                  <c:v>0.00279601</c:v>
                </c:pt>
                <c:pt idx="54">
                  <c:v>0.00236563</c:v>
                </c:pt>
                <c:pt idx="55">
                  <c:v>0.00199388</c:v>
                </c:pt>
                <c:pt idx="56">
                  <c:v>0.00167417</c:v>
                </c:pt>
                <c:pt idx="57">
                  <c:v>0.0014004</c:v>
                </c:pt>
                <c:pt idx="58">
                  <c:v>0.00116699</c:v>
                </c:pt>
                <c:pt idx="59">
                  <c:v>0.00096881</c:v>
                </c:pt>
                <c:pt idx="60">
                  <c:v>0.00080128</c:v>
                </c:pt>
                <c:pt idx="61">
                  <c:v>0.00066023</c:v>
                </c:pt>
                <c:pt idx="62">
                  <c:v>0.00054198</c:v>
                </c:pt>
                <c:pt idx="63">
                  <c:v>0.00044326</c:v>
                </c:pt>
                <c:pt idx="64">
                  <c:v>0.00036117</c:v>
                </c:pt>
                <c:pt idx="65">
                  <c:v>0.00029319</c:v>
                </c:pt>
                <c:pt idx="66">
                  <c:v>0.00023712</c:v>
                </c:pt>
                <c:pt idx="67">
                  <c:v>0.00019107</c:v>
                </c:pt>
                <c:pt idx="68">
                  <c:v>0.00015339</c:v>
                </c:pt>
                <c:pt idx="69">
                  <c:v>0.00012269</c:v>
                </c:pt>
                <c:pt idx="70">
                  <c:v>9.778e-05</c:v>
                </c:pt>
                <c:pt idx="71">
                  <c:v>7.763e-05</c:v>
                </c:pt>
                <c:pt idx="72">
                  <c:v>6.141e-05</c:v>
                </c:pt>
                <c:pt idx="73">
                  <c:v>4.841e-05</c:v>
                </c:pt>
                <c:pt idx="74">
                  <c:v>3.801e-05</c:v>
                </c:pt>
                <c:pt idx="75">
                  <c:v>2.974e-05</c:v>
                </c:pt>
                <c:pt idx="76">
                  <c:v>2.319e-05</c:v>
                </c:pt>
                <c:pt idx="77">
                  <c:v>1.801e-05</c:v>
                </c:pt>
                <c:pt idx="78">
                  <c:v>1.394e-05</c:v>
                </c:pt>
                <c:pt idx="79">
                  <c:v>1.075e-05</c:v>
                </c:pt>
                <c:pt idx="80">
                  <c:v>8.260000000000001e-06</c:v>
                </c:pt>
                <c:pt idx="81">
                  <c:v>6.32e-06</c:v>
                </c:pt>
                <c:pt idx="82">
                  <c:v>4.82e-06</c:v>
                </c:pt>
                <c:pt idx="83">
                  <c:v>3.67e-06</c:v>
                </c:pt>
                <c:pt idx="84">
                  <c:v>2.78e-06</c:v>
                </c:pt>
                <c:pt idx="85">
                  <c:v>2.09e-06</c:v>
                </c:pt>
                <c:pt idx="86">
                  <c:v>1.57e-06</c:v>
                </c:pt>
                <c:pt idx="87">
                  <c:v>1.18e-06</c:v>
                </c:pt>
                <c:pt idx="88">
                  <c:v>8.8e-07</c:v>
                </c:pt>
                <c:pt idx="89">
                  <c:v>6.5e-07</c:v>
                </c:pt>
                <c:pt idx="90">
                  <c:v>4.9e-07</c:v>
                </c:pt>
                <c:pt idx="91">
                  <c:v>3.6e-07</c:v>
                </c:pt>
                <c:pt idx="92">
                  <c:v>2.6e-07</c:v>
                </c:pt>
                <c:pt idx="93">
                  <c:v>1.9e-07</c:v>
                </c:pt>
                <c:pt idx="94">
                  <c:v>1.4e-07</c:v>
                </c:pt>
                <c:pt idx="95">
                  <c:v>1e-07</c:v>
                </c:pt>
                <c:pt idx="96">
                  <c:v>7e-08</c:v>
                </c:pt>
                <c:pt idx="97">
                  <c:v>5e-08</c:v>
                </c:pt>
                <c:pt idx="98">
                  <c:v>4e-08</c:v>
                </c:pt>
                <c:pt idx="99">
                  <c:v>3e-08</c:v>
                </c:pt>
                <c:pt idx="100">
                  <c:v>2e-08</c:v>
                </c:pt>
              </c:numCache>
            </c:numRef>
          </c:yVal>
          <c:smooth val="1"/>
        </c:ser>
        <c:axId val="50050001"/>
        <c:axId val="50050002"/>
      </c:scatterChart>
      <c:valAx>
        <c:axId val="5005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50002"/>
        <c:crosses val="autoZero"/>
        <c:crossBetween val="midCat"/>
      </c:valAx>
      <c:valAx>
        <c:axId val="5005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5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GUMBEL (10; 4) y LOGISTICA (15; 3)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GUMBEL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GUIA!$AY$6:$AY$106</c:f>
              <c:numCache>
                <c:formatCode>General</c:formatCode>
                <c:ptCount val="10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  <c:pt idx="45">
                  <c:v>17.5</c:v>
                </c:pt>
                <c:pt idx="46">
                  <c:v>18</c:v>
                </c:pt>
                <c:pt idx="47">
                  <c:v>18.5</c:v>
                </c:pt>
                <c:pt idx="48">
                  <c:v>19</c:v>
                </c:pt>
                <c:pt idx="49">
                  <c:v>19.5</c:v>
                </c:pt>
                <c:pt idx="50">
                  <c:v>20</c:v>
                </c:pt>
                <c:pt idx="51">
                  <c:v>20.5</c:v>
                </c:pt>
                <c:pt idx="52">
                  <c:v>21</c:v>
                </c:pt>
                <c:pt idx="53">
                  <c:v>21.5</c:v>
                </c:pt>
                <c:pt idx="54">
                  <c:v>22</c:v>
                </c:pt>
                <c:pt idx="55">
                  <c:v>22.5</c:v>
                </c:pt>
                <c:pt idx="56">
                  <c:v>23</c:v>
                </c:pt>
                <c:pt idx="57">
                  <c:v>23.5</c:v>
                </c:pt>
                <c:pt idx="58">
                  <c:v>24</c:v>
                </c:pt>
                <c:pt idx="59">
                  <c:v>24.5</c:v>
                </c:pt>
                <c:pt idx="60">
                  <c:v>25</c:v>
                </c:pt>
                <c:pt idx="61">
                  <c:v>25.5</c:v>
                </c:pt>
                <c:pt idx="62">
                  <c:v>26</c:v>
                </c:pt>
                <c:pt idx="63">
                  <c:v>26.5</c:v>
                </c:pt>
                <c:pt idx="64">
                  <c:v>27</c:v>
                </c:pt>
                <c:pt idx="65">
                  <c:v>27.5</c:v>
                </c:pt>
                <c:pt idx="66">
                  <c:v>28</c:v>
                </c:pt>
                <c:pt idx="67">
                  <c:v>28.5</c:v>
                </c:pt>
                <c:pt idx="68">
                  <c:v>29</c:v>
                </c:pt>
                <c:pt idx="69">
                  <c:v>29.5</c:v>
                </c:pt>
                <c:pt idx="70">
                  <c:v>30</c:v>
                </c:pt>
                <c:pt idx="71">
                  <c:v>30.5</c:v>
                </c:pt>
                <c:pt idx="72">
                  <c:v>31</c:v>
                </c:pt>
                <c:pt idx="73">
                  <c:v>31.5</c:v>
                </c:pt>
                <c:pt idx="74">
                  <c:v>32</c:v>
                </c:pt>
                <c:pt idx="75">
                  <c:v>32.5</c:v>
                </c:pt>
                <c:pt idx="76">
                  <c:v>33</c:v>
                </c:pt>
                <c:pt idx="77">
                  <c:v>33.5</c:v>
                </c:pt>
                <c:pt idx="78">
                  <c:v>34</c:v>
                </c:pt>
                <c:pt idx="79">
                  <c:v>34.5</c:v>
                </c:pt>
                <c:pt idx="80">
                  <c:v>35</c:v>
                </c:pt>
                <c:pt idx="81">
                  <c:v>35.5</c:v>
                </c:pt>
                <c:pt idx="82">
                  <c:v>36</c:v>
                </c:pt>
                <c:pt idx="83">
                  <c:v>36.5</c:v>
                </c:pt>
                <c:pt idx="84">
                  <c:v>37</c:v>
                </c:pt>
                <c:pt idx="85">
                  <c:v>37.5</c:v>
                </c:pt>
                <c:pt idx="86">
                  <c:v>38</c:v>
                </c:pt>
                <c:pt idx="87">
                  <c:v>38.5</c:v>
                </c:pt>
                <c:pt idx="88">
                  <c:v>39</c:v>
                </c:pt>
                <c:pt idx="89">
                  <c:v>39.5</c:v>
                </c:pt>
                <c:pt idx="90">
                  <c:v>40</c:v>
                </c:pt>
                <c:pt idx="91">
                  <c:v>40.5</c:v>
                </c:pt>
                <c:pt idx="92">
                  <c:v>41</c:v>
                </c:pt>
                <c:pt idx="93">
                  <c:v>41.5</c:v>
                </c:pt>
                <c:pt idx="94">
                  <c:v>42</c:v>
                </c:pt>
                <c:pt idx="95">
                  <c:v>42.5</c:v>
                </c:pt>
                <c:pt idx="96">
                  <c:v>43</c:v>
                </c:pt>
                <c:pt idx="97">
                  <c:v>43.5</c:v>
                </c:pt>
                <c:pt idx="98">
                  <c:v>44</c:v>
                </c:pt>
                <c:pt idx="99">
                  <c:v>44.5</c:v>
                </c:pt>
                <c:pt idx="100">
                  <c:v>45</c:v>
                </c:pt>
              </c:numCache>
            </c:numRef>
          </c:xVal>
          <c:yVal>
            <c:numRef>
              <c:f>GUIA!$AZ$6:$AZ$106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1e-08</c:v>
                </c:pt>
                <c:pt idx="7">
                  <c:v>9e-08</c:v>
                </c:pt>
                <c:pt idx="8">
                  <c:v>6.3e-07</c:v>
                </c:pt>
                <c:pt idx="9">
                  <c:v>3.49e-06</c:v>
                </c:pt>
                <c:pt idx="10">
                  <c:v>1.559e-05</c:v>
                </c:pt>
                <c:pt idx="11">
                  <c:v>5.758e-05</c:v>
                </c:pt>
                <c:pt idx="12">
                  <c:v>0.00017973</c:v>
                </c:pt>
                <c:pt idx="13">
                  <c:v>0.00048363</c:v>
                </c:pt>
                <c:pt idx="14">
                  <c:v>0.00114157</c:v>
                </c:pt>
                <c:pt idx="15">
                  <c:v>0.00240042</c:v>
                </c:pt>
                <c:pt idx="16">
                  <c:v>0.00455788</c:v>
                </c:pt>
                <c:pt idx="17">
                  <c:v>0.007909319999999999</c:v>
                </c:pt>
                <c:pt idx="18">
                  <c:v>0.01267678</c:v>
                </c:pt>
                <c:pt idx="19">
                  <c:v>0.01894205</c:v>
                </c:pt>
                <c:pt idx="20">
                  <c:v>0.0266055</c:v>
                </c:pt>
                <c:pt idx="21">
                  <c:v>0.03538345</c:v>
                </c:pt>
                <c:pt idx="22">
                  <c:v>0.04484352</c:v>
                </c:pt>
                <c:pt idx="23">
                  <c:v>0.05446649</c:v>
                </c:pt>
                <c:pt idx="24">
                  <c:v>0.06371760999999999</c:v>
                </c:pt>
                <c:pt idx="25">
                  <c:v>0.0721116</c:v>
                </c:pt>
                <c:pt idx="26">
                  <c:v>0.07926047999999999</c:v>
                </c:pt>
                <c:pt idx="27">
                  <c:v>0.08489961</c:v>
                </c:pt>
                <c:pt idx="28">
                  <c:v>0.08889319</c:v>
                </c:pt>
                <c:pt idx="29">
                  <c:v>0.09122349</c:v>
                </c:pt>
                <c:pt idx="30">
                  <c:v>0.09196986</c:v>
                </c:pt>
                <c:pt idx="31">
                  <c:v>0.09128295</c:v>
                </c:pt>
                <c:pt idx="32">
                  <c:v>0.08935883999999999</c:v>
                </c:pt>
                <c:pt idx="33">
                  <c:v>0.0864159</c:v>
                </c:pt>
                <c:pt idx="34">
                  <c:v>0.08267607</c:v>
                </c:pt>
                <c:pt idx="35">
                  <c:v>0.07835106</c:v>
                </c:pt>
                <c:pt idx="36">
                  <c:v>0.07363308</c:v>
                </c:pt>
                <c:pt idx="37">
                  <c:v>0.06868968</c:v>
                </c:pt>
                <c:pt idx="38">
                  <c:v>0.0636616</c:v>
                </c:pt>
                <c:pt idx="39">
                  <c:v>0.05866296</c:v>
                </c:pt>
                <c:pt idx="40">
                  <c:v>0.05378293</c:v>
                </c:pt>
                <c:pt idx="41">
                  <c:v>0.04908833</c:v>
                </c:pt>
                <c:pt idx="42">
                  <c:v>0.04462663</c:v>
                </c:pt>
                <c:pt idx="43">
                  <c:v>0.04042908</c:v>
                </c:pt>
                <c:pt idx="44">
                  <c:v>0.03651368</c:v>
                </c:pt>
                <c:pt idx="45">
                  <c:v>0.03288794</c:v>
                </c:pt>
                <c:pt idx="46">
                  <c:v>0.02955124</c:v>
                </c:pt>
                <c:pt idx="47">
                  <c:v>0.02649691</c:v>
                </c:pt>
                <c:pt idx="48">
                  <c:v>0.02371391</c:v>
                </c:pt>
                <c:pt idx="49">
                  <c:v>0.02118824</c:v>
                </c:pt>
                <c:pt idx="50">
                  <c:v>0.01890404</c:v>
                </c:pt>
                <c:pt idx="51">
                  <c:v>0.01684445</c:v>
                </c:pt>
                <c:pt idx="52">
                  <c:v>0.01499224</c:v>
                </c:pt>
                <c:pt idx="53">
                  <c:v>0.01333037</c:v>
                </c:pt>
                <c:pt idx="54">
                  <c:v>0.01184225</c:v>
                </c:pt>
                <c:pt idx="55">
                  <c:v>0.01051207</c:v>
                </c:pt>
                <c:pt idx="56">
                  <c:v>0.009324890000000001</c:v>
                </c:pt>
                <c:pt idx="57">
                  <c:v>0.00826676</c:v>
                </c:pt>
                <c:pt idx="58">
                  <c:v>0.00732478</c:v>
                </c:pt>
                <c:pt idx="59">
                  <c:v>0.00648708</c:v>
                </c:pt>
                <c:pt idx="60">
                  <c:v>0.00574278</c:v>
                </c:pt>
                <c:pt idx="61">
                  <c:v>0.00508201</c:v>
                </c:pt>
                <c:pt idx="62">
                  <c:v>0.00449581</c:v>
                </c:pt>
                <c:pt idx="63">
                  <c:v>0.00397608</c:v>
                </c:pt>
                <c:pt idx="64">
                  <c:v>0.00351555</c:v>
                </c:pt>
                <c:pt idx="65">
                  <c:v>0.00310767</c:v>
                </c:pt>
                <c:pt idx="66">
                  <c:v>0.00274657</c:v>
                </c:pt>
                <c:pt idx="67">
                  <c:v>0.002427</c:v>
                </c:pt>
                <c:pt idx="68">
                  <c:v>0.00214429</c:v>
                </c:pt>
                <c:pt idx="69">
                  <c:v>0.00189426</c:v>
                </c:pt>
                <c:pt idx="70">
                  <c:v>0.00167317</c:v>
                </c:pt>
                <c:pt idx="71">
                  <c:v>0.00147774</c:v>
                </c:pt>
                <c:pt idx="72">
                  <c:v>0.00130501</c:v>
                </c:pt>
                <c:pt idx="73">
                  <c:v>0.00115238</c:v>
                </c:pt>
                <c:pt idx="74">
                  <c:v>0.00101753</c:v>
                </c:pt>
                <c:pt idx="75">
                  <c:v>0.00089839</c:v>
                </c:pt>
                <c:pt idx="76">
                  <c:v>0.0007931700000000001</c:v>
                </c:pt>
                <c:pt idx="77">
                  <c:v>0.00070023</c:v>
                </c:pt>
                <c:pt idx="78">
                  <c:v>0.00061815</c:v>
                </c:pt>
                <c:pt idx="79">
                  <c:v>0.00054568</c:v>
                </c:pt>
                <c:pt idx="80">
                  <c:v>0.00048168</c:v>
                </c:pt>
                <c:pt idx="81">
                  <c:v>0.00042518</c:v>
                </c:pt>
                <c:pt idx="82">
                  <c:v>0.0003753</c:v>
                </c:pt>
                <c:pt idx="83">
                  <c:v>0.00033126</c:v>
                </c:pt>
                <c:pt idx="84">
                  <c:v>0.00029238</c:v>
                </c:pt>
                <c:pt idx="85">
                  <c:v>0.00025806</c:v>
                </c:pt>
                <c:pt idx="86">
                  <c:v>0.00022776</c:v>
                </c:pt>
                <c:pt idx="87">
                  <c:v>0.00020102</c:v>
                </c:pt>
                <c:pt idx="88">
                  <c:v>0.00017742</c:v>
                </c:pt>
                <c:pt idx="89">
                  <c:v>0.00015658</c:v>
                </c:pt>
                <c:pt idx="90">
                  <c:v>0.00013819</c:v>
                </c:pt>
                <c:pt idx="91">
                  <c:v>0.00012196</c:v>
                </c:pt>
                <c:pt idx="92">
                  <c:v>0.00010764</c:v>
                </c:pt>
                <c:pt idx="93">
                  <c:v>9.500000000000001e-05</c:v>
                </c:pt>
                <c:pt idx="94">
                  <c:v>8.384e-05</c:v>
                </c:pt>
                <c:pt idx="95">
                  <c:v>7.399e-05</c:v>
                </c:pt>
                <c:pt idx="96">
                  <c:v>6.53e-05</c:v>
                </c:pt>
                <c:pt idx="97">
                  <c:v>5.763e-05</c:v>
                </c:pt>
                <c:pt idx="98">
                  <c:v>5.086e-05</c:v>
                </c:pt>
                <c:pt idx="99">
                  <c:v>4.488e-05</c:v>
                </c:pt>
                <c:pt idx="100">
                  <c:v>3.961e-05</c:v>
                </c:pt>
              </c:numCache>
            </c:numRef>
          </c:yVal>
          <c:smooth val="1"/>
        </c:ser>
        <c:ser>
          <c:idx val="1"/>
          <c:order val="1"/>
          <c:tx>
            <c:v>LOGISTICA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GUIA!$AY$6:$AY$106</c:f>
              <c:numCache>
                <c:formatCode>General</c:formatCode>
                <c:ptCount val="10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  <c:pt idx="45">
                  <c:v>17.5</c:v>
                </c:pt>
                <c:pt idx="46">
                  <c:v>18</c:v>
                </c:pt>
                <c:pt idx="47">
                  <c:v>18.5</c:v>
                </c:pt>
                <c:pt idx="48">
                  <c:v>19</c:v>
                </c:pt>
                <c:pt idx="49">
                  <c:v>19.5</c:v>
                </c:pt>
                <c:pt idx="50">
                  <c:v>20</c:v>
                </c:pt>
                <c:pt idx="51">
                  <c:v>20.5</c:v>
                </c:pt>
                <c:pt idx="52">
                  <c:v>21</c:v>
                </c:pt>
                <c:pt idx="53">
                  <c:v>21.5</c:v>
                </c:pt>
                <c:pt idx="54">
                  <c:v>22</c:v>
                </c:pt>
                <c:pt idx="55">
                  <c:v>22.5</c:v>
                </c:pt>
                <c:pt idx="56">
                  <c:v>23</c:v>
                </c:pt>
                <c:pt idx="57">
                  <c:v>23.5</c:v>
                </c:pt>
                <c:pt idx="58">
                  <c:v>24</c:v>
                </c:pt>
                <c:pt idx="59">
                  <c:v>24.5</c:v>
                </c:pt>
                <c:pt idx="60">
                  <c:v>25</c:v>
                </c:pt>
                <c:pt idx="61">
                  <c:v>25.5</c:v>
                </c:pt>
                <c:pt idx="62">
                  <c:v>26</c:v>
                </c:pt>
                <c:pt idx="63">
                  <c:v>26.5</c:v>
                </c:pt>
                <c:pt idx="64">
                  <c:v>27</c:v>
                </c:pt>
                <c:pt idx="65">
                  <c:v>27.5</c:v>
                </c:pt>
                <c:pt idx="66">
                  <c:v>28</c:v>
                </c:pt>
                <c:pt idx="67">
                  <c:v>28.5</c:v>
                </c:pt>
                <c:pt idx="68">
                  <c:v>29</c:v>
                </c:pt>
                <c:pt idx="69">
                  <c:v>29.5</c:v>
                </c:pt>
                <c:pt idx="70">
                  <c:v>30</c:v>
                </c:pt>
                <c:pt idx="71">
                  <c:v>30.5</c:v>
                </c:pt>
                <c:pt idx="72">
                  <c:v>31</c:v>
                </c:pt>
                <c:pt idx="73">
                  <c:v>31.5</c:v>
                </c:pt>
                <c:pt idx="74">
                  <c:v>32</c:v>
                </c:pt>
                <c:pt idx="75">
                  <c:v>32.5</c:v>
                </c:pt>
                <c:pt idx="76">
                  <c:v>33</c:v>
                </c:pt>
                <c:pt idx="77">
                  <c:v>33.5</c:v>
                </c:pt>
                <c:pt idx="78">
                  <c:v>34</c:v>
                </c:pt>
                <c:pt idx="79">
                  <c:v>34.5</c:v>
                </c:pt>
                <c:pt idx="80">
                  <c:v>35</c:v>
                </c:pt>
                <c:pt idx="81">
                  <c:v>35.5</c:v>
                </c:pt>
                <c:pt idx="82">
                  <c:v>36</c:v>
                </c:pt>
                <c:pt idx="83">
                  <c:v>36.5</c:v>
                </c:pt>
                <c:pt idx="84">
                  <c:v>37</c:v>
                </c:pt>
                <c:pt idx="85">
                  <c:v>37.5</c:v>
                </c:pt>
                <c:pt idx="86">
                  <c:v>38</c:v>
                </c:pt>
                <c:pt idx="87">
                  <c:v>38.5</c:v>
                </c:pt>
                <c:pt idx="88">
                  <c:v>39</c:v>
                </c:pt>
                <c:pt idx="89">
                  <c:v>39.5</c:v>
                </c:pt>
                <c:pt idx="90">
                  <c:v>40</c:v>
                </c:pt>
                <c:pt idx="91">
                  <c:v>40.5</c:v>
                </c:pt>
                <c:pt idx="92">
                  <c:v>41</c:v>
                </c:pt>
                <c:pt idx="93">
                  <c:v>41.5</c:v>
                </c:pt>
                <c:pt idx="94">
                  <c:v>42</c:v>
                </c:pt>
                <c:pt idx="95">
                  <c:v>42.5</c:v>
                </c:pt>
                <c:pt idx="96">
                  <c:v>43</c:v>
                </c:pt>
                <c:pt idx="97">
                  <c:v>43.5</c:v>
                </c:pt>
                <c:pt idx="98">
                  <c:v>44</c:v>
                </c:pt>
                <c:pt idx="99">
                  <c:v>44.5</c:v>
                </c:pt>
                <c:pt idx="100">
                  <c:v>45</c:v>
                </c:pt>
              </c:numCache>
            </c:numRef>
          </c:xVal>
          <c:yVal>
            <c:numRef>
              <c:f>GUIA!$BA$6:$BA$106</c:f>
              <c:numCache>
                <c:formatCode>General</c:formatCode>
                <c:ptCount val="101"/>
                <c:pt idx="0">
                  <c:v>0.00042313</c:v>
                </c:pt>
                <c:pt idx="1">
                  <c:v>0.00049964</c:v>
                </c:pt>
                <c:pt idx="2">
                  <c:v>0.00058994</c:v>
                </c:pt>
                <c:pt idx="3">
                  <c:v>0.00069648</c:v>
                </c:pt>
                <c:pt idx="4">
                  <c:v>0.00082217</c:v>
                </c:pt>
                <c:pt idx="5">
                  <c:v>0.00097041</c:v>
                </c:pt>
                <c:pt idx="6">
                  <c:v>0.00114519</c:v>
                </c:pt>
                <c:pt idx="7">
                  <c:v>0.00135119</c:v>
                </c:pt>
                <c:pt idx="8">
                  <c:v>0.00159389</c:v>
                </c:pt>
                <c:pt idx="9">
                  <c:v>0.00187968</c:v>
                </c:pt>
                <c:pt idx="10">
                  <c:v>0.00221602</c:v>
                </c:pt>
                <c:pt idx="11">
                  <c:v>0.00261157</c:v>
                </c:pt>
                <c:pt idx="12">
                  <c:v>0.00307639</c:v>
                </c:pt>
                <c:pt idx="13">
                  <c:v>0.00362208</c:v>
                </c:pt>
                <c:pt idx="14">
                  <c:v>0.00426198</c:v>
                </c:pt>
                <c:pt idx="15">
                  <c:v>0.00501136</c:v>
                </c:pt>
                <c:pt idx="16">
                  <c:v>0.00588757</c:v>
                </c:pt>
                <c:pt idx="17">
                  <c:v>0.00691019</c:v>
                </c:pt>
                <c:pt idx="18">
                  <c:v>0.00810107</c:v>
                </c:pt>
                <c:pt idx="19">
                  <c:v>0.009484340000000001</c:v>
                </c:pt>
                <c:pt idx="20">
                  <c:v>0.01108624</c:v>
                </c:pt>
                <c:pt idx="21">
                  <c:v>0.01293474</c:v>
                </c:pt>
                <c:pt idx="22">
                  <c:v>0.01505889</c:v>
                </c:pt>
                <c:pt idx="23">
                  <c:v>0.01748785</c:v>
                </c:pt>
                <c:pt idx="24">
                  <c:v>0.02024939</c:v>
                </c:pt>
                <c:pt idx="25">
                  <c:v>0.02336791</c:v>
                </c:pt>
                <c:pt idx="26">
                  <c:v>0.02686172</c:v>
                </c:pt>
                <c:pt idx="27">
                  <c:v>0.03073982</c:v>
                </c:pt>
                <c:pt idx="28">
                  <c:v>0.03499786</c:v>
                </c:pt>
                <c:pt idx="29">
                  <c:v>0.03961378</c:v>
                </c:pt>
                <c:pt idx="30">
                  <c:v>0.04454324</c:v>
                </c:pt>
                <c:pt idx="31">
                  <c:v>0.04971548</c:v>
                </c:pt>
                <c:pt idx="32">
                  <c:v>0.05503034</c:v>
                </c:pt>
                <c:pt idx="33">
                  <c:v>0.06035724</c:v>
                </c:pt>
                <c:pt idx="34">
                  <c:v>0.06553731</c:v>
                </c:pt>
                <c:pt idx="35">
                  <c:v>0.07038920999999999</c:v>
                </c:pt>
                <c:pt idx="36">
                  <c:v>0.07471912999999999</c:v>
                </c:pt>
                <c:pt idx="37">
                  <c:v>0.07833457000000001</c:v>
                </c:pt>
                <c:pt idx="38">
                  <c:v>0.08106072</c:v>
                </c:pt>
                <c:pt idx="39">
                  <c:v>0.08275730000000001</c:v>
                </c:pt>
                <c:pt idx="40">
                  <c:v>0.08333333</c:v>
                </c:pt>
                <c:pt idx="41">
                  <c:v>0.08275730000000001</c:v>
                </c:pt>
                <c:pt idx="42">
                  <c:v>0.08106072</c:v>
                </c:pt>
                <c:pt idx="43">
                  <c:v>0.07833457000000001</c:v>
                </c:pt>
                <c:pt idx="44">
                  <c:v>0.07471912999999999</c:v>
                </c:pt>
                <c:pt idx="45">
                  <c:v>0.07038920999999999</c:v>
                </c:pt>
                <c:pt idx="46">
                  <c:v>0.06553731</c:v>
                </c:pt>
                <c:pt idx="47">
                  <c:v>0.06035724</c:v>
                </c:pt>
                <c:pt idx="48">
                  <c:v>0.05503034</c:v>
                </c:pt>
                <c:pt idx="49">
                  <c:v>0.04971548</c:v>
                </c:pt>
                <c:pt idx="50">
                  <c:v>0.04454324</c:v>
                </c:pt>
                <c:pt idx="51">
                  <c:v>0.03961378</c:v>
                </c:pt>
                <c:pt idx="52">
                  <c:v>0.03499786</c:v>
                </c:pt>
                <c:pt idx="53">
                  <c:v>0.03073982</c:v>
                </c:pt>
                <c:pt idx="54">
                  <c:v>0.02686172</c:v>
                </c:pt>
                <c:pt idx="55">
                  <c:v>0.02336791</c:v>
                </c:pt>
                <c:pt idx="56">
                  <c:v>0.02024939</c:v>
                </c:pt>
                <c:pt idx="57">
                  <c:v>0.01748785</c:v>
                </c:pt>
                <c:pt idx="58">
                  <c:v>0.01505889</c:v>
                </c:pt>
                <c:pt idx="59">
                  <c:v>0.01293474</c:v>
                </c:pt>
                <c:pt idx="60">
                  <c:v>0.01108624</c:v>
                </c:pt>
                <c:pt idx="61">
                  <c:v>0.009484340000000001</c:v>
                </c:pt>
                <c:pt idx="62">
                  <c:v>0.00810107</c:v>
                </c:pt>
                <c:pt idx="63">
                  <c:v>0.00691019</c:v>
                </c:pt>
                <c:pt idx="64">
                  <c:v>0.00588757</c:v>
                </c:pt>
                <c:pt idx="65">
                  <c:v>0.00501136</c:v>
                </c:pt>
                <c:pt idx="66">
                  <c:v>0.00426198</c:v>
                </c:pt>
                <c:pt idx="67">
                  <c:v>0.00362208</c:v>
                </c:pt>
                <c:pt idx="68">
                  <c:v>0.00307639</c:v>
                </c:pt>
                <c:pt idx="69">
                  <c:v>0.00261157</c:v>
                </c:pt>
                <c:pt idx="70">
                  <c:v>0.00221602</c:v>
                </c:pt>
                <c:pt idx="71">
                  <c:v>0.00187968</c:v>
                </c:pt>
                <c:pt idx="72">
                  <c:v>0.00159389</c:v>
                </c:pt>
                <c:pt idx="73">
                  <c:v>0.00135119</c:v>
                </c:pt>
                <c:pt idx="74">
                  <c:v>0.00114519</c:v>
                </c:pt>
                <c:pt idx="75">
                  <c:v>0.00097041</c:v>
                </c:pt>
                <c:pt idx="76">
                  <c:v>0.00082217</c:v>
                </c:pt>
                <c:pt idx="77">
                  <c:v>0.00069648</c:v>
                </c:pt>
                <c:pt idx="78">
                  <c:v>0.00058994</c:v>
                </c:pt>
                <c:pt idx="79">
                  <c:v>0.00049964</c:v>
                </c:pt>
                <c:pt idx="80">
                  <c:v>0.00042313</c:v>
                </c:pt>
                <c:pt idx="81">
                  <c:v>0.00035831</c:v>
                </c:pt>
                <c:pt idx="82">
                  <c:v>0.00030341</c:v>
                </c:pt>
                <c:pt idx="83">
                  <c:v>0.0002569</c:v>
                </c:pt>
                <c:pt idx="84">
                  <c:v>0.00021751</c:v>
                </c:pt>
                <c:pt idx="85">
                  <c:v>0.00018416</c:v>
                </c:pt>
                <c:pt idx="86">
                  <c:v>0.00015591</c:v>
                </c:pt>
                <c:pt idx="87">
                  <c:v>0.000132</c:v>
                </c:pt>
                <c:pt idx="88">
                  <c:v>0.00011175</c:v>
                </c:pt>
                <c:pt idx="89">
                  <c:v>9.46e-05</c:v>
                </c:pt>
                <c:pt idx="90">
                  <c:v>8.008000000000001e-05</c:v>
                </c:pt>
                <c:pt idx="91">
                  <c:v>6.779999999999999e-05</c:v>
                </c:pt>
                <c:pt idx="92">
                  <c:v>5.739e-05</c:v>
                </c:pt>
                <c:pt idx="93">
                  <c:v>4.858e-05</c:v>
                </c:pt>
                <c:pt idx="94">
                  <c:v>4.113e-05</c:v>
                </c:pt>
                <c:pt idx="95">
                  <c:v>3.481e-05</c:v>
                </c:pt>
                <c:pt idx="96">
                  <c:v>2.947e-05</c:v>
                </c:pt>
                <c:pt idx="97">
                  <c:v>2.495e-05</c:v>
                </c:pt>
                <c:pt idx="98">
                  <c:v>2.112e-05</c:v>
                </c:pt>
                <c:pt idx="99">
                  <c:v>1.788e-05</c:v>
                </c:pt>
                <c:pt idx="100">
                  <c:v>1.513e-05</c:v>
                </c:pt>
              </c:numCache>
            </c:numRef>
          </c:yVal>
          <c:smooth val="1"/>
        </c:ser>
        <c:axId val="50060001"/>
        <c:axId val="50060002"/>
      </c:scatterChart>
      <c:valAx>
        <c:axId val="5006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60002"/>
        <c:crosses val="autoZero"/>
        <c:crossBetween val="midCat"/>
      </c:valAx>
      <c:valAx>
        <c:axId val="5006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6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PARETO (forma 2,5; mínimo 100): cola pesada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PARETO</c:v>
          </c:tx>
          <c:spPr>
            <a:ln w="28575">
              <a:solidFill>
                <a:srgbClr val="FF433D"/>
              </a:solidFill>
            </a:ln>
          </c:spPr>
          <c:marker>
            <c:symbol val="none"/>
          </c:marker>
          <c:xVal>
            <c:numRef>
              <c:f>GUIA!$BC$6:$BC$106</c:f>
              <c:numCache>
                <c:formatCode>General</c:formatCode>
                <c:ptCount val="101"/>
                <c:pt idx="0">
                  <c:v>100</c:v>
                </c:pt>
                <c:pt idx="1">
                  <c:v>105</c:v>
                </c:pt>
                <c:pt idx="2">
                  <c:v>110</c:v>
                </c:pt>
                <c:pt idx="3">
                  <c:v>115</c:v>
                </c:pt>
                <c:pt idx="4">
                  <c:v>120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180</c:v>
                </c:pt>
                <c:pt idx="17">
                  <c:v>185</c:v>
                </c:pt>
                <c:pt idx="18">
                  <c:v>190</c:v>
                </c:pt>
                <c:pt idx="19">
                  <c:v>195</c:v>
                </c:pt>
                <c:pt idx="20">
                  <c:v>200</c:v>
                </c:pt>
                <c:pt idx="21">
                  <c:v>205</c:v>
                </c:pt>
                <c:pt idx="22">
                  <c:v>210</c:v>
                </c:pt>
                <c:pt idx="23">
                  <c:v>215</c:v>
                </c:pt>
                <c:pt idx="24">
                  <c:v>220</c:v>
                </c:pt>
                <c:pt idx="25">
                  <c:v>225</c:v>
                </c:pt>
                <c:pt idx="26">
                  <c:v>230</c:v>
                </c:pt>
                <c:pt idx="27">
                  <c:v>235</c:v>
                </c:pt>
                <c:pt idx="28">
                  <c:v>240</c:v>
                </c:pt>
                <c:pt idx="29">
                  <c:v>245</c:v>
                </c:pt>
                <c:pt idx="30">
                  <c:v>250</c:v>
                </c:pt>
                <c:pt idx="31">
                  <c:v>255</c:v>
                </c:pt>
                <c:pt idx="32">
                  <c:v>260</c:v>
                </c:pt>
                <c:pt idx="33">
                  <c:v>265</c:v>
                </c:pt>
                <c:pt idx="34">
                  <c:v>270</c:v>
                </c:pt>
                <c:pt idx="35">
                  <c:v>275</c:v>
                </c:pt>
                <c:pt idx="36">
                  <c:v>280</c:v>
                </c:pt>
                <c:pt idx="37">
                  <c:v>285</c:v>
                </c:pt>
                <c:pt idx="38">
                  <c:v>290</c:v>
                </c:pt>
                <c:pt idx="39">
                  <c:v>295</c:v>
                </c:pt>
                <c:pt idx="40">
                  <c:v>300</c:v>
                </c:pt>
                <c:pt idx="41">
                  <c:v>305</c:v>
                </c:pt>
                <c:pt idx="42">
                  <c:v>310</c:v>
                </c:pt>
                <c:pt idx="43">
                  <c:v>315</c:v>
                </c:pt>
                <c:pt idx="44">
                  <c:v>320</c:v>
                </c:pt>
                <c:pt idx="45">
                  <c:v>325</c:v>
                </c:pt>
                <c:pt idx="46">
                  <c:v>330</c:v>
                </c:pt>
                <c:pt idx="47">
                  <c:v>335</c:v>
                </c:pt>
                <c:pt idx="48">
                  <c:v>340</c:v>
                </c:pt>
                <c:pt idx="49">
                  <c:v>345</c:v>
                </c:pt>
                <c:pt idx="50">
                  <c:v>350</c:v>
                </c:pt>
                <c:pt idx="51">
                  <c:v>355</c:v>
                </c:pt>
                <c:pt idx="52">
                  <c:v>360</c:v>
                </c:pt>
                <c:pt idx="53">
                  <c:v>365</c:v>
                </c:pt>
                <c:pt idx="54">
                  <c:v>370</c:v>
                </c:pt>
                <c:pt idx="55">
                  <c:v>375</c:v>
                </c:pt>
                <c:pt idx="56">
                  <c:v>380</c:v>
                </c:pt>
                <c:pt idx="57">
                  <c:v>385</c:v>
                </c:pt>
                <c:pt idx="58">
                  <c:v>390</c:v>
                </c:pt>
                <c:pt idx="59">
                  <c:v>395</c:v>
                </c:pt>
                <c:pt idx="60">
                  <c:v>400</c:v>
                </c:pt>
                <c:pt idx="61">
                  <c:v>405</c:v>
                </c:pt>
                <c:pt idx="62">
                  <c:v>410</c:v>
                </c:pt>
                <c:pt idx="63">
                  <c:v>415</c:v>
                </c:pt>
                <c:pt idx="64">
                  <c:v>420</c:v>
                </c:pt>
                <c:pt idx="65">
                  <c:v>425</c:v>
                </c:pt>
                <c:pt idx="66">
                  <c:v>430</c:v>
                </c:pt>
                <c:pt idx="67">
                  <c:v>435</c:v>
                </c:pt>
                <c:pt idx="68">
                  <c:v>440</c:v>
                </c:pt>
                <c:pt idx="69">
                  <c:v>445</c:v>
                </c:pt>
                <c:pt idx="70">
                  <c:v>450</c:v>
                </c:pt>
                <c:pt idx="71">
                  <c:v>455</c:v>
                </c:pt>
                <c:pt idx="72">
                  <c:v>460</c:v>
                </c:pt>
                <c:pt idx="73">
                  <c:v>465</c:v>
                </c:pt>
                <c:pt idx="74">
                  <c:v>470</c:v>
                </c:pt>
                <c:pt idx="75">
                  <c:v>475</c:v>
                </c:pt>
                <c:pt idx="76">
                  <c:v>480</c:v>
                </c:pt>
                <c:pt idx="77">
                  <c:v>485</c:v>
                </c:pt>
                <c:pt idx="78">
                  <c:v>490</c:v>
                </c:pt>
                <c:pt idx="79">
                  <c:v>495</c:v>
                </c:pt>
                <c:pt idx="80">
                  <c:v>500</c:v>
                </c:pt>
                <c:pt idx="81">
                  <c:v>505</c:v>
                </c:pt>
                <c:pt idx="82">
                  <c:v>510</c:v>
                </c:pt>
                <c:pt idx="83">
                  <c:v>515</c:v>
                </c:pt>
                <c:pt idx="84">
                  <c:v>520</c:v>
                </c:pt>
                <c:pt idx="85">
                  <c:v>525</c:v>
                </c:pt>
                <c:pt idx="86">
                  <c:v>530</c:v>
                </c:pt>
                <c:pt idx="87">
                  <c:v>535</c:v>
                </c:pt>
                <c:pt idx="88">
                  <c:v>540</c:v>
                </c:pt>
                <c:pt idx="89">
                  <c:v>545</c:v>
                </c:pt>
                <c:pt idx="90">
                  <c:v>550</c:v>
                </c:pt>
                <c:pt idx="91">
                  <c:v>555</c:v>
                </c:pt>
                <c:pt idx="92">
                  <c:v>560</c:v>
                </c:pt>
                <c:pt idx="93">
                  <c:v>565</c:v>
                </c:pt>
                <c:pt idx="94">
                  <c:v>570</c:v>
                </c:pt>
                <c:pt idx="95">
                  <c:v>575</c:v>
                </c:pt>
                <c:pt idx="96">
                  <c:v>580</c:v>
                </c:pt>
                <c:pt idx="97">
                  <c:v>585</c:v>
                </c:pt>
                <c:pt idx="98">
                  <c:v>590</c:v>
                </c:pt>
                <c:pt idx="99">
                  <c:v>595</c:v>
                </c:pt>
                <c:pt idx="100">
                  <c:v>600</c:v>
                </c:pt>
              </c:numCache>
            </c:numRef>
          </c:xVal>
          <c:yVal>
            <c:numRef>
              <c:f>GUIA!$BD$6:$BD$106</c:f>
              <c:numCache>
                <c:formatCode>General</c:formatCode>
                <c:ptCount val="101"/>
                <c:pt idx="0">
                  <c:v>0.025</c:v>
                </c:pt>
                <c:pt idx="1">
                  <c:v>0.02107548</c:v>
                </c:pt>
                <c:pt idx="2">
                  <c:v>0.01790876</c:v>
                </c:pt>
                <c:pt idx="3">
                  <c:v>0.01532843</c:v>
                </c:pt>
                <c:pt idx="4">
                  <c:v>0.01320704</c:v>
                </c:pt>
                <c:pt idx="5">
                  <c:v>0.01144867</c:v>
                </c:pt>
                <c:pt idx="6">
                  <c:v>0.00998018</c:v>
                </c:pt>
                <c:pt idx="7">
                  <c:v>0.00874524</c:v>
                </c:pt>
                <c:pt idx="8">
                  <c:v>0.00770002</c:v>
                </c:pt>
                <c:pt idx="9">
                  <c:v>0.00681008</c:v>
                </c:pt>
                <c:pt idx="10">
                  <c:v>0.00604812</c:v>
                </c:pt>
                <c:pt idx="11">
                  <c:v>0.00539236</c:v>
                </c:pt>
                <c:pt idx="12">
                  <c:v>0.00482525</c:v>
                </c:pt>
                <c:pt idx="13">
                  <c:v>0.00433258</c:v>
                </c:pt>
                <c:pt idx="14">
                  <c:v>0.00390273</c:v>
                </c:pt>
                <c:pt idx="15">
                  <c:v>0.0035262</c:v>
                </c:pt>
                <c:pt idx="16">
                  <c:v>0.00319511</c:v>
                </c:pt>
                <c:pt idx="17">
                  <c:v>0.00290295</c:v>
                </c:pt>
                <c:pt idx="18">
                  <c:v>0.00264425</c:v>
                </c:pt>
                <c:pt idx="19">
                  <c:v>0.00241445</c:v>
                </c:pt>
                <c:pt idx="20">
                  <c:v>0.00220971</c:v>
                </c:pt>
                <c:pt idx="21">
                  <c:v>0.00202676</c:v>
                </c:pt>
                <c:pt idx="22">
                  <c:v>0.00186283</c:v>
                </c:pt>
                <c:pt idx="23">
                  <c:v>0.00171556</c:v>
                </c:pt>
                <c:pt idx="24">
                  <c:v>0.00158293</c:v>
                </c:pt>
                <c:pt idx="25">
                  <c:v>0.00146319</c:v>
                </c:pt>
                <c:pt idx="26">
                  <c:v>0.00135485</c:v>
                </c:pt>
                <c:pt idx="27">
                  <c:v>0.00125662</c:v>
                </c:pt>
                <c:pt idx="28">
                  <c:v>0.00116735</c:v>
                </c:pt>
                <c:pt idx="29">
                  <c:v>0.00108607</c:v>
                </c:pt>
                <c:pt idx="30">
                  <c:v>0.00101193</c:v>
                </c:pt>
                <c:pt idx="31">
                  <c:v>0.00094417</c:v>
                </c:pt>
                <c:pt idx="32">
                  <c:v>0.00088213</c:v>
                </c:pt>
                <c:pt idx="33">
                  <c:v>0.00082524</c:v>
                </c:pt>
                <c:pt idx="34">
                  <c:v>0.00077298</c:v>
                </c:pt>
                <c:pt idx="35">
                  <c:v>0.0007249</c:v>
                </c:pt>
                <c:pt idx="36">
                  <c:v>0.00068059</c:v>
                </c:pt>
                <c:pt idx="37">
                  <c:v>0.00063971</c:v>
                </c:pt>
                <c:pt idx="38">
                  <c:v>0.00060193</c:v>
                </c:pt>
                <c:pt idx="39">
                  <c:v>0.00056697</c:v>
                </c:pt>
                <c:pt idx="40">
                  <c:v>0.00053458</c:v>
                </c:pt>
                <c:pt idx="41">
                  <c:v>0.00050453</c:v>
                </c:pt>
                <c:pt idx="42">
                  <c:v>0.00047662</c:v>
                </c:pt>
                <c:pt idx="43">
                  <c:v>0.00045066</c:v>
                </c:pt>
                <c:pt idx="44">
                  <c:v>0.0004265</c:v>
                </c:pt>
                <c:pt idx="45">
                  <c:v>0.00040397</c:v>
                </c:pt>
                <c:pt idx="46">
                  <c:v>0.00038295</c:v>
                </c:pt>
                <c:pt idx="47">
                  <c:v>0.00036331</c:v>
                </c:pt>
                <c:pt idx="48">
                  <c:v>0.00034496</c:v>
                </c:pt>
                <c:pt idx="49">
                  <c:v>0.00032777</c:v>
                </c:pt>
                <c:pt idx="50">
                  <c:v>0.00031167</c:v>
                </c:pt>
                <c:pt idx="51">
                  <c:v>0.00029658</c:v>
                </c:pt>
                <c:pt idx="52">
                  <c:v>0.00028241</c:v>
                </c:pt>
                <c:pt idx="53">
                  <c:v>0.0002691</c:v>
                </c:pt>
                <c:pt idx="54">
                  <c:v>0.00025659</c:v>
                </c:pt>
                <c:pt idx="55">
                  <c:v>0.00024481</c:v>
                </c:pt>
                <c:pt idx="56">
                  <c:v>0.00023372</c:v>
                </c:pt>
                <c:pt idx="57">
                  <c:v>0.00022327</c:v>
                </c:pt>
                <c:pt idx="58">
                  <c:v>0.00021341</c:v>
                </c:pt>
                <c:pt idx="59">
                  <c:v>0.0002041</c:v>
                </c:pt>
                <c:pt idx="60">
                  <c:v>0.00019531</c:v>
                </c:pt>
                <c:pt idx="61">
                  <c:v>0.000187</c:v>
                </c:pt>
                <c:pt idx="62">
                  <c:v>0.00017914</c:v>
                </c:pt>
                <c:pt idx="63">
                  <c:v>0.0001717</c:v>
                </c:pt>
                <c:pt idx="64">
                  <c:v>0.00016465</c:v>
                </c:pt>
                <c:pt idx="65">
                  <c:v>0.00015797</c:v>
                </c:pt>
                <c:pt idx="66">
                  <c:v>0.00015164</c:v>
                </c:pt>
                <c:pt idx="67">
                  <c:v>0.00014562</c:v>
                </c:pt>
                <c:pt idx="68">
                  <c:v>0.00013991</c:v>
                </c:pt>
                <c:pt idx="69">
                  <c:v>0.00013449</c:v>
                </c:pt>
                <c:pt idx="70">
                  <c:v>0.00012933</c:v>
                </c:pt>
                <c:pt idx="71">
                  <c:v>0.00012442</c:v>
                </c:pt>
                <c:pt idx="72">
                  <c:v>0.00011975</c:v>
                </c:pt>
                <c:pt idx="73">
                  <c:v>0.00011531</c:v>
                </c:pt>
                <c:pt idx="74">
                  <c:v>0.00011107</c:v>
                </c:pt>
                <c:pt idx="75">
                  <c:v>0.00010703</c:v>
                </c:pt>
                <c:pt idx="76">
                  <c:v>0.00010318</c:v>
                </c:pt>
                <c:pt idx="77">
                  <c:v>9.950000000000001e-05</c:v>
                </c:pt>
                <c:pt idx="78">
                  <c:v>9.6e-05</c:v>
                </c:pt>
                <c:pt idx="79">
                  <c:v>9.263999999999999e-05</c:v>
                </c:pt>
                <c:pt idx="80">
                  <c:v>8.944e-05</c:v>
                </c:pt>
                <c:pt idx="81">
                  <c:v>8.638e-05</c:v>
                </c:pt>
                <c:pt idx="82">
                  <c:v>8.345e-05</c:v>
                </c:pt>
                <c:pt idx="83">
                  <c:v>8.065e-05</c:v>
                </c:pt>
                <c:pt idx="84">
                  <c:v>7.797e-05</c:v>
                </c:pt>
                <c:pt idx="85">
                  <c:v>7.54e-05</c:v>
                </c:pt>
                <c:pt idx="86">
                  <c:v>7.294e-05</c:v>
                </c:pt>
                <c:pt idx="87">
                  <c:v>7.058000000000001e-05</c:v>
                </c:pt>
                <c:pt idx="88">
                  <c:v>6.832e-05</c:v>
                </c:pt>
                <c:pt idx="89">
                  <c:v>6.615e-05</c:v>
                </c:pt>
                <c:pt idx="90">
                  <c:v>6.407e-05</c:v>
                </c:pt>
                <c:pt idx="91">
                  <c:v>6.206999999999999e-05</c:v>
                </c:pt>
                <c:pt idx="92">
                  <c:v>6.016e-05</c:v>
                </c:pt>
                <c:pt idx="93">
                  <c:v>5.831e-05</c:v>
                </c:pt>
                <c:pt idx="94">
                  <c:v>5.654e-05</c:v>
                </c:pt>
                <c:pt idx="95">
                  <c:v>5.484e-05</c:v>
                </c:pt>
                <c:pt idx="96">
                  <c:v>5.32e-05</c:v>
                </c:pt>
                <c:pt idx="97">
                  <c:v>5.163e-05</c:v>
                </c:pt>
                <c:pt idx="98">
                  <c:v>5.011e-05</c:v>
                </c:pt>
                <c:pt idx="99">
                  <c:v>4.866e-05</c:v>
                </c:pt>
                <c:pt idx="100">
                  <c:v>4.725e-05</c:v>
                </c:pt>
              </c:numCache>
            </c:numRef>
          </c:yVal>
          <c:smooth val="1"/>
        </c:ser>
        <c:axId val="50070001"/>
        <c:axId val="50070002"/>
      </c:scatterChart>
      <c:valAx>
        <c:axId val="5007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70002"/>
        <c:crosses val="autoZero"/>
        <c:crossBetween val="midCat"/>
      </c:valAx>
      <c:valAx>
        <c:axId val="5007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7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POISSON (media 3) y BINOMIAL (n 40; p 0,15)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POISSON</c:v>
          </c:tx>
          <c:spPr>
            <a:solidFill>
              <a:srgbClr val="FF6600"/>
            </a:solidFill>
            <a:ln>
              <a:solidFill>
                <a:srgbClr val="333333"/>
              </a:solidFill>
            </a:ln>
          </c:spPr>
          <c:cat>
            <c:numRef>
              <c:f>GUIA!$BG$6:$BG$18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GUIA!$BH$6:$BH$18</c:f>
              <c:numCache>
                <c:formatCode>General</c:formatCode>
                <c:ptCount val="13"/>
                <c:pt idx="0">
                  <c:v>0.04978707</c:v>
                </c:pt>
                <c:pt idx="1">
                  <c:v>0.14936121</c:v>
                </c:pt>
                <c:pt idx="2">
                  <c:v>0.22404181</c:v>
                </c:pt>
                <c:pt idx="3">
                  <c:v>0.22404181</c:v>
                </c:pt>
                <c:pt idx="4">
                  <c:v>0.16803136</c:v>
                </c:pt>
                <c:pt idx="5">
                  <c:v>0.10081881</c:v>
                </c:pt>
                <c:pt idx="6">
                  <c:v>0.05040941</c:v>
                </c:pt>
                <c:pt idx="7">
                  <c:v>0.02160403</c:v>
                </c:pt>
                <c:pt idx="8">
                  <c:v>0.008101509999999999</c:v>
                </c:pt>
                <c:pt idx="9">
                  <c:v>0.0027005</c:v>
                </c:pt>
                <c:pt idx="10">
                  <c:v>0.00081015</c:v>
                </c:pt>
                <c:pt idx="11">
                  <c:v>0.00022095</c:v>
                </c:pt>
                <c:pt idx="12">
                  <c:v>5.524e-05</c:v>
                </c:pt>
              </c:numCache>
            </c:numRef>
          </c:val>
        </c:ser>
        <c:ser>
          <c:idx val="1"/>
          <c:order val="1"/>
          <c:tx>
            <c:v>BINOMIAL</c:v>
          </c:tx>
          <c:spPr>
            <a:solidFill>
              <a:srgbClr val="0068FF"/>
            </a:solidFill>
            <a:ln>
              <a:solidFill>
                <a:srgbClr val="333333"/>
              </a:solidFill>
            </a:ln>
          </c:spPr>
          <c:cat>
            <c:numRef>
              <c:f>GUIA!$BG$6:$BG$18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GUIA!$BI$6:$BI$18</c:f>
              <c:numCache>
                <c:formatCode>General</c:formatCode>
                <c:ptCount val="13"/>
                <c:pt idx="0">
                  <c:v>0.0015023</c:v>
                </c:pt>
                <c:pt idx="1">
                  <c:v>0.01060448</c:v>
                </c:pt>
                <c:pt idx="2">
                  <c:v>0.03649189</c:v>
                </c:pt>
                <c:pt idx="3">
                  <c:v>0.08157010000000001</c:v>
                </c:pt>
                <c:pt idx="4">
                  <c:v>0.13315119</c:v>
                </c:pt>
                <c:pt idx="5">
                  <c:v>0.16918033</c:v>
                </c:pt>
                <c:pt idx="6">
                  <c:v>0.17415622</c:v>
                </c:pt>
                <c:pt idx="7">
                  <c:v>0.14927676</c:v>
                </c:pt>
                <c:pt idx="8">
                  <c:v>0.1086647</c:v>
                </c:pt>
                <c:pt idx="9">
                  <c:v>0.06818177</c:v>
                </c:pt>
                <c:pt idx="10">
                  <c:v>0.03729944</c:v>
                </c:pt>
                <c:pt idx="11">
                  <c:v>0.0179516</c:v>
                </c:pt>
                <c:pt idx="12">
                  <c:v>0.00765583</c:v>
                </c:pt>
              </c:numCache>
            </c:numRef>
          </c:val>
        </c:ser>
        <c:axId val="50080001"/>
        <c:axId val="50080002"/>
      </c:barChart>
      <c:catAx>
        <c:axId val="5008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Número de eventos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80002"/>
        <c:crosses val="autoZero"/>
        <c:auto val="1"/>
        <c:lblAlgn val="ctr"/>
        <c:lblOffset val="100"/>
      </c:catAx>
      <c:valAx>
        <c:axId val="5008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80001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DISCRETA: «0;150000;400000» con «0,6;0,3;0,1»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DISCRETA</c:v>
          </c:tx>
          <c:spPr>
            <a:solidFill>
              <a:srgbClr val="000000"/>
            </a:solidFill>
            <a:ln>
              <a:solidFill>
                <a:srgbClr val="333333"/>
              </a:solidFill>
            </a:ln>
          </c:spPr>
          <c:cat>
            <c:strRef>
              <c:f>GUIA!$BK$6:$BK$8</c:f>
              <c:strCache>
                <c:ptCount val="3"/>
                <c:pt idx="0">
                  <c:v>0</c:v>
                </c:pt>
                <c:pt idx="1">
                  <c:v>150 000</c:v>
                </c:pt>
                <c:pt idx="2">
                  <c:v>400 000</c:v>
                </c:pt>
              </c:strCache>
            </c:strRef>
          </c:cat>
          <c:val>
            <c:numRef>
              <c:f>GUIA!$BL$6:$BL$8</c:f>
              <c:numCache>
                <c:formatCode>General</c:formatCode>
                <c:ptCount val="3"/>
                <c:pt idx="0">
                  <c:v>0.6</c:v>
                </c:pt>
                <c:pt idx="1">
                  <c:v>0.3</c:v>
                </c:pt>
                <c:pt idx="2">
                  <c:v>0.1</c:v>
                </c:pt>
              </c:numCache>
            </c:numRef>
          </c:val>
        </c:ser>
        <c:axId val="50090001"/>
        <c:axId val="50090002"/>
      </c:barChart>
      <c:catAx>
        <c:axId val="5009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 (S/)</a:t>
                </a:r>
              </a:p>
            </c:rich>
          </c:tx>
          <c:layout/>
        </c:title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90002"/>
        <c:crosses val="autoZero"/>
        <c:auto val="1"/>
        <c:lblAlgn val="ctr"/>
        <c:lblOffset val="100"/>
      </c:catAx>
      <c:valAx>
        <c:axId val="5009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90001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TRIGEN (5 / 12 / 30 al 10 %) vs. TRIANGULAR (5 / 12 / 30)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TRIGEN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GUIA!$BO$6:$BO$106</c:f>
              <c:numCache>
                <c:formatCode>General</c:formatCode>
                <c:ptCount val="101"/>
                <c:pt idx="0">
                  <c:v>-3.265448444888327</c:v>
                </c:pt>
                <c:pt idx="1">
                  <c:v>-2.817917288225955</c:v>
                </c:pt>
                <c:pt idx="2">
                  <c:v>-2.370386131563583</c:v>
                </c:pt>
                <c:pt idx="3">
                  <c:v>-1.92285497490121</c:v>
                </c:pt>
                <c:pt idx="4">
                  <c:v>-1.475323818238838</c:v>
                </c:pt>
                <c:pt idx="5">
                  <c:v>-1.027792661576466</c:v>
                </c:pt>
                <c:pt idx="6">
                  <c:v>-0.5802615049140933</c:v>
                </c:pt>
                <c:pt idx="7">
                  <c:v>-0.1327303482517213</c:v>
                </c:pt>
                <c:pt idx="8">
                  <c:v>0.3148008084106513</c:v>
                </c:pt>
                <c:pt idx="9">
                  <c:v>0.7623319650730238</c:v>
                </c:pt>
                <c:pt idx="10">
                  <c:v>1.209863121735395</c:v>
                </c:pt>
                <c:pt idx="11">
                  <c:v>1.657394278397768</c:v>
                </c:pt>
                <c:pt idx="12">
                  <c:v>2.104925435060141</c:v>
                </c:pt>
                <c:pt idx="13">
                  <c:v>2.552456591722513</c:v>
                </c:pt>
                <c:pt idx="14">
                  <c:v>2.999987748384885</c:v>
                </c:pt>
                <c:pt idx="15">
                  <c:v>3.447518905047257</c:v>
                </c:pt>
                <c:pt idx="16">
                  <c:v>3.89505006170963</c:v>
                </c:pt>
                <c:pt idx="17">
                  <c:v>4.342581218372001</c:v>
                </c:pt>
                <c:pt idx="18">
                  <c:v>4.790112375034375</c:v>
                </c:pt>
                <c:pt idx="19">
                  <c:v>5.237643531696746</c:v>
                </c:pt>
                <c:pt idx="20">
                  <c:v>5.685174688359118</c:v>
                </c:pt>
                <c:pt idx="21">
                  <c:v>6.132705845021492</c:v>
                </c:pt>
                <c:pt idx="22">
                  <c:v>6.580237001683863</c:v>
                </c:pt>
                <c:pt idx="23">
                  <c:v>7.027768158346235</c:v>
                </c:pt>
                <c:pt idx="24">
                  <c:v>7.475299315008608</c:v>
                </c:pt>
                <c:pt idx="25">
                  <c:v>7.92283047167098</c:v>
                </c:pt>
                <c:pt idx="26">
                  <c:v>8.370361628333352</c:v>
                </c:pt>
                <c:pt idx="27">
                  <c:v>8.817892784995724</c:v>
                </c:pt>
                <c:pt idx="28">
                  <c:v>9.265423941658096</c:v>
                </c:pt>
                <c:pt idx="29">
                  <c:v>9.712955098320471</c:v>
                </c:pt>
                <c:pt idx="30">
                  <c:v>10.16048625498284</c:v>
                </c:pt>
                <c:pt idx="31">
                  <c:v>10.60801741164521</c:v>
                </c:pt>
                <c:pt idx="32">
                  <c:v>11.05554856830759</c:v>
                </c:pt>
                <c:pt idx="33">
                  <c:v>11.50307972496996</c:v>
                </c:pt>
                <c:pt idx="34">
                  <c:v>11.95061088163233</c:v>
                </c:pt>
                <c:pt idx="35">
                  <c:v>12.3981420382947</c:v>
                </c:pt>
                <c:pt idx="36">
                  <c:v>12.84567319495708</c:v>
                </c:pt>
                <c:pt idx="37">
                  <c:v>13.29320435161945</c:v>
                </c:pt>
                <c:pt idx="38">
                  <c:v>13.74073550828182</c:v>
                </c:pt>
                <c:pt idx="39">
                  <c:v>14.18826666494419</c:v>
                </c:pt>
                <c:pt idx="40">
                  <c:v>14.63579782160656</c:v>
                </c:pt>
                <c:pt idx="41">
                  <c:v>15.08332897826894</c:v>
                </c:pt>
                <c:pt idx="42">
                  <c:v>15.53086013493131</c:v>
                </c:pt>
                <c:pt idx="43">
                  <c:v>15.97839129159368</c:v>
                </c:pt>
                <c:pt idx="44">
                  <c:v>16.42592244825605</c:v>
                </c:pt>
                <c:pt idx="45">
                  <c:v>16.87345360491842</c:v>
                </c:pt>
                <c:pt idx="46">
                  <c:v>17.3209847615808</c:v>
                </c:pt>
                <c:pt idx="47">
                  <c:v>17.76851591824317</c:v>
                </c:pt>
                <c:pt idx="48">
                  <c:v>18.21604707490554</c:v>
                </c:pt>
                <c:pt idx="49">
                  <c:v>18.66357823156791</c:v>
                </c:pt>
                <c:pt idx="50">
                  <c:v>19.11110938823029</c:v>
                </c:pt>
                <c:pt idx="51">
                  <c:v>19.55864054489266</c:v>
                </c:pt>
                <c:pt idx="52">
                  <c:v>20.00617170155503</c:v>
                </c:pt>
                <c:pt idx="53">
                  <c:v>20.4537028582174</c:v>
                </c:pt>
                <c:pt idx="54">
                  <c:v>20.90123401487978</c:v>
                </c:pt>
                <c:pt idx="55">
                  <c:v>21.34876517154215</c:v>
                </c:pt>
                <c:pt idx="56">
                  <c:v>21.79629632820452</c:v>
                </c:pt>
                <c:pt idx="57">
                  <c:v>22.24382748486689</c:v>
                </c:pt>
                <c:pt idx="58">
                  <c:v>22.69135864152927</c:v>
                </c:pt>
                <c:pt idx="59">
                  <c:v>23.13888979819164</c:v>
                </c:pt>
                <c:pt idx="60">
                  <c:v>23.58642095485401</c:v>
                </c:pt>
                <c:pt idx="61">
                  <c:v>24.03395211151638</c:v>
                </c:pt>
                <c:pt idx="62">
                  <c:v>24.48148326817876</c:v>
                </c:pt>
                <c:pt idx="63">
                  <c:v>24.92901442484113</c:v>
                </c:pt>
                <c:pt idx="64">
                  <c:v>25.3765455815035</c:v>
                </c:pt>
                <c:pt idx="65">
                  <c:v>25.82407673816587</c:v>
                </c:pt>
                <c:pt idx="66">
                  <c:v>26.27160789482824</c:v>
                </c:pt>
                <c:pt idx="67">
                  <c:v>26.71913905149062</c:v>
                </c:pt>
                <c:pt idx="68">
                  <c:v>27.16667020815299</c:v>
                </c:pt>
                <c:pt idx="69">
                  <c:v>27.61420136481536</c:v>
                </c:pt>
                <c:pt idx="70">
                  <c:v>28.06173252147773</c:v>
                </c:pt>
                <c:pt idx="71">
                  <c:v>28.5092636781401</c:v>
                </c:pt>
                <c:pt idx="72">
                  <c:v>28.95679483480248</c:v>
                </c:pt>
                <c:pt idx="73">
                  <c:v>29.40432599146485</c:v>
                </c:pt>
                <c:pt idx="74">
                  <c:v>29.85185714812722</c:v>
                </c:pt>
                <c:pt idx="75">
                  <c:v>30.29938830478959</c:v>
                </c:pt>
                <c:pt idx="76">
                  <c:v>30.74691946145197</c:v>
                </c:pt>
                <c:pt idx="77">
                  <c:v>31.19445061811434</c:v>
                </c:pt>
                <c:pt idx="78">
                  <c:v>31.64198177477671</c:v>
                </c:pt>
                <c:pt idx="79">
                  <c:v>32.08951293143908</c:v>
                </c:pt>
                <c:pt idx="80">
                  <c:v>32.53704408810145</c:v>
                </c:pt>
                <c:pt idx="81">
                  <c:v>32.98457524476382</c:v>
                </c:pt>
                <c:pt idx="82">
                  <c:v>33.4321064014262</c:v>
                </c:pt>
                <c:pt idx="83">
                  <c:v>33.87963755808858</c:v>
                </c:pt>
                <c:pt idx="84">
                  <c:v>34.32716871475095</c:v>
                </c:pt>
                <c:pt idx="85">
                  <c:v>34.77469987141331</c:v>
                </c:pt>
                <c:pt idx="86">
                  <c:v>35.22223102807568</c:v>
                </c:pt>
                <c:pt idx="87">
                  <c:v>35.66976218473806</c:v>
                </c:pt>
                <c:pt idx="88">
                  <c:v>36.11729334140043</c:v>
                </c:pt>
                <c:pt idx="89">
                  <c:v>36.5648244980628</c:v>
                </c:pt>
                <c:pt idx="90">
                  <c:v>37.01235565472518</c:v>
                </c:pt>
                <c:pt idx="91">
                  <c:v>37.45988681138755</c:v>
                </c:pt>
                <c:pt idx="92">
                  <c:v>37.90741796804992</c:v>
                </c:pt>
                <c:pt idx="93">
                  <c:v>38.35494912471229</c:v>
                </c:pt>
                <c:pt idx="94">
                  <c:v>38.80248028137467</c:v>
                </c:pt>
                <c:pt idx="95">
                  <c:v>39.25001143803704</c:v>
                </c:pt>
                <c:pt idx="96">
                  <c:v>39.69754259469941</c:v>
                </c:pt>
                <c:pt idx="97">
                  <c:v>40.14507375136179</c:v>
                </c:pt>
                <c:pt idx="98">
                  <c:v>40.59260490802416</c:v>
                </c:pt>
                <c:pt idx="99">
                  <c:v>41.04013606468653</c:v>
                </c:pt>
                <c:pt idx="100">
                  <c:v>41.4876672213489</c:v>
                </c:pt>
              </c:numCache>
            </c:numRef>
          </c:xVal>
          <c:yVal>
            <c:numRef>
              <c:f>GUIA!$BP$6:$BP$106</c:f>
              <c:numCache>
                <c:formatCode>General</c:formatCode>
                <c:ptCount val="101"/>
                <c:pt idx="0">
                  <c:v>0</c:v>
                </c:pt>
                <c:pt idx="1">
                  <c:v>0.00131015</c:v>
                </c:pt>
                <c:pt idx="2">
                  <c:v>0.0026203</c:v>
                </c:pt>
                <c:pt idx="3">
                  <c:v>0.00393044</c:v>
                </c:pt>
                <c:pt idx="4">
                  <c:v>0.00524059</c:v>
                </c:pt>
                <c:pt idx="5">
                  <c:v>0.00655074</c:v>
                </c:pt>
                <c:pt idx="6">
                  <c:v>0.007860890000000001</c:v>
                </c:pt>
                <c:pt idx="7">
                  <c:v>0.00917104</c:v>
                </c:pt>
                <c:pt idx="8">
                  <c:v>0.01048119</c:v>
                </c:pt>
                <c:pt idx="9">
                  <c:v>0.01179133</c:v>
                </c:pt>
                <c:pt idx="10">
                  <c:v>0.01310148</c:v>
                </c:pt>
                <c:pt idx="11">
                  <c:v>0.01441163</c:v>
                </c:pt>
                <c:pt idx="12">
                  <c:v>0.01572178</c:v>
                </c:pt>
                <c:pt idx="13">
                  <c:v>0.01703193</c:v>
                </c:pt>
                <c:pt idx="14">
                  <c:v>0.01834207</c:v>
                </c:pt>
                <c:pt idx="15">
                  <c:v>0.01965222</c:v>
                </c:pt>
                <c:pt idx="16">
                  <c:v>0.02096237</c:v>
                </c:pt>
                <c:pt idx="17">
                  <c:v>0.02227252</c:v>
                </c:pt>
                <c:pt idx="18">
                  <c:v>0.02358267</c:v>
                </c:pt>
                <c:pt idx="19">
                  <c:v>0.02489282</c:v>
                </c:pt>
                <c:pt idx="20">
                  <c:v>0.02620296</c:v>
                </c:pt>
                <c:pt idx="21">
                  <c:v>0.02751311</c:v>
                </c:pt>
                <c:pt idx="22">
                  <c:v>0.02882326</c:v>
                </c:pt>
                <c:pt idx="23">
                  <c:v>0.03013341</c:v>
                </c:pt>
                <c:pt idx="24">
                  <c:v>0.03144356</c:v>
                </c:pt>
                <c:pt idx="25">
                  <c:v>0.03275371</c:v>
                </c:pt>
                <c:pt idx="26">
                  <c:v>0.03406385</c:v>
                </c:pt>
                <c:pt idx="27">
                  <c:v>0.035374</c:v>
                </c:pt>
                <c:pt idx="28">
                  <c:v>0.03668415</c:v>
                </c:pt>
                <c:pt idx="29">
                  <c:v>0.0379943</c:v>
                </c:pt>
                <c:pt idx="30">
                  <c:v>0.03930445</c:v>
                </c:pt>
                <c:pt idx="31">
                  <c:v>0.04061459</c:v>
                </c:pt>
                <c:pt idx="32">
                  <c:v>0.04192474</c:v>
                </c:pt>
                <c:pt idx="33">
                  <c:v>0.04323489</c:v>
                </c:pt>
                <c:pt idx="34">
                  <c:v>0.04454504</c:v>
                </c:pt>
                <c:pt idx="35">
                  <c:v>0.04408623</c:v>
                </c:pt>
                <c:pt idx="36">
                  <c:v>0.04340798</c:v>
                </c:pt>
                <c:pt idx="37">
                  <c:v>0.04272973</c:v>
                </c:pt>
                <c:pt idx="38">
                  <c:v>0.04205148</c:v>
                </c:pt>
                <c:pt idx="39">
                  <c:v>0.04137323</c:v>
                </c:pt>
                <c:pt idx="40">
                  <c:v>0.04069498</c:v>
                </c:pt>
                <c:pt idx="41">
                  <c:v>0.04001673</c:v>
                </c:pt>
                <c:pt idx="42">
                  <c:v>0.03933848</c:v>
                </c:pt>
                <c:pt idx="43">
                  <c:v>0.03866023</c:v>
                </c:pt>
                <c:pt idx="44">
                  <c:v>0.03798198</c:v>
                </c:pt>
                <c:pt idx="45">
                  <c:v>0.03730373</c:v>
                </c:pt>
                <c:pt idx="46">
                  <c:v>0.03662548</c:v>
                </c:pt>
                <c:pt idx="47">
                  <c:v>0.03594723</c:v>
                </c:pt>
                <c:pt idx="48">
                  <c:v>0.03526898</c:v>
                </c:pt>
                <c:pt idx="49">
                  <c:v>0.03459073</c:v>
                </c:pt>
                <c:pt idx="50">
                  <c:v>0.03391248</c:v>
                </c:pt>
                <c:pt idx="51">
                  <c:v>0.03323423</c:v>
                </c:pt>
                <c:pt idx="52">
                  <c:v>0.03255598</c:v>
                </c:pt>
                <c:pt idx="53">
                  <c:v>0.03187773</c:v>
                </c:pt>
                <c:pt idx="54">
                  <c:v>0.03119948</c:v>
                </c:pt>
                <c:pt idx="55">
                  <c:v>0.03052123</c:v>
                </c:pt>
                <c:pt idx="56">
                  <c:v>0.02984298</c:v>
                </c:pt>
                <c:pt idx="57">
                  <c:v>0.02916473</c:v>
                </c:pt>
                <c:pt idx="58">
                  <c:v>0.02848649</c:v>
                </c:pt>
                <c:pt idx="59">
                  <c:v>0.02780824</c:v>
                </c:pt>
                <c:pt idx="60">
                  <c:v>0.02712999</c:v>
                </c:pt>
                <c:pt idx="61">
                  <c:v>0.02645174</c:v>
                </c:pt>
                <c:pt idx="62">
                  <c:v>0.02577349</c:v>
                </c:pt>
                <c:pt idx="63">
                  <c:v>0.02509524</c:v>
                </c:pt>
                <c:pt idx="64">
                  <c:v>0.02441699</c:v>
                </c:pt>
                <c:pt idx="65">
                  <c:v>0.02373874</c:v>
                </c:pt>
                <c:pt idx="66">
                  <c:v>0.02306049</c:v>
                </c:pt>
                <c:pt idx="67">
                  <c:v>0.02238224</c:v>
                </c:pt>
                <c:pt idx="68">
                  <c:v>0.02170399</c:v>
                </c:pt>
                <c:pt idx="69">
                  <c:v>0.02102574</c:v>
                </c:pt>
                <c:pt idx="70">
                  <c:v>0.02034749</c:v>
                </c:pt>
                <c:pt idx="71">
                  <c:v>0.01966924</c:v>
                </c:pt>
                <c:pt idx="72">
                  <c:v>0.01899099</c:v>
                </c:pt>
                <c:pt idx="73">
                  <c:v>0.01831274</c:v>
                </c:pt>
                <c:pt idx="74">
                  <c:v>0.01763449</c:v>
                </c:pt>
                <c:pt idx="75">
                  <c:v>0.01695624</c:v>
                </c:pt>
                <c:pt idx="76">
                  <c:v>0.01627799</c:v>
                </c:pt>
                <c:pt idx="77">
                  <c:v>0.01559974</c:v>
                </c:pt>
                <c:pt idx="78">
                  <c:v>0.01492149</c:v>
                </c:pt>
                <c:pt idx="79">
                  <c:v>0.01424324</c:v>
                </c:pt>
                <c:pt idx="80">
                  <c:v>0.01356499</c:v>
                </c:pt>
                <c:pt idx="81">
                  <c:v>0.01288674</c:v>
                </c:pt>
                <c:pt idx="82">
                  <c:v>0.01220849</c:v>
                </c:pt>
                <c:pt idx="83">
                  <c:v>0.01153024</c:v>
                </c:pt>
                <c:pt idx="84">
                  <c:v>0.01085199</c:v>
                </c:pt>
                <c:pt idx="85">
                  <c:v>0.01017374</c:v>
                </c:pt>
                <c:pt idx="86">
                  <c:v>0.0094955</c:v>
                </c:pt>
                <c:pt idx="87">
                  <c:v>0.00881725</c:v>
                </c:pt>
                <c:pt idx="88">
                  <c:v>0.008139</c:v>
                </c:pt>
                <c:pt idx="89">
                  <c:v>0.00746075</c:v>
                </c:pt>
                <c:pt idx="90">
                  <c:v>0.0067825</c:v>
                </c:pt>
                <c:pt idx="91">
                  <c:v>0.00610425</c:v>
                </c:pt>
                <c:pt idx="92">
                  <c:v>0.005426</c:v>
                </c:pt>
                <c:pt idx="93">
                  <c:v>0.00474775</c:v>
                </c:pt>
                <c:pt idx="94">
                  <c:v>0.0040695</c:v>
                </c:pt>
                <c:pt idx="95">
                  <c:v>0.00339125</c:v>
                </c:pt>
                <c:pt idx="96">
                  <c:v>0.002713</c:v>
                </c:pt>
                <c:pt idx="97">
                  <c:v>0.00203475</c:v>
                </c:pt>
                <c:pt idx="98">
                  <c:v>0.0013565</c:v>
                </c:pt>
                <c:pt idx="99">
                  <c:v>0.00067825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TRIANGULAR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GUIA!$BO$6:$BO$106</c:f>
              <c:numCache>
                <c:formatCode>General</c:formatCode>
                <c:ptCount val="101"/>
                <c:pt idx="0">
                  <c:v>-3.265448444888327</c:v>
                </c:pt>
                <c:pt idx="1">
                  <c:v>-2.817917288225955</c:v>
                </c:pt>
                <c:pt idx="2">
                  <c:v>-2.370386131563583</c:v>
                </c:pt>
                <c:pt idx="3">
                  <c:v>-1.92285497490121</c:v>
                </c:pt>
                <c:pt idx="4">
                  <c:v>-1.475323818238838</c:v>
                </c:pt>
                <c:pt idx="5">
                  <c:v>-1.027792661576466</c:v>
                </c:pt>
                <c:pt idx="6">
                  <c:v>-0.5802615049140933</c:v>
                </c:pt>
                <c:pt idx="7">
                  <c:v>-0.1327303482517213</c:v>
                </c:pt>
                <c:pt idx="8">
                  <c:v>0.3148008084106513</c:v>
                </c:pt>
                <c:pt idx="9">
                  <c:v>0.7623319650730238</c:v>
                </c:pt>
                <c:pt idx="10">
                  <c:v>1.209863121735395</c:v>
                </c:pt>
                <c:pt idx="11">
                  <c:v>1.657394278397768</c:v>
                </c:pt>
                <c:pt idx="12">
                  <c:v>2.104925435060141</c:v>
                </c:pt>
                <c:pt idx="13">
                  <c:v>2.552456591722513</c:v>
                </c:pt>
                <c:pt idx="14">
                  <c:v>2.999987748384885</c:v>
                </c:pt>
                <c:pt idx="15">
                  <c:v>3.447518905047257</c:v>
                </c:pt>
                <c:pt idx="16">
                  <c:v>3.89505006170963</c:v>
                </c:pt>
                <c:pt idx="17">
                  <c:v>4.342581218372001</c:v>
                </c:pt>
                <c:pt idx="18">
                  <c:v>4.790112375034375</c:v>
                </c:pt>
                <c:pt idx="19">
                  <c:v>5.237643531696746</c:v>
                </c:pt>
                <c:pt idx="20">
                  <c:v>5.685174688359118</c:v>
                </c:pt>
                <c:pt idx="21">
                  <c:v>6.132705845021492</c:v>
                </c:pt>
                <c:pt idx="22">
                  <c:v>6.580237001683863</c:v>
                </c:pt>
                <c:pt idx="23">
                  <c:v>7.027768158346235</c:v>
                </c:pt>
                <c:pt idx="24">
                  <c:v>7.475299315008608</c:v>
                </c:pt>
                <c:pt idx="25">
                  <c:v>7.92283047167098</c:v>
                </c:pt>
                <c:pt idx="26">
                  <c:v>8.370361628333352</c:v>
                </c:pt>
                <c:pt idx="27">
                  <c:v>8.817892784995724</c:v>
                </c:pt>
                <c:pt idx="28">
                  <c:v>9.265423941658096</c:v>
                </c:pt>
                <c:pt idx="29">
                  <c:v>9.712955098320471</c:v>
                </c:pt>
                <c:pt idx="30">
                  <c:v>10.16048625498284</c:v>
                </c:pt>
                <c:pt idx="31">
                  <c:v>10.60801741164521</c:v>
                </c:pt>
                <c:pt idx="32">
                  <c:v>11.05554856830759</c:v>
                </c:pt>
                <c:pt idx="33">
                  <c:v>11.50307972496996</c:v>
                </c:pt>
                <c:pt idx="34">
                  <c:v>11.95061088163233</c:v>
                </c:pt>
                <c:pt idx="35">
                  <c:v>12.3981420382947</c:v>
                </c:pt>
                <c:pt idx="36">
                  <c:v>12.84567319495708</c:v>
                </c:pt>
                <c:pt idx="37">
                  <c:v>13.29320435161945</c:v>
                </c:pt>
                <c:pt idx="38">
                  <c:v>13.74073550828182</c:v>
                </c:pt>
                <c:pt idx="39">
                  <c:v>14.18826666494419</c:v>
                </c:pt>
                <c:pt idx="40">
                  <c:v>14.63579782160656</c:v>
                </c:pt>
                <c:pt idx="41">
                  <c:v>15.08332897826894</c:v>
                </c:pt>
                <c:pt idx="42">
                  <c:v>15.53086013493131</c:v>
                </c:pt>
                <c:pt idx="43">
                  <c:v>15.97839129159368</c:v>
                </c:pt>
                <c:pt idx="44">
                  <c:v>16.42592244825605</c:v>
                </c:pt>
                <c:pt idx="45">
                  <c:v>16.87345360491842</c:v>
                </c:pt>
                <c:pt idx="46">
                  <c:v>17.3209847615808</c:v>
                </c:pt>
                <c:pt idx="47">
                  <c:v>17.76851591824317</c:v>
                </c:pt>
                <c:pt idx="48">
                  <c:v>18.21604707490554</c:v>
                </c:pt>
                <c:pt idx="49">
                  <c:v>18.66357823156791</c:v>
                </c:pt>
                <c:pt idx="50">
                  <c:v>19.11110938823029</c:v>
                </c:pt>
                <c:pt idx="51">
                  <c:v>19.55864054489266</c:v>
                </c:pt>
                <c:pt idx="52">
                  <c:v>20.00617170155503</c:v>
                </c:pt>
                <c:pt idx="53">
                  <c:v>20.4537028582174</c:v>
                </c:pt>
                <c:pt idx="54">
                  <c:v>20.90123401487978</c:v>
                </c:pt>
                <c:pt idx="55">
                  <c:v>21.34876517154215</c:v>
                </c:pt>
                <c:pt idx="56">
                  <c:v>21.79629632820452</c:v>
                </c:pt>
                <c:pt idx="57">
                  <c:v>22.24382748486689</c:v>
                </c:pt>
                <c:pt idx="58">
                  <c:v>22.69135864152927</c:v>
                </c:pt>
                <c:pt idx="59">
                  <c:v>23.13888979819164</c:v>
                </c:pt>
                <c:pt idx="60">
                  <c:v>23.58642095485401</c:v>
                </c:pt>
                <c:pt idx="61">
                  <c:v>24.03395211151638</c:v>
                </c:pt>
                <c:pt idx="62">
                  <c:v>24.48148326817876</c:v>
                </c:pt>
                <c:pt idx="63">
                  <c:v>24.92901442484113</c:v>
                </c:pt>
                <c:pt idx="64">
                  <c:v>25.3765455815035</c:v>
                </c:pt>
                <c:pt idx="65">
                  <c:v>25.82407673816587</c:v>
                </c:pt>
                <c:pt idx="66">
                  <c:v>26.27160789482824</c:v>
                </c:pt>
                <c:pt idx="67">
                  <c:v>26.71913905149062</c:v>
                </c:pt>
                <c:pt idx="68">
                  <c:v>27.16667020815299</c:v>
                </c:pt>
                <c:pt idx="69">
                  <c:v>27.61420136481536</c:v>
                </c:pt>
                <c:pt idx="70">
                  <c:v>28.06173252147773</c:v>
                </c:pt>
                <c:pt idx="71">
                  <c:v>28.5092636781401</c:v>
                </c:pt>
                <c:pt idx="72">
                  <c:v>28.95679483480248</c:v>
                </c:pt>
                <c:pt idx="73">
                  <c:v>29.40432599146485</c:v>
                </c:pt>
                <c:pt idx="74">
                  <c:v>29.85185714812722</c:v>
                </c:pt>
                <c:pt idx="75">
                  <c:v>30.29938830478959</c:v>
                </c:pt>
                <c:pt idx="76">
                  <c:v>30.74691946145197</c:v>
                </c:pt>
                <c:pt idx="77">
                  <c:v>31.19445061811434</c:v>
                </c:pt>
                <c:pt idx="78">
                  <c:v>31.64198177477671</c:v>
                </c:pt>
                <c:pt idx="79">
                  <c:v>32.08951293143908</c:v>
                </c:pt>
                <c:pt idx="80">
                  <c:v>32.53704408810145</c:v>
                </c:pt>
                <c:pt idx="81">
                  <c:v>32.98457524476382</c:v>
                </c:pt>
                <c:pt idx="82">
                  <c:v>33.4321064014262</c:v>
                </c:pt>
                <c:pt idx="83">
                  <c:v>33.87963755808858</c:v>
                </c:pt>
                <c:pt idx="84">
                  <c:v>34.32716871475095</c:v>
                </c:pt>
                <c:pt idx="85">
                  <c:v>34.77469987141331</c:v>
                </c:pt>
                <c:pt idx="86">
                  <c:v>35.22223102807568</c:v>
                </c:pt>
                <c:pt idx="87">
                  <c:v>35.66976218473806</c:v>
                </c:pt>
                <c:pt idx="88">
                  <c:v>36.11729334140043</c:v>
                </c:pt>
                <c:pt idx="89">
                  <c:v>36.5648244980628</c:v>
                </c:pt>
                <c:pt idx="90">
                  <c:v>37.01235565472518</c:v>
                </c:pt>
                <c:pt idx="91">
                  <c:v>37.45988681138755</c:v>
                </c:pt>
                <c:pt idx="92">
                  <c:v>37.90741796804992</c:v>
                </c:pt>
                <c:pt idx="93">
                  <c:v>38.35494912471229</c:v>
                </c:pt>
                <c:pt idx="94">
                  <c:v>38.80248028137467</c:v>
                </c:pt>
                <c:pt idx="95">
                  <c:v>39.25001143803704</c:v>
                </c:pt>
                <c:pt idx="96">
                  <c:v>39.69754259469941</c:v>
                </c:pt>
                <c:pt idx="97">
                  <c:v>40.14507375136179</c:v>
                </c:pt>
                <c:pt idx="98">
                  <c:v>40.59260490802416</c:v>
                </c:pt>
                <c:pt idx="99">
                  <c:v>41.04013606468653</c:v>
                </c:pt>
                <c:pt idx="100">
                  <c:v>41.4876672213489</c:v>
                </c:pt>
              </c:numCache>
            </c:numRef>
          </c:xVal>
          <c:yVal>
            <c:numRef>
              <c:f>GUIA!$BQ$6:$BQ$106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0.00271593</c:v>
                </c:pt>
                <c:pt idx="20">
                  <c:v>0.00783057</c:v>
                </c:pt>
                <c:pt idx="21">
                  <c:v>0.01294521</c:v>
                </c:pt>
                <c:pt idx="22">
                  <c:v>0.01805985</c:v>
                </c:pt>
                <c:pt idx="23">
                  <c:v>0.02317449</c:v>
                </c:pt>
                <c:pt idx="24">
                  <c:v>0.02828914</c:v>
                </c:pt>
                <c:pt idx="25">
                  <c:v>0.03340378</c:v>
                </c:pt>
                <c:pt idx="26">
                  <c:v>0.03851842</c:v>
                </c:pt>
                <c:pt idx="27">
                  <c:v>0.04363306</c:v>
                </c:pt>
                <c:pt idx="28">
                  <c:v>0.0487477</c:v>
                </c:pt>
                <c:pt idx="29">
                  <c:v>0.05386234</c:v>
                </c:pt>
                <c:pt idx="30">
                  <c:v>0.05897699</c:v>
                </c:pt>
                <c:pt idx="31">
                  <c:v>0.06409163</c:v>
                </c:pt>
                <c:pt idx="32">
                  <c:v>0.06920627</c:v>
                </c:pt>
                <c:pt idx="33">
                  <c:v>0.07432091</c:v>
                </c:pt>
                <c:pt idx="34">
                  <c:v>0.07943554999999999</c:v>
                </c:pt>
                <c:pt idx="35">
                  <c:v>0.07823048000000001</c:v>
                </c:pt>
                <c:pt idx="36">
                  <c:v>0.07624145</c:v>
                </c:pt>
                <c:pt idx="37">
                  <c:v>0.07425242999999999</c:v>
                </c:pt>
                <c:pt idx="38">
                  <c:v>0.07226340000000001</c:v>
                </c:pt>
                <c:pt idx="39">
                  <c:v>0.07027437</c:v>
                </c:pt>
                <c:pt idx="40">
                  <c:v>0.06828534</c:v>
                </c:pt>
                <c:pt idx="41">
                  <c:v>0.06629632000000001</c:v>
                </c:pt>
                <c:pt idx="42">
                  <c:v>0.06430729</c:v>
                </c:pt>
                <c:pt idx="43">
                  <c:v>0.06231826</c:v>
                </c:pt>
                <c:pt idx="44">
                  <c:v>0.06032923</c:v>
                </c:pt>
                <c:pt idx="45">
                  <c:v>0.05834021</c:v>
                </c:pt>
                <c:pt idx="46">
                  <c:v>0.05635118</c:v>
                </c:pt>
                <c:pt idx="47">
                  <c:v>0.05436215</c:v>
                </c:pt>
                <c:pt idx="48">
                  <c:v>0.05237312</c:v>
                </c:pt>
                <c:pt idx="49">
                  <c:v>0.0503841</c:v>
                </c:pt>
                <c:pt idx="50">
                  <c:v>0.04839507</c:v>
                </c:pt>
                <c:pt idx="51">
                  <c:v>0.04640604</c:v>
                </c:pt>
                <c:pt idx="52">
                  <c:v>0.04441701</c:v>
                </c:pt>
                <c:pt idx="53">
                  <c:v>0.04242799</c:v>
                </c:pt>
                <c:pt idx="54">
                  <c:v>0.04043896</c:v>
                </c:pt>
                <c:pt idx="55">
                  <c:v>0.03844993</c:v>
                </c:pt>
                <c:pt idx="56">
                  <c:v>0.03646091</c:v>
                </c:pt>
                <c:pt idx="57">
                  <c:v>0.03447188</c:v>
                </c:pt>
                <c:pt idx="58">
                  <c:v>0.03248285</c:v>
                </c:pt>
                <c:pt idx="59">
                  <c:v>0.03049382</c:v>
                </c:pt>
                <c:pt idx="60">
                  <c:v>0.0285048</c:v>
                </c:pt>
                <c:pt idx="61">
                  <c:v>0.02651577</c:v>
                </c:pt>
                <c:pt idx="62">
                  <c:v>0.02452674</c:v>
                </c:pt>
                <c:pt idx="63">
                  <c:v>0.02253771</c:v>
                </c:pt>
                <c:pt idx="64">
                  <c:v>0.02054869</c:v>
                </c:pt>
                <c:pt idx="65">
                  <c:v>0.01855966</c:v>
                </c:pt>
                <c:pt idx="66">
                  <c:v>0.01657063</c:v>
                </c:pt>
                <c:pt idx="67">
                  <c:v>0.0145816</c:v>
                </c:pt>
                <c:pt idx="68">
                  <c:v>0.01259258</c:v>
                </c:pt>
                <c:pt idx="69">
                  <c:v>0.01060355</c:v>
                </c:pt>
                <c:pt idx="70">
                  <c:v>0.008614520000000001</c:v>
                </c:pt>
                <c:pt idx="71">
                  <c:v>0.00662549</c:v>
                </c:pt>
                <c:pt idx="72">
                  <c:v>0.00463647</c:v>
                </c:pt>
                <c:pt idx="73">
                  <c:v>0.00264744</c:v>
                </c:pt>
                <c:pt idx="74">
                  <c:v>0.00065841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axId val="50100001"/>
        <c:axId val="50100002"/>
      </c:scatterChart>
      <c:valAx>
        <c:axId val="5010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100002"/>
        <c:crosses val="autoZero"/>
        <c:crossBetween val="midCat"/>
      </c:valAx>
      <c:valAx>
        <c:axId val="5010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10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61</xdr:row>
      <xdr:rowOff>47625</xdr:rowOff>
    </xdr:from>
    <xdr:to>
      <xdr:col>3</xdr:col>
      <xdr:colOff>561975</xdr:colOff>
      <xdr:row>74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47625</xdr:colOff>
      <xdr:row>61</xdr:row>
      <xdr:rowOff>47625</xdr:rowOff>
    </xdr:from>
    <xdr:to>
      <xdr:col>7</xdr:col>
      <xdr:colOff>695325</xdr:colOff>
      <xdr:row>74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47625</xdr:colOff>
      <xdr:row>76</xdr:row>
      <xdr:rowOff>47625</xdr:rowOff>
    </xdr:from>
    <xdr:to>
      <xdr:col>3</xdr:col>
      <xdr:colOff>561975</xdr:colOff>
      <xdr:row>89</xdr:row>
      <xdr:rowOff>142875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47625</xdr:colOff>
      <xdr:row>76</xdr:row>
      <xdr:rowOff>47625</xdr:rowOff>
    </xdr:from>
    <xdr:to>
      <xdr:col>7</xdr:col>
      <xdr:colOff>695325</xdr:colOff>
      <xdr:row>89</xdr:row>
      <xdr:rowOff>142875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47625</xdr:colOff>
      <xdr:row>91</xdr:row>
      <xdr:rowOff>47625</xdr:rowOff>
    </xdr:from>
    <xdr:to>
      <xdr:col>3</xdr:col>
      <xdr:colOff>561975</xdr:colOff>
      <xdr:row>104</xdr:row>
      <xdr:rowOff>142875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47625</xdr:colOff>
      <xdr:row>91</xdr:row>
      <xdr:rowOff>47625</xdr:rowOff>
    </xdr:from>
    <xdr:to>
      <xdr:col>7</xdr:col>
      <xdr:colOff>695325</xdr:colOff>
      <xdr:row>104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47625</xdr:colOff>
      <xdr:row>106</xdr:row>
      <xdr:rowOff>47625</xdr:rowOff>
    </xdr:from>
    <xdr:to>
      <xdr:col>3</xdr:col>
      <xdr:colOff>561975</xdr:colOff>
      <xdr:row>119</xdr:row>
      <xdr:rowOff>142875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47625</xdr:colOff>
      <xdr:row>106</xdr:row>
      <xdr:rowOff>47625</xdr:rowOff>
    </xdr:from>
    <xdr:to>
      <xdr:col>7</xdr:col>
      <xdr:colOff>695325</xdr:colOff>
      <xdr:row>119</xdr:row>
      <xdr:rowOff>142875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47625</xdr:colOff>
      <xdr:row>121</xdr:row>
      <xdr:rowOff>47625</xdr:rowOff>
    </xdr:from>
    <xdr:to>
      <xdr:col>3</xdr:col>
      <xdr:colOff>561975</xdr:colOff>
      <xdr:row>134</xdr:row>
      <xdr:rowOff>142875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47625</xdr:colOff>
      <xdr:row>121</xdr:row>
      <xdr:rowOff>47625</xdr:rowOff>
    </xdr:from>
    <xdr:to>
      <xdr:col>7</xdr:col>
      <xdr:colOff>695325</xdr:colOff>
      <xdr:row>134</xdr:row>
      <xdr:rowOff>142875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11</xdr:row>
      <xdr:rowOff>9525</xdr:rowOff>
    </xdr:from>
    <xdr:to>
      <xdr:col>2</xdr:col>
      <xdr:colOff>1619250</xdr:colOff>
      <xdr:row>11</xdr:row>
      <xdr:rowOff>371475</xdr:rowOff>
    </xdr:to>
    <xdr:sp macro="[0]!EjecutarSimulacion" textlink="">
      <xdr:nvSpPr>
        <xdr:cNvPr id="2" name="TextBox 1" descr="EjecutarSimulacion"/>
        <xdr:cNvSpPr txBox="1"/>
      </xdr:nvSpPr>
      <xdr:spPr>
        <a:xfrm>
          <a:off x="219075" y="2295525"/>
          <a:ext cx="2095500" cy="361950"/>
        </a:xfrm>
        <a:prstGeom prst="roundRect">
          <a:avLst/>
        </a:prstGeom>
        <a:solidFill>
          <a:srgbClr val="000000"/>
        </a:solidFill>
        <a:ln w="15875" cmpd="sng">
          <a:solidFill>
            <a:srgbClr val="CC7A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A028"/>
              </a:solidFill>
              <a:latin typeface="Calibri"/>
              <a:cs typeface="Calibri"/>
            </a:rPr>
            <a:t>▶ CORRER SIMULACIÓN</a:t>
          </a:r>
        </a:p>
      </xdr:txBody>
    </xdr:sp>
    <xdr:clientData/>
  </xdr:twoCellAnchor>
  <xdr:twoCellAnchor>
    <xdr:from>
      <xdr:col>2</xdr:col>
      <xdr:colOff>1752600</xdr:colOff>
      <xdr:row>11</xdr:row>
      <xdr:rowOff>9525</xdr:rowOff>
    </xdr:from>
    <xdr:to>
      <xdr:col>2</xdr:col>
      <xdr:colOff>3371850</xdr:colOff>
      <xdr:row>11</xdr:row>
      <xdr:rowOff>371475</xdr:rowOff>
    </xdr:to>
    <xdr:sp macro="[0]!ValidarDatos" textlink="">
      <xdr:nvSpPr>
        <xdr:cNvPr id="3" name="TextBox 2" descr="ValidarDatos"/>
        <xdr:cNvSpPr txBox="1"/>
      </xdr:nvSpPr>
      <xdr:spPr>
        <a:xfrm>
          <a:off x="2447925" y="2295525"/>
          <a:ext cx="1619250" cy="361950"/>
        </a:xfrm>
        <a:prstGeom prst="roundRect">
          <a:avLst/>
        </a:prstGeom>
        <a:solidFill>
          <a:srgbClr val="000000"/>
        </a:solidFill>
        <a:ln w="15875" cmpd="sng">
          <a:solidFill>
            <a:srgbClr val="CC7A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A028"/>
              </a:solidFill>
              <a:latin typeface="Calibri"/>
              <a:cs typeface="Calibri"/>
            </a:rPr>
            <a:t>✔ VALIDAR DATOS</a:t>
          </a:r>
        </a:p>
      </xdr:txBody>
    </xdr:sp>
    <xdr:clientData/>
  </xdr:twoCellAnchor>
  <xdr:twoCellAnchor>
    <xdr:from>
      <xdr:col>2</xdr:col>
      <xdr:colOff>3505200</xdr:colOff>
      <xdr:row>11</xdr:row>
      <xdr:rowOff>9525</xdr:rowOff>
    </xdr:from>
    <xdr:to>
      <xdr:col>4</xdr:col>
      <xdr:colOff>352425</xdr:colOff>
      <xdr:row>11</xdr:row>
      <xdr:rowOff>371475</xdr:rowOff>
    </xdr:to>
    <xdr:sp macro="[0]!LimpiarResultados" textlink="">
      <xdr:nvSpPr>
        <xdr:cNvPr id="4" name="TextBox 3" descr="LimpiarResultados"/>
        <xdr:cNvSpPr txBox="1"/>
      </xdr:nvSpPr>
      <xdr:spPr>
        <a:xfrm>
          <a:off x="4200525" y="2295525"/>
          <a:ext cx="1809750" cy="361950"/>
        </a:xfrm>
        <a:prstGeom prst="roundRect">
          <a:avLst/>
        </a:prstGeom>
        <a:solidFill>
          <a:srgbClr val="000000"/>
        </a:solidFill>
        <a:ln w="15875" cmpd="sng">
          <a:solidFill>
            <a:srgbClr val="CC7A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A028"/>
              </a:solidFill>
              <a:latin typeface="Calibri"/>
              <a:cs typeface="Calibri"/>
            </a:rPr>
            <a:t>✖ LIMPIAR RESULTADOS</a:t>
          </a:r>
        </a:p>
      </xdr:txBody>
    </xdr:sp>
    <xdr:clientData/>
  </xdr:twoCellAnchor>
  <xdr:twoCellAnchor>
    <xdr:from>
      <xdr:col>4</xdr:col>
      <xdr:colOff>485775</xdr:colOff>
      <xdr:row>11</xdr:row>
      <xdr:rowOff>9525</xdr:rowOff>
    </xdr:from>
    <xdr:to>
      <xdr:col>5</xdr:col>
      <xdr:colOff>1314450</xdr:colOff>
      <xdr:row>11</xdr:row>
      <xdr:rowOff>371475</xdr:rowOff>
    </xdr:to>
    <xdr:sp macro="[0]!AgregarDimension" textlink="">
      <xdr:nvSpPr>
        <xdr:cNvPr id="5" name="TextBox 4" descr="AgregarDimension"/>
        <xdr:cNvSpPr txBox="1"/>
      </xdr:nvSpPr>
      <xdr:spPr>
        <a:xfrm>
          <a:off x="6143625" y="2295525"/>
          <a:ext cx="1809750" cy="361950"/>
        </a:xfrm>
        <a:prstGeom prst="roundRect">
          <a:avLst/>
        </a:prstGeom>
        <a:solidFill>
          <a:srgbClr val="000000"/>
        </a:solidFill>
        <a:ln w="15875" cmpd="sng">
          <a:solidFill>
            <a:srgbClr val="CC7A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A028"/>
              </a:solidFill>
              <a:latin typeface="Calibri"/>
              <a:cs typeface="Calibri"/>
            </a:rPr>
            <a:t>＋ AGREGAR DIMENSIÓN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lDistribuciones" displayName="tblDistribuciones" ref="B31:I51" totalsRowShown="0">
  <tableColumns count="8">
    <tableColumn id="1" name="DISTRIBUCION" dataDxfId="0"/>
    <tableColumn id="2" name="P1" dataDxfId="0"/>
    <tableColumn id="3" name="P2" dataDxfId="0"/>
    <tableColumn id="4" name="P3" dataDxfId="0"/>
    <tableColumn id="5" name="P4" dataDxfId="0"/>
    <tableColumn id="6" name="AYUDA" dataDxfId="0"/>
    <tableColumn id="7" name="CUANDO USAR" dataDxfId="0"/>
    <tableColumn id="8" name="EJEMPLO" dataDxfId="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blDimensiones" displayName="tblDimensiones" ref="H5:O11" totalsRowShown="0">
  <tableColumns count="8">
    <tableColumn id="1" name="CLAVE"/>
    <tableColumn id="2" name="NOMBRE"/>
    <tableColumn id="3" name="UNIDAD"/>
    <tableColumn id="4" name="BASE"/>
    <tableColumn id="5" name="FORMATO"/>
    <tableColumn id="6" name="ACTIVA"/>
    <tableColumn id="7" name="RESERVA_GESTION"/>
    <tableColumn id="8" name="COLOR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3" name="tblEscalas" displayName="tblEscalas" ref="Q5:W10" totalsRowShown="0">
  <tableColumns count="7">
    <tableColumn id="1" name="NIVEL"/>
    <tableColumn id="2" name="DESCRIPCION"/>
    <tableColumn id="3" name="PROB_MAX"/>
    <tableColumn id="4" name="IMP_COSTO"/>
    <tableColumn id="5" name="IMP_PLAZO"/>
    <tableColumn id="6" name="IMP_ING_DISENO"/>
    <tableColumn id="7" name="IMP_ING_CAMPO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tblRiesgos" displayName="tblRiesgos" ref="B15:AO75" totalsRowShown="0">
  <autoFilter ref="B15:AO75"/>
  <tableColumns count="40">
    <tableColumn id="1" name="ID" dataDxfId="1"/>
    <tableColumn id="2" name="NOMBRE DEL RIESGO" dataDxfId="2"/>
    <tableColumn id="3" name="TIPO" dataDxfId="1"/>
    <tableColumn id="4" name="CATEGORIA" dataDxfId="1"/>
    <tableColumn id="5" name="CAUSA" dataDxfId="2"/>
    <tableColumn id="6" name="DUENO DEL RIESGO" dataDxfId="3"/>
    <tableColumn id="7" name="ESTADO" dataDxfId="1"/>
    <tableColumn id="8" name="ACTIVO" dataDxfId="1"/>
    <tableColumn id="9" name="PROBABILIDAD" dataDxfId="4"/>
    <tableColumn id="10" name="DIST_COSTO" dataDxfId="1"/>
    <tableColumn id="11" name="COSTO_P1" dataDxfId="5"/>
    <tableColumn id="12" name="COSTO_P2" dataDxfId="5"/>
    <tableColumn id="13" name="COSTO_P3" dataDxfId="5"/>
    <tableColumn id="14" name="COSTO_P4" dataDxfId="5"/>
    <tableColumn id="15" name="AYUDA_COSTO" dataDxfId="6">
      <calculatedColumnFormula>IFERROR(INDEX(tblDistribuciones[AYUDA],MATCH([[#This Row],[DIST_COSTO]],tblDistribuciones[DISTRIBUCION],0)),"")</calculatedColumnFormula>
    </tableColumn>
    <tableColumn id="16" name="DIST_PLAZO" dataDxfId="1"/>
    <tableColumn id="17" name="PLAZO_P1" dataDxfId="7"/>
    <tableColumn id="18" name="PLAZO_P2" dataDxfId="7"/>
    <tableColumn id="19" name="PLAZO_P3" dataDxfId="7"/>
    <tableColumn id="20" name="PLAZO_P4" dataDxfId="7"/>
    <tableColumn id="21" name="AYUDA_PLAZO" dataDxfId="6">
      <calculatedColumnFormula>IFERROR(INDEX(tblDistribuciones[AYUDA],MATCH([[#This Row],[DIST_PLAZO]],tblDistribuciones[DISTRIBUCION],0)),"")</calculatedColumnFormula>
    </tableColumn>
    <tableColumn id="22" name="DIST_ING_DISENO" dataDxfId="1"/>
    <tableColumn id="23" name="ING_DISENO_P1" dataDxfId="5"/>
    <tableColumn id="24" name="ING_DISENO_P2" dataDxfId="5"/>
    <tableColumn id="25" name="ING_DISENO_P3" dataDxfId="5"/>
    <tableColumn id="26" name="ING_DISENO_P4" dataDxfId="5"/>
    <tableColumn id="27" name="AYUDA_ING_DISENO" dataDxfId="6">
      <calculatedColumnFormula>IFERROR(INDEX(tblDistribuciones[AYUDA],MATCH([[#This Row],[DIST_ING_DISENO]],tblDistribuciones[DISTRIBUCION],0)),"")</calculatedColumnFormula>
    </tableColumn>
    <tableColumn id="28" name="DIST_ING_CAMPO" dataDxfId="1"/>
    <tableColumn id="29" name="ING_CAMPO_P1" dataDxfId="5"/>
    <tableColumn id="30" name="ING_CAMPO_P2" dataDxfId="5"/>
    <tableColumn id="31" name="ING_CAMPO_P3" dataDxfId="5"/>
    <tableColumn id="32" name="ING_CAMPO_P4" dataDxfId="5"/>
    <tableColumn id="33" name="AYUDA_ING_CAMPO" dataDxfId="6">
      <calculatedColumnFormula>IFERROR(INDEX(tblDistribuciones[AYUDA],MATCH([[#This Row],[DIST_ING_CAMPO]],tblDistribuciones[DISTRIBUCION],0)),"")</calculatedColumnFormula>
    </tableColumn>
    <tableColumn id="34" name="GRUPO_CORRELACION" dataDxfId="1"/>
    <tableColumn id="35" name="RHO_GRUPO" dataDxfId="8"/>
    <tableColumn id="36" name="ESTRATEGIA" dataDxfId="1"/>
    <tableColumn id="37" name="PROB_RESIDUAL" dataDxfId="4"/>
    <tableColumn id="38" name="FACTOR_IMPACTO_RESIDUAL" dataDxfId="8"/>
    <tableColumn id="39" name="COSTO_RESPUESTA" dataDxfId="5"/>
    <tableColumn id="40" name="NOTAS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table" Target="../tables/table2.xml"/><Relationship Id="rId3" Type="http://schemas.openxmlformats.org/officeDocument/2006/relationships/table" Target="../tables/table3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jInicio">
    <tabColor rgb="FFFFA028"/>
  </sheetPr>
  <dimension ref="A2:C51"/>
  <sheetViews>
    <sheetView showGridLines="0" tabSelected="1" workbookViewId="0"/>
  </sheetViews>
  <sheetFormatPr defaultRowHeight="15"/>
  <cols>
    <col min="1" max="1" width="2.7109375" customWidth="1"/>
    <col min="2" max="2" width="24.7109375" customWidth="1"/>
    <col min="3" max="3" width="120.7109375" customWidth="1"/>
  </cols>
  <sheetData>
    <row r="2" spans="2:3" ht="30" customHeight="1">
      <c r="B2" s="1" t="s">
        <v>0</v>
      </c>
      <c r="C2" s="2"/>
    </row>
    <row r="3" spans="2:3">
      <c r="B3" s="3" t="s">
        <v>1</v>
      </c>
    </row>
    <row r="5" spans="2:3" ht="32" customHeight="1">
      <c r="B5" s="4" t="s">
        <v>2</v>
      </c>
      <c r="C5" s="4"/>
    </row>
    <row r="7" spans="2:3">
      <c r="B7" s="5" t="s">
        <v>3</v>
      </c>
    </row>
    <row r="8" spans="2:3">
      <c r="B8" s="6" t="s">
        <v>4</v>
      </c>
      <c r="C8" s="7" t="s">
        <v>5</v>
      </c>
    </row>
    <row r="9" spans="2:3">
      <c r="B9" s="6" t="s">
        <v>6</v>
      </c>
      <c r="C9" s="8" t="s">
        <v>7</v>
      </c>
    </row>
    <row r="10" spans="2:3">
      <c r="B10" s="6" t="s">
        <v>8</v>
      </c>
      <c r="C10" s="7" t="s">
        <v>9</v>
      </c>
    </row>
    <row r="11" spans="2:3">
      <c r="B11" s="6" t="s">
        <v>10</v>
      </c>
      <c r="C11" s="8" t="s">
        <v>11</v>
      </c>
    </row>
    <row r="12" spans="2:3">
      <c r="B12" s="6" t="s">
        <v>12</v>
      </c>
      <c r="C12" s="7" t="s">
        <v>13</v>
      </c>
    </row>
    <row r="13" spans="2:3">
      <c r="B13" s="6" t="s">
        <v>14</v>
      </c>
      <c r="C13" s="8" t="s">
        <v>15</v>
      </c>
    </row>
    <row r="14" spans="2:3">
      <c r="B14" s="6" t="s">
        <v>16</v>
      </c>
      <c r="C14" s="7" t="s">
        <v>17</v>
      </c>
    </row>
    <row r="15" spans="2:3">
      <c r="B15" s="6" t="s">
        <v>18</v>
      </c>
      <c r="C15" s="8" t="s">
        <v>19</v>
      </c>
    </row>
    <row r="16" spans="2:3">
      <c r="B16" s="6" t="s">
        <v>20</v>
      </c>
      <c r="C16" s="7" t="s">
        <v>21</v>
      </c>
    </row>
    <row r="17" spans="2:3">
      <c r="B17" s="6" t="s">
        <v>22</v>
      </c>
      <c r="C17" s="8" t="s">
        <v>23</v>
      </c>
    </row>
    <row r="18" spans="2:3">
      <c r="B18" s="6" t="s">
        <v>24</v>
      </c>
      <c r="C18" s="7" t="s">
        <v>25</v>
      </c>
    </row>
    <row r="20" spans="2:3">
      <c r="B20" s="5" t="s">
        <v>26</v>
      </c>
    </row>
    <row r="21" spans="2:3" ht="30" customHeight="1">
      <c r="B21" s="6" t="s">
        <v>27</v>
      </c>
      <c r="C21" s="7" t="s">
        <v>28</v>
      </c>
    </row>
    <row r="22" spans="2:3" ht="30" customHeight="1">
      <c r="B22" s="6" t="s">
        <v>29</v>
      </c>
      <c r="C22" s="8" t="s">
        <v>30</v>
      </c>
    </row>
    <row r="23" spans="2:3" ht="30" customHeight="1">
      <c r="B23" s="6" t="s">
        <v>31</v>
      </c>
      <c r="C23" s="7" t="s">
        <v>32</v>
      </c>
    </row>
    <row r="24" spans="2:3" ht="30" customHeight="1">
      <c r="B24" s="6" t="s">
        <v>33</v>
      </c>
      <c r="C24" s="8" t="s">
        <v>34</v>
      </c>
    </row>
    <row r="25" spans="2:3" ht="30" customHeight="1">
      <c r="B25" s="6" t="s">
        <v>35</v>
      </c>
      <c r="C25" s="7" t="s">
        <v>36</v>
      </c>
    </row>
    <row r="26" spans="2:3" ht="30" customHeight="1">
      <c r="B26" s="6" t="s">
        <v>37</v>
      </c>
      <c r="C26" s="8" t="s">
        <v>38</v>
      </c>
    </row>
    <row r="27" spans="2:3" ht="30" customHeight="1">
      <c r="B27" s="6" t="s">
        <v>39</v>
      </c>
      <c r="C27" s="7" t="s">
        <v>40</v>
      </c>
    </row>
    <row r="28" spans="2:3" ht="30" customHeight="1">
      <c r="B28" s="6" t="s">
        <v>41</v>
      </c>
      <c r="C28" s="8" t="s">
        <v>42</v>
      </c>
    </row>
    <row r="30" spans="2:3">
      <c r="B30" s="5" t="s">
        <v>43</v>
      </c>
    </row>
    <row r="31" spans="2:3" ht="28" customHeight="1">
      <c r="B31" s="6" t="s">
        <v>44</v>
      </c>
      <c r="C31" s="7" t="s">
        <v>45</v>
      </c>
    </row>
    <row r="32" spans="2:3" ht="28" customHeight="1">
      <c r="B32" s="6" t="s">
        <v>46</v>
      </c>
      <c r="C32" s="8" t="s">
        <v>47</v>
      </c>
    </row>
    <row r="33" spans="2:3" ht="28" customHeight="1">
      <c r="B33" s="6" t="s">
        <v>48</v>
      </c>
      <c r="C33" s="7" t="s">
        <v>49</v>
      </c>
    </row>
    <row r="34" spans="2:3" ht="28" customHeight="1">
      <c r="B34" s="6" t="s">
        <v>50</v>
      </c>
      <c r="C34" s="8" t="s">
        <v>51</v>
      </c>
    </row>
    <row r="35" spans="2:3" ht="28" customHeight="1">
      <c r="B35" s="6" t="s">
        <v>52</v>
      </c>
      <c r="C35" s="7" t="s">
        <v>53</v>
      </c>
    </row>
    <row r="36" spans="2:3" ht="28" customHeight="1">
      <c r="B36" s="6" t="s">
        <v>54</v>
      </c>
      <c r="C36" s="8" t="s">
        <v>55</v>
      </c>
    </row>
    <row r="37" spans="2:3" ht="28" customHeight="1">
      <c r="B37" s="6" t="s">
        <v>56</v>
      </c>
      <c r="C37" s="7" t="s">
        <v>57</v>
      </c>
    </row>
    <row r="38" spans="2:3" ht="28" customHeight="1">
      <c r="B38" s="6" t="s">
        <v>58</v>
      </c>
      <c r="C38" s="8" t="s">
        <v>59</v>
      </c>
    </row>
    <row r="39" spans="2:3" ht="28" customHeight="1">
      <c r="B39" s="6" t="s">
        <v>60</v>
      </c>
      <c r="C39" s="7" t="s">
        <v>61</v>
      </c>
    </row>
    <row r="40" spans="2:3" ht="28" customHeight="1">
      <c r="B40" s="6" t="s">
        <v>62</v>
      </c>
      <c r="C40" s="8" t="s">
        <v>63</v>
      </c>
    </row>
    <row r="41" spans="2:3" ht="28" customHeight="1">
      <c r="B41" s="6" t="s">
        <v>64</v>
      </c>
      <c r="C41" s="7" t="s">
        <v>65</v>
      </c>
    </row>
    <row r="42" spans="2:3" ht="28" customHeight="1">
      <c r="B42" s="6" t="s">
        <v>66</v>
      </c>
      <c r="C42" s="8" t="s">
        <v>67</v>
      </c>
    </row>
    <row r="43" spans="2:3">
      <c r="B43" s="6" t="s">
        <v>68</v>
      </c>
      <c r="C43" s="7" t="s">
        <v>69</v>
      </c>
    </row>
    <row r="45" spans="2:3">
      <c r="B45" s="5" t="s">
        <v>70</v>
      </c>
    </row>
    <row r="46" spans="2:3" ht="28" customHeight="1">
      <c r="B46" s="9" t="s">
        <v>71</v>
      </c>
      <c r="C46" s="10" t="s">
        <v>72</v>
      </c>
    </row>
    <row r="47" spans="2:3" ht="28" customHeight="1">
      <c r="B47" s="9" t="s">
        <v>71</v>
      </c>
      <c r="C47" s="10" t="s">
        <v>73</v>
      </c>
    </row>
    <row r="48" spans="2:3" ht="28" customHeight="1">
      <c r="B48" s="9" t="s">
        <v>71</v>
      </c>
      <c r="C48" s="10" t="s">
        <v>74</v>
      </c>
    </row>
    <row r="49" spans="2:3" ht="28" customHeight="1">
      <c r="B49" s="9" t="s">
        <v>71</v>
      </c>
      <c r="C49" s="10" t="s">
        <v>75</v>
      </c>
    </row>
    <row r="50" spans="2:3" ht="28" customHeight="1">
      <c r="B50" s="9" t="s">
        <v>71</v>
      </c>
      <c r="C50" s="10" t="s">
        <v>76</v>
      </c>
    </row>
    <row r="51" spans="2:3" ht="28" customHeight="1">
      <c r="B51" s="9" t="s">
        <v>71</v>
      </c>
      <c r="C51" s="10" t="s">
        <v>77</v>
      </c>
    </row>
  </sheetData>
  <mergeCells count="1">
    <mergeCell ref="B5:C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jGuia">
    <tabColor rgb="FFCC7A00"/>
  </sheetPr>
  <dimension ref="A2:BQ159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28.7109375" customWidth="1"/>
    <col min="4" max="6" width="20.7109375" customWidth="1"/>
    <col min="7" max="7" width="36.7109375" customWidth="1"/>
    <col min="8" max="9" width="48.7109375" customWidth="1"/>
  </cols>
  <sheetData>
    <row r="2" spans="2:69" ht="30" customHeight="1">
      <c r="B2" s="1" t="s">
        <v>78</v>
      </c>
      <c r="C2" s="2"/>
      <c r="D2" s="2"/>
      <c r="E2" s="2"/>
      <c r="F2" s="2"/>
      <c r="G2" s="2"/>
      <c r="H2" s="2"/>
      <c r="I2" s="2"/>
    </row>
    <row r="3" spans="2:69">
      <c r="B3" s="3" t="s">
        <v>79</v>
      </c>
    </row>
    <row r="4" spans="2:69">
      <c r="AE4" s="3" t="s">
        <v>231</v>
      </c>
    </row>
    <row r="5" spans="2:69">
      <c r="B5" s="5" t="s">
        <v>80</v>
      </c>
      <c r="AE5" s="11" t="s">
        <v>232</v>
      </c>
      <c r="AF5" s="11" t="s">
        <v>90</v>
      </c>
      <c r="AG5" s="11" t="s">
        <v>130</v>
      </c>
      <c r="AH5" s="11" t="s">
        <v>143</v>
      </c>
      <c r="AI5" s="11" t="s">
        <v>232</v>
      </c>
      <c r="AJ5" s="11" t="s">
        <v>233</v>
      </c>
      <c r="AK5" s="11" t="s">
        <v>234</v>
      </c>
      <c r="AL5" s="11" t="s">
        <v>235</v>
      </c>
      <c r="AM5" s="11" t="s">
        <v>232</v>
      </c>
      <c r="AN5" s="11" t="s">
        <v>157</v>
      </c>
      <c r="AO5" s="11" t="s">
        <v>163</v>
      </c>
      <c r="AQ5" s="11" t="s">
        <v>232</v>
      </c>
      <c r="AR5" s="11" t="s">
        <v>167</v>
      </c>
      <c r="AS5" s="11" t="s">
        <v>170</v>
      </c>
      <c r="AU5" s="11" t="s">
        <v>232</v>
      </c>
      <c r="AV5" s="11" t="s">
        <v>176</v>
      </c>
      <c r="AW5" s="11" t="s">
        <v>180</v>
      </c>
      <c r="AY5" s="11" t="s">
        <v>232</v>
      </c>
      <c r="AZ5" s="11" t="s">
        <v>186</v>
      </c>
      <c r="BA5" s="11" t="s">
        <v>191</v>
      </c>
      <c r="BC5" s="11" t="s">
        <v>232</v>
      </c>
      <c r="BD5" s="11" t="s">
        <v>195</v>
      </c>
      <c r="BG5" s="11" t="s">
        <v>236</v>
      </c>
      <c r="BH5" s="11" t="s">
        <v>200</v>
      </c>
      <c r="BI5" s="11" t="s">
        <v>205</v>
      </c>
      <c r="BK5" s="11" t="s">
        <v>237</v>
      </c>
      <c r="BL5" s="11" t="s">
        <v>102</v>
      </c>
      <c r="BO5" s="11" t="s">
        <v>232</v>
      </c>
      <c r="BP5" s="11" t="s">
        <v>135</v>
      </c>
      <c r="BQ5" s="11" t="s">
        <v>130</v>
      </c>
    </row>
    <row r="6" spans="2:69" ht="30" customHeight="1">
      <c r="B6" s="12" t="s">
        <v>81</v>
      </c>
      <c r="C6" s="12"/>
      <c r="D6" s="12"/>
      <c r="E6" s="12"/>
      <c r="F6" s="12"/>
      <c r="G6" s="12"/>
      <c r="H6" s="12"/>
      <c r="I6" s="12"/>
      <c r="AE6">
        <v>10</v>
      </c>
      <c r="AF6">
        <v>0.03333333</v>
      </c>
      <c r="AG6">
        <v>0</v>
      </c>
      <c r="AH6">
        <v>0</v>
      </c>
      <c r="AI6">
        <v>10</v>
      </c>
      <c r="AJ6">
        <v>0</v>
      </c>
      <c r="AK6">
        <v>0</v>
      </c>
      <c r="AL6">
        <v>0</v>
      </c>
      <c r="AM6">
        <v>-10</v>
      </c>
      <c r="AN6">
        <v>0.00044318</v>
      </c>
      <c r="AO6">
        <v>0</v>
      </c>
      <c r="AQ6">
        <v>0.5</v>
      </c>
      <c r="AR6">
        <v>0</v>
      </c>
      <c r="AS6">
        <v>0.00068685</v>
      </c>
      <c r="AU6">
        <v>0.01</v>
      </c>
      <c r="AV6">
        <v>0.09990005</v>
      </c>
      <c r="AW6">
        <v>0.00013889</v>
      </c>
      <c r="AY6">
        <v>-5</v>
      </c>
      <c r="AZ6">
        <v>0</v>
      </c>
      <c r="BA6">
        <v>0.00042313</v>
      </c>
      <c r="BC6">
        <v>100</v>
      </c>
      <c r="BD6">
        <v>0.025</v>
      </c>
      <c r="BG6">
        <v>0</v>
      </c>
      <c r="BH6">
        <v>0.04978707</v>
      </c>
      <c r="BI6">
        <v>0.0015023</v>
      </c>
      <c r="BK6" t="s">
        <v>238</v>
      </c>
      <c r="BL6">
        <v>0.6</v>
      </c>
      <c r="BO6">
        <v>-3.265448444888327</v>
      </c>
      <c r="BP6">
        <v>0</v>
      </c>
      <c r="BQ6">
        <v>0</v>
      </c>
    </row>
    <row r="7" spans="2:69" ht="18" customHeight="1">
      <c r="B7" s="13" t="s">
        <v>82</v>
      </c>
      <c r="C7" s="13"/>
      <c r="D7" s="13"/>
      <c r="E7" s="13"/>
      <c r="F7" s="13"/>
      <c r="G7" s="13"/>
      <c r="H7" s="13"/>
      <c r="I7" s="13"/>
      <c r="AE7">
        <v>10.3</v>
      </c>
      <c r="AF7">
        <v>0.03333333</v>
      </c>
      <c r="AG7">
        <v>0.004</v>
      </c>
      <c r="AH7">
        <v>0.02147713</v>
      </c>
      <c r="AI7">
        <v>10.3</v>
      </c>
      <c r="AJ7">
        <v>0.03153793</v>
      </c>
      <c r="AK7">
        <v>0.02147713</v>
      </c>
      <c r="AL7">
        <v>0.00789221</v>
      </c>
      <c r="AM7">
        <v>-9.4</v>
      </c>
      <c r="AN7">
        <v>0.00052963</v>
      </c>
      <c r="AO7">
        <v>0</v>
      </c>
      <c r="AQ7">
        <v>1.3</v>
      </c>
      <c r="AR7">
        <v>1.106E-05</v>
      </c>
      <c r="AS7">
        <v>0.00335999</v>
      </c>
      <c r="AU7">
        <v>0.51</v>
      </c>
      <c r="AV7">
        <v>0.09502787</v>
      </c>
      <c r="AW7">
        <v>0.00707055</v>
      </c>
      <c r="AY7">
        <v>-4.5</v>
      </c>
      <c r="AZ7">
        <v>0</v>
      </c>
      <c r="BA7">
        <v>0.00049964</v>
      </c>
      <c r="BC7">
        <v>105</v>
      </c>
      <c r="BD7">
        <v>0.02107548</v>
      </c>
      <c r="BG7">
        <v>1</v>
      </c>
      <c r="BH7">
        <v>0.14936121</v>
      </c>
      <c r="BI7">
        <v>0.01060448</v>
      </c>
      <c r="BK7" t="s">
        <v>239</v>
      </c>
      <c r="BL7">
        <v>0.3</v>
      </c>
      <c r="BO7">
        <v>-2.817917288225955</v>
      </c>
      <c r="BP7">
        <v>0.00131015</v>
      </c>
      <c r="BQ7">
        <v>0</v>
      </c>
    </row>
    <row r="8" spans="2:69" ht="18" customHeight="1">
      <c r="B8" s="12" t="s">
        <v>83</v>
      </c>
      <c r="C8" s="12"/>
      <c r="D8" s="12"/>
      <c r="E8" s="12"/>
      <c r="F8" s="12"/>
      <c r="G8" s="12"/>
      <c r="H8" s="12"/>
      <c r="I8" s="12"/>
      <c r="AE8">
        <v>10.6</v>
      </c>
      <c r="AF8">
        <v>0.03333333</v>
      </c>
      <c r="AG8">
        <v>0.008</v>
      </c>
      <c r="AH8">
        <v>0.03295838</v>
      </c>
      <c r="AI8">
        <v>10.6</v>
      </c>
      <c r="AJ8">
        <v>0.03906861</v>
      </c>
      <c r="AK8">
        <v>0.03295838</v>
      </c>
      <c r="AL8">
        <v>0.01858566</v>
      </c>
      <c r="AM8">
        <v>-8.800000000000001</v>
      </c>
      <c r="AN8">
        <v>0.00063067</v>
      </c>
      <c r="AO8">
        <v>0</v>
      </c>
      <c r="AQ8">
        <v>2.1</v>
      </c>
      <c r="AR8">
        <v>0.00026318</v>
      </c>
      <c r="AS8">
        <v>0.00705262</v>
      </c>
      <c r="AU8">
        <v>1.01</v>
      </c>
      <c r="AV8">
        <v>0.0903933</v>
      </c>
      <c r="AW8">
        <v>0.01392876</v>
      </c>
      <c r="AY8">
        <v>-4</v>
      </c>
      <c r="AZ8">
        <v>0</v>
      </c>
      <c r="BA8">
        <v>0.00058994</v>
      </c>
      <c r="BC8">
        <v>110</v>
      </c>
      <c r="BD8">
        <v>0.01790876</v>
      </c>
      <c r="BG8">
        <v>2</v>
      </c>
      <c r="BH8">
        <v>0.22404181</v>
      </c>
      <c r="BI8">
        <v>0.03649189</v>
      </c>
      <c r="BK8" t="s">
        <v>240</v>
      </c>
      <c r="BL8">
        <v>0.1</v>
      </c>
      <c r="BO8">
        <v>-2.370386131563583</v>
      </c>
      <c r="BP8">
        <v>0.0026203</v>
      </c>
      <c r="BQ8">
        <v>0</v>
      </c>
    </row>
    <row r="9" spans="2:69" ht="18" customHeight="1">
      <c r="B9" s="12" t="s">
        <v>84</v>
      </c>
      <c r="C9" s="12"/>
      <c r="D9" s="12"/>
      <c r="E9" s="12"/>
      <c r="F9" s="12"/>
      <c r="G9" s="12"/>
      <c r="H9" s="12"/>
      <c r="I9" s="12"/>
      <c r="AE9">
        <v>10.9</v>
      </c>
      <c r="AF9">
        <v>0.03333333</v>
      </c>
      <c r="AG9">
        <v>0.012</v>
      </c>
      <c r="AH9">
        <v>0.04173614</v>
      </c>
      <c r="AI9">
        <v>10.9</v>
      </c>
      <c r="AJ9">
        <v>0.0439644</v>
      </c>
      <c r="AK9">
        <v>0.04173614</v>
      </c>
      <c r="AL9">
        <v>0.02980374</v>
      </c>
      <c r="AM9">
        <v>-8.199999999999999</v>
      </c>
      <c r="AN9">
        <v>0.00074829</v>
      </c>
      <c r="AO9">
        <v>0</v>
      </c>
      <c r="AQ9">
        <v>2.9</v>
      </c>
      <c r="AR9">
        <v>0.00145846</v>
      </c>
      <c r="AS9">
        <v>0.01120218</v>
      </c>
      <c r="AU9">
        <v>1.51</v>
      </c>
      <c r="AV9">
        <v>0.08598477</v>
      </c>
      <c r="AW9">
        <v>0.02064276</v>
      </c>
      <c r="AY9">
        <v>-3.5</v>
      </c>
      <c r="AZ9">
        <v>0</v>
      </c>
      <c r="BA9">
        <v>0.00069648</v>
      </c>
      <c r="BC9">
        <v>115</v>
      </c>
      <c r="BD9">
        <v>0.01532843</v>
      </c>
      <c r="BG9">
        <v>3</v>
      </c>
      <c r="BH9">
        <v>0.22404181</v>
      </c>
      <c r="BI9">
        <v>0.08157010000000001</v>
      </c>
      <c r="BO9">
        <v>-1.92285497490121</v>
      </c>
      <c r="BP9">
        <v>0.00393044</v>
      </c>
      <c r="BQ9">
        <v>0</v>
      </c>
    </row>
    <row r="10" spans="2:69" ht="30" customHeight="1">
      <c r="B10" s="12" t="s">
        <v>85</v>
      </c>
      <c r="C10" s="12"/>
      <c r="D10" s="12"/>
      <c r="E10" s="12"/>
      <c r="F10" s="12"/>
      <c r="G10" s="12"/>
      <c r="H10" s="12"/>
      <c r="I10" s="12"/>
      <c r="AE10">
        <v>11.2</v>
      </c>
      <c r="AF10">
        <v>0.03333333</v>
      </c>
      <c r="AG10">
        <v>0.016</v>
      </c>
      <c r="AH10">
        <v>0.04884309</v>
      </c>
      <c r="AI10">
        <v>11.2</v>
      </c>
      <c r="AJ10">
        <v>0.04756052</v>
      </c>
      <c r="AK10">
        <v>0.04884309</v>
      </c>
      <c r="AL10">
        <v>0.04081807</v>
      </c>
      <c r="AM10">
        <v>-7.6</v>
      </c>
      <c r="AN10">
        <v>0.00088465</v>
      </c>
      <c r="AO10">
        <v>0</v>
      </c>
      <c r="AQ10">
        <v>3.7</v>
      </c>
      <c r="AR10">
        <v>0.00424355</v>
      </c>
      <c r="AS10">
        <v>0.01545763</v>
      </c>
      <c r="AU10">
        <v>2.01</v>
      </c>
      <c r="AV10">
        <v>0.08179124</v>
      </c>
      <c r="AW10">
        <v>0.02714431</v>
      </c>
      <c r="AY10">
        <v>-3</v>
      </c>
      <c r="AZ10">
        <v>0</v>
      </c>
      <c r="BA10">
        <v>0.00082217</v>
      </c>
      <c r="BC10">
        <v>120</v>
      </c>
      <c r="BD10">
        <v>0.01320704</v>
      </c>
      <c r="BG10">
        <v>4</v>
      </c>
      <c r="BH10">
        <v>0.16803136</v>
      </c>
      <c r="BI10">
        <v>0.13315119</v>
      </c>
      <c r="BO10">
        <v>-1.475323818238838</v>
      </c>
      <c r="BP10">
        <v>0.00524059</v>
      </c>
      <c r="BQ10">
        <v>0</v>
      </c>
    </row>
    <row r="11" spans="2:69">
      <c r="AE11">
        <v>11.5</v>
      </c>
      <c r="AF11">
        <v>0.03333333</v>
      </c>
      <c r="AG11">
        <v>0.02</v>
      </c>
      <c r="AH11">
        <v>0.05473322</v>
      </c>
      <c r="AI11">
        <v>11.5</v>
      </c>
      <c r="AJ11">
        <v>0.05034664</v>
      </c>
      <c r="AK11">
        <v>0.05473322</v>
      </c>
      <c r="AL11">
        <v>0.05125642</v>
      </c>
      <c r="AM11">
        <v>-7</v>
      </c>
      <c r="AN11">
        <v>0.00104209</v>
      </c>
      <c r="AO11">
        <v>0</v>
      </c>
      <c r="AQ11">
        <v>4.5</v>
      </c>
      <c r="AR11">
        <v>0.00870306</v>
      </c>
      <c r="AS11">
        <v>0.01958927</v>
      </c>
      <c r="AU11">
        <v>2.51</v>
      </c>
      <c r="AV11">
        <v>0.07780223999999999</v>
      </c>
      <c r="AW11">
        <v>0.0333688</v>
      </c>
      <c r="AY11">
        <v>-2.5</v>
      </c>
      <c r="AZ11">
        <v>0</v>
      </c>
      <c r="BA11">
        <v>0.00097041</v>
      </c>
      <c r="BC11">
        <v>125</v>
      </c>
      <c r="BD11">
        <v>0.01144867</v>
      </c>
      <c r="BG11">
        <v>5</v>
      </c>
      <c r="BH11">
        <v>0.10081881</v>
      </c>
      <c r="BI11">
        <v>0.16918033</v>
      </c>
      <c r="BO11">
        <v>-1.027792661576466</v>
      </c>
      <c r="BP11">
        <v>0.00655074</v>
      </c>
      <c r="BQ11">
        <v>0</v>
      </c>
    </row>
    <row r="12" spans="2:69">
      <c r="B12" s="5" t="s">
        <v>86</v>
      </c>
      <c r="AE12">
        <v>11.8</v>
      </c>
      <c r="AF12">
        <v>0.03333333</v>
      </c>
      <c r="AG12">
        <v>0.024</v>
      </c>
      <c r="AH12">
        <v>0.05966496</v>
      </c>
      <c r="AI12">
        <v>11.8</v>
      </c>
      <c r="AJ12">
        <v>0.05256597</v>
      </c>
      <c r="AK12">
        <v>0.05966496</v>
      </c>
      <c r="AL12">
        <v>0.06090948</v>
      </c>
      <c r="AM12">
        <v>-6.4</v>
      </c>
      <c r="AN12">
        <v>0.00122315</v>
      </c>
      <c r="AO12">
        <v>0</v>
      </c>
      <c r="AQ12">
        <v>5.300000000000001</v>
      </c>
      <c r="AR12">
        <v>0.01441808</v>
      </c>
      <c r="AS12">
        <v>0.02344759</v>
      </c>
      <c r="AU12">
        <v>3.01</v>
      </c>
      <c r="AV12">
        <v>0.07400778</v>
      </c>
      <c r="AW12">
        <v>0.0392563</v>
      </c>
      <c r="AY12">
        <v>-2</v>
      </c>
      <c r="AZ12">
        <v>1E-08</v>
      </c>
      <c r="BA12">
        <v>0.00114519</v>
      </c>
      <c r="BC12">
        <v>130</v>
      </c>
      <c r="BD12">
        <v>0.00998018</v>
      </c>
      <c r="BG12">
        <v>6</v>
      </c>
      <c r="BH12">
        <v>0.05040941</v>
      </c>
      <c r="BI12">
        <v>0.17415622</v>
      </c>
      <c r="BO12">
        <v>-0.5802615049140933</v>
      </c>
      <c r="BP12">
        <v>0.007860890000000001</v>
      </c>
      <c r="BQ12">
        <v>0</v>
      </c>
    </row>
    <row r="13" spans="2:69">
      <c r="B13" s="11" t="s">
        <v>87</v>
      </c>
      <c r="C13" s="11"/>
      <c r="D13" s="11"/>
      <c r="E13" s="11"/>
      <c r="F13" s="11" t="s">
        <v>88</v>
      </c>
      <c r="G13" s="11"/>
      <c r="H13" s="11"/>
      <c r="AE13">
        <v>12.1</v>
      </c>
      <c r="AF13">
        <v>0.03333333</v>
      </c>
      <c r="AG13">
        <v>0.028</v>
      </c>
      <c r="AH13">
        <v>0.06380688</v>
      </c>
      <c r="AI13">
        <v>12.1</v>
      </c>
      <c r="AJ13">
        <v>0.05435992</v>
      </c>
      <c r="AK13">
        <v>0.06380688</v>
      </c>
      <c r="AL13">
        <v>0.06965965</v>
      </c>
      <c r="AM13">
        <v>-5.8</v>
      </c>
      <c r="AN13">
        <v>0.00143051</v>
      </c>
      <c r="AO13">
        <v>0</v>
      </c>
      <c r="AQ13">
        <v>6.100000000000001</v>
      </c>
      <c r="AR13">
        <v>0.02075207</v>
      </c>
      <c r="AS13">
        <v>0.02693914</v>
      </c>
      <c r="AU13">
        <v>3.51</v>
      </c>
      <c r="AV13">
        <v>0.07039838</v>
      </c>
      <c r="AW13">
        <v>0.04475257</v>
      </c>
      <c r="AY13">
        <v>-1.5</v>
      </c>
      <c r="AZ13">
        <v>9E-08</v>
      </c>
      <c r="BA13">
        <v>0.00135119</v>
      </c>
      <c r="BC13">
        <v>135</v>
      </c>
      <c r="BD13">
        <v>0.00874524</v>
      </c>
      <c r="BG13">
        <v>7</v>
      </c>
      <c r="BH13">
        <v>0.02160403</v>
      </c>
      <c r="BI13">
        <v>0.14927676</v>
      </c>
      <c r="BO13">
        <v>-0.1327303482517213</v>
      </c>
      <c r="BP13">
        <v>0.00917104</v>
      </c>
      <c r="BQ13">
        <v>0</v>
      </c>
    </row>
    <row r="14" spans="2:69">
      <c r="B14" s="7" t="s">
        <v>89</v>
      </c>
      <c r="C14" s="7"/>
      <c r="D14" s="7"/>
      <c r="E14" s="7"/>
      <c r="F14" s="14" t="s">
        <v>90</v>
      </c>
      <c r="G14" s="14"/>
      <c r="H14" s="14"/>
      <c r="AE14">
        <v>12.4</v>
      </c>
      <c r="AF14">
        <v>0.03333333</v>
      </c>
      <c r="AG14">
        <v>0.032</v>
      </c>
      <c r="AH14">
        <v>0.06727883</v>
      </c>
      <c r="AI14">
        <v>12.4</v>
      </c>
      <c r="AJ14">
        <v>0.05581928</v>
      </c>
      <c r="AK14">
        <v>0.06727883</v>
      </c>
      <c r="AL14">
        <v>0.07744672</v>
      </c>
      <c r="AM14">
        <v>-5.2</v>
      </c>
      <c r="AN14">
        <v>0.00166701</v>
      </c>
      <c r="AO14">
        <v>0</v>
      </c>
      <c r="AQ14">
        <v>6.9</v>
      </c>
      <c r="AR14">
        <v>0.0270856</v>
      </c>
      <c r="AS14">
        <v>0.03001056</v>
      </c>
      <c r="AU14">
        <v>4.01</v>
      </c>
      <c r="AV14">
        <v>0.06696501000000001</v>
      </c>
      <c r="AW14">
        <v>0.04980986</v>
      </c>
      <c r="AY14">
        <v>-1</v>
      </c>
      <c r="AZ14">
        <v>6.3E-07</v>
      </c>
      <c r="BA14">
        <v>0.00159389</v>
      </c>
      <c r="BC14">
        <v>140</v>
      </c>
      <c r="BD14">
        <v>0.00770002</v>
      </c>
      <c r="BG14">
        <v>8</v>
      </c>
      <c r="BH14">
        <v>0.008101509999999999</v>
      </c>
      <c r="BI14">
        <v>0.1086647</v>
      </c>
      <c r="BO14">
        <v>0.3148008084106513</v>
      </c>
      <c r="BP14">
        <v>0.01048119</v>
      </c>
      <c r="BQ14">
        <v>0</v>
      </c>
    </row>
    <row r="15" spans="2:69">
      <c r="B15" s="8" t="s">
        <v>91</v>
      </c>
      <c r="C15" s="8"/>
      <c r="D15" s="8"/>
      <c r="E15" s="8"/>
      <c r="F15" s="15" t="s">
        <v>92</v>
      </c>
      <c r="G15" s="15"/>
      <c r="H15" s="15"/>
      <c r="AE15">
        <v>12.7</v>
      </c>
      <c r="AF15">
        <v>0.03333333</v>
      </c>
      <c r="AG15">
        <v>0.036</v>
      </c>
      <c r="AH15">
        <v>0.07017116</v>
      </c>
      <c r="AI15">
        <v>12.7</v>
      </c>
      <c r="AJ15">
        <v>0.0570065</v>
      </c>
      <c r="AK15">
        <v>0.07017116</v>
      </c>
      <c r="AL15">
        <v>0.08424876000000001</v>
      </c>
      <c r="AM15">
        <v>-4.600000000000001</v>
      </c>
      <c r="AN15">
        <v>0.00193563</v>
      </c>
      <c r="AO15">
        <v>0</v>
      </c>
      <c r="AQ15">
        <v>7.7</v>
      </c>
      <c r="AR15">
        <v>0.03293566</v>
      </c>
      <c r="AS15">
        <v>0.03263739</v>
      </c>
      <c r="AU15">
        <v>4.51</v>
      </c>
      <c r="AV15">
        <v>0.06369908000000001</v>
      </c>
      <c r="AW15">
        <v>0.05438757</v>
      </c>
      <c r="AY15">
        <v>-0.5</v>
      </c>
      <c r="AZ15">
        <v>3.49E-06</v>
      </c>
      <c r="BA15">
        <v>0.00187968</v>
      </c>
      <c r="BC15">
        <v>145</v>
      </c>
      <c r="BD15">
        <v>0.00681008</v>
      </c>
      <c r="BG15">
        <v>9</v>
      </c>
      <c r="BH15">
        <v>0.0027005</v>
      </c>
      <c r="BI15">
        <v>0.06818177</v>
      </c>
      <c r="BO15">
        <v>0.7623319650730238</v>
      </c>
      <c r="BP15">
        <v>0.01179133</v>
      </c>
      <c r="BQ15">
        <v>0</v>
      </c>
    </row>
    <row r="16" spans="2:69">
      <c r="B16" s="7" t="s">
        <v>93</v>
      </c>
      <c r="C16" s="7"/>
      <c r="D16" s="7"/>
      <c r="E16" s="7"/>
      <c r="F16" s="14" t="s">
        <v>94</v>
      </c>
      <c r="G16" s="14"/>
      <c r="H16" s="14"/>
      <c r="AE16">
        <v>13</v>
      </c>
      <c r="AF16">
        <v>0.03333333</v>
      </c>
      <c r="AG16">
        <v>0.04</v>
      </c>
      <c r="AH16">
        <v>0.07255499999999999</v>
      </c>
      <c r="AI16">
        <v>13</v>
      </c>
      <c r="AJ16">
        <v>0.05796672</v>
      </c>
      <c r="AK16">
        <v>0.07255499999999999</v>
      </c>
      <c r="AL16">
        <v>0.09007016</v>
      </c>
      <c r="AM16">
        <v>-4</v>
      </c>
      <c r="AN16">
        <v>0.00223945</v>
      </c>
      <c r="AO16">
        <v>0</v>
      </c>
      <c r="AQ16">
        <v>8.5</v>
      </c>
      <c r="AR16">
        <v>0.03798694</v>
      </c>
      <c r="AS16">
        <v>0.03481587</v>
      </c>
      <c r="AU16">
        <v>5.01</v>
      </c>
      <c r="AV16">
        <v>0.06059244</v>
      </c>
      <c r="AW16">
        <v>0.05845276</v>
      </c>
      <c r="AY16">
        <v>0</v>
      </c>
      <c r="AZ16">
        <v>1.559E-05</v>
      </c>
      <c r="BA16">
        <v>0.00221602</v>
      </c>
      <c r="BC16">
        <v>150</v>
      </c>
      <c r="BD16">
        <v>0.00604812</v>
      </c>
      <c r="BG16">
        <v>10</v>
      </c>
      <c r="BH16">
        <v>0.00081015</v>
      </c>
      <c r="BI16">
        <v>0.03729944</v>
      </c>
      <c r="BO16">
        <v>1.209863121735395</v>
      </c>
      <c r="BP16">
        <v>0.01310148</v>
      </c>
      <c r="BQ16">
        <v>0</v>
      </c>
    </row>
    <row r="17" spans="2:69">
      <c r="B17" s="8" t="s">
        <v>95</v>
      </c>
      <c r="C17" s="8"/>
      <c r="D17" s="8"/>
      <c r="E17" s="8"/>
      <c r="F17" s="15" t="s">
        <v>96</v>
      </c>
      <c r="G17" s="15"/>
      <c r="H17" s="15"/>
      <c r="AE17">
        <v>13.3</v>
      </c>
      <c r="AF17">
        <v>0.03333333</v>
      </c>
      <c r="AG17">
        <v>0.044</v>
      </c>
      <c r="AH17">
        <v>0.0744882</v>
      </c>
      <c r="AI17">
        <v>13.3</v>
      </c>
      <c r="AJ17">
        <v>0.05873389</v>
      </c>
      <c r="AK17">
        <v>0.0744882</v>
      </c>
      <c r="AL17">
        <v>0.09493387</v>
      </c>
      <c r="AM17">
        <v>-3.4</v>
      </c>
      <c r="AN17">
        <v>0.00258166</v>
      </c>
      <c r="AO17">
        <v>0</v>
      </c>
      <c r="AQ17">
        <v>9.300000000000001</v>
      </c>
      <c r="AR17">
        <v>0.04207573</v>
      </c>
      <c r="AS17">
        <v>0.03655691</v>
      </c>
      <c r="AU17">
        <v>5.51</v>
      </c>
      <c r="AV17">
        <v>0.05763731</v>
      </c>
      <c r="AW17">
        <v>0.0619805</v>
      </c>
      <c r="AY17">
        <v>0.5</v>
      </c>
      <c r="AZ17">
        <v>5.758E-05</v>
      </c>
      <c r="BA17">
        <v>0.00261157</v>
      </c>
      <c r="BC17">
        <v>155</v>
      </c>
      <c r="BD17">
        <v>0.00539236</v>
      </c>
      <c r="BG17">
        <v>11</v>
      </c>
      <c r="BH17">
        <v>0.00022095</v>
      </c>
      <c r="BI17">
        <v>0.0179516</v>
      </c>
      <c r="BO17">
        <v>1.657394278397768</v>
      </c>
      <c r="BP17">
        <v>0.01441163</v>
      </c>
      <c r="BQ17">
        <v>0</v>
      </c>
    </row>
    <row r="18" spans="2:69">
      <c r="B18" s="7" t="s">
        <v>97</v>
      </c>
      <c r="C18" s="7"/>
      <c r="D18" s="7"/>
      <c r="E18" s="7"/>
      <c r="F18" s="14" t="s">
        <v>98</v>
      </c>
      <c r="G18" s="14"/>
      <c r="H18" s="14"/>
      <c r="AE18">
        <v>13.6</v>
      </c>
      <c r="AF18">
        <v>0.03333333</v>
      </c>
      <c r="AG18">
        <v>0.048</v>
      </c>
      <c r="AH18">
        <v>0.07601898999999999</v>
      </c>
      <c r="AI18">
        <v>13.6</v>
      </c>
      <c r="AJ18">
        <v>0.05933433</v>
      </c>
      <c r="AK18">
        <v>0.07601898999999999</v>
      </c>
      <c r="AL18">
        <v>0.09887588</v>
      </c>
      <c r="AM18">
        <v>-2.800000000000001</v>
      </c>
      <c r="AN18">
        <v>0.00296546</v>
      </c>
      <c r="AO18">
        <v>0</v>
      </c>
      <c r="AQ18">
        <v>10.1</v>
      </c>
      <c r="AR18">
        <v>0.04515565</v>
      </c>
      <c r="AS18">
        <v>0.03788151</v>
      </c>
      <c r="AU18">
        <v>6.01</v>
      </c>
      <c r="AV18">
        <v>0.05482631</v>
      </c>
      <c r="AW18">
        <v>0.06495404</v>
      </c>
      <c r="AY18">
        <v>1</v>
      </c>
      <c r="AZ18">
        <v>0.00017973</v>
      </c>
      <c r="BA18">
        <v>0.00307639</v>
      </c>
      <c r="BC18">
        <v>160</v>
      </c>
      <c r="BD18">
        <v>0.00482525</v>
      </c>
      <c r="BG18">
        <v>12</v>
      </c>
      <c r="BH18">
        <v>5.524E-05</v>
      </c>
      <c r="BI18">
        <v>0.00765583</v>
      </c>
      <c r="BO18">
        <v>2.104925435060141</v>
      </c>
      <c r="BP18">
        <v>0.01572178</v>
      </c>
      <c r="BQ18">
        <v>0</v>
      </c>
    </row>
    <row r="19" spans="2:69">
      <c r="B19" s="8" t="s">
        <v>99</v>
      </c>
      <c r="C19" s="8"/>
      <c r="D19" s="8"/>
      <c r="E19" s="8"/>
      <c r="F19" s="15" t="s">
        <v>100</v>
      </c>
      <c r="G19" s="15"/>
      <c r="H19" s="15"/>
      <c r="AE19">
        <v>13.9</v>
      </c>
      <c r="AF19">
        <v>0.03333333</v>
      </c>
      <c r="AG19">
        <v>0.052</v>
      </c>
      <c r="AH19">
        <v>0.07718841</v>
      </c>
      <c r="AI19">
        <v>13.9</v>
      </c>
      <c r="AJ19">
        <v>0.05978897</v>
      </c>
      <c r="AK19">
        <v>0.07718841</v>
      </c>
      <c r="AL19">
        <v>0.10194135</v>
      </c>
      <c r="AM19">
        <v>-2.2</v>
      </c>
      <c r="AN19">
        <v>0.00339408</v>
      </c>
      <c r="AO19">
        <v>0</v>
      </c>
      <c r="AQ19">
        <v>10.9</v>
      </c>
      <c r="AR19">
        <v>0.04726143</v>
      </c>
      <c r="AS19">
        <v>0.03881735</v>
      </c>
      <c r="AU19">
        <v>6.51</v>
      </c>
      <c r="AV19">
        <v>0.0521524</v>
      </c>
      <c r="AW19">
        <v>0.06736478</v>
      </c>
      <c r="AY19">
        <v>1.5</v>
      </c>
      <c r="AZ19">
        <v>0.00048363</v>
      </c>
      <c r="BA19">
        <v>0.00362208</v>
      </c>
      <c r="BC19">
        <v>165</v>
      </c>
      <c r="BD19">
        <v>0.00433258</v>
      </c>
      <c r="BO19">
        <v>2.552456591722513</v>
      </c>
      <c r="BP19">
        <v>0.01703193</v>
      </c>
      <c r="BQ19">
        <v>0</v>
      </c>
    </row>
    <row r="20" spans="2:69">
      <c r="B20" s="7" t="s">
        <v>101</v>
      </c>
      <c r="C20" s="7"/>
      <c r="D20" s="7"/>
      <c r="E20" s="7"/>
      <c r="F20" s="14" t="s">
        <v>102</v>
      </c>
      <c r="G20" s="14"/>
      <c r="H20" s="14"/>
      <c r="AE20">
        <v>14.2</v>
      </c>
      <c r="AF20">
        <v>0.03333333</v>
      </c>
      <c r="AG20">
        <v>0.056</v>
      </c>
      <c r="AH20">
        <v>0.07803196</v>
      </c>
      <c r="AI20">
        <v>14.2</v>
      </c>
      <c r="AJ20">
        <v>0.06011478</v>
      </c>
      <c r="AK20">
        <v>0.07803196</v>
      </c>
      <c r="AL20">
        <v>0.10418166</v>
      </c>
      <c r="AM20">
        <v>-1.6</v>
      </c>
      <c r="AN20">
        <v>0.00387069</v>
      </c>
      <c r="AO20">
        <v>0</v>
      </c>
      <c r="AQ20">
        <v>11.7</v>
      </c>
      <c r="AR20">
        <v>0.04847789</v>
      </c>
      <c r="AS20">
        <v>0.03939619</v>
      </c>
      <c r="AU20">
        <v>7.01</v>
      </c>
      <c r="AV20">
        <v>0.0496089</v>
      </c>
      <c r="AW20">
        <v>0.06921213</v>
      </c>
      <c r="AY20">
        <v>2</v>
      </c>
      <c r="AZ20">
        <v>0.00114157</v>
      </c>
      <c r="BA20">
        <v>0.00426198</v>
      </c>
      <c r="BC20">
        <v>170</v>
      </c>
      <c r="BD20">
        <v>0.00390273</v>
      </c>
      <c r="BO20">
        <v>2.999987748384885</v>
      </c>
      <c r="BP20">
        <v>0.01834207</v>
      </c>
      <c r="BQ20">
        <v>0</v>
      </c>
    </row>
    <row r="21" spans="2:69">
      <c r="B21" s="8" t="s">
        <v>103</v>
      </c>
      <c r="C21" s="8"/>
      <c r="D21" s="8"/>
      <c r="E21" s="8"/>
      <c r="F21" s="15" t="s">
        <v>104</v>
      </c>
      <c r="G21" s="15"/>
      <c r="H21" s="15"/>
      <c r="AE21">
        <v>14.5</v>
      </c>
      <c r="AF21">
        <v>0.03333333</v>
      </c>
      <c r="AG21">
        <v>0.06</v>
      </c>
      <c r="AH21">
        <v>0.07858076999999999</v>
      </c>
      <c r="AI21">
        <v>14.5</v>
      </c>
      <c r="AJ21">
        <v>0.06032581</v>
      </c>
      <c r="AK21">
        <v>0.07858076999999999</v>
      </c>
      <c r="AL21">
        <v>0.10565225</v>
      </c>
      <c r="AM21">
        <v>-1</v>
      </c>
      <c r="AN21">
        <v>0.00439836</v>
      </c>
      <c r="AO21">
        <v>0</v>
      </c>
      <c r="AQ21">
        <v>12.5</v>
      </c>
      <c r="AR21">
        <v>0.04891621</v>
      </c>
      <c r="AS21">
        <v>0.03965194</v>
      </c>
      <c r="AU21">
        <v>7.51</v>
      </c>
      <c r="AV21">
        <v>0.04718944</v>
      </c>
      <c r="AW21">
        <v>0.07050314000000001</v>
      </c>
      <c r="AY21">
        <v>2.5</v>
      </c>
      <c r="AZ21">
        <v>0.00240042</v>
      </c>
      <c r="BA21">
        <v>0.00501136</v>
      </c>
      <c r="BC21">
        <v>175</v>
      </c>
      <c r="BD21">
        <v>0.0035262</v>
      </c>
      <c r="BO21">
        <v>3.447518905047257</v>
      </c>
      <c r="BP21">
        <v>0.01965222</v>
      </c>
      <c r="BQ21">
        <v>0</v>
      </c>
    </row>
    <row r="22" spans="2:69">
      <c r="B22" s="7" t="s">
        <v>105</v>
      </c>
      <c r="C22" s="7"/>
      <c r="D22" s="7"/>
      <c r="E22" s="7"/>
      <c r="F22" s="14" t="s">
        <v>106</v>
      </c>
      <c r="G22" s="14"/>
      <c r="H22" s="14"/>
      <c r="AE22">
        <v>14.8</v>
      </c>
      <c r="AF22">
        <v>0.03333333</v>
      </c>
      <c r="AG22">
        <v>0.064</v>
      </c>
      <c r="AH22">
        <v>0.07886239</v>
      </c>
      <c r="AI22">
        <v>14.8</v>
      </c>
      <c r="AJ22">
        <v>0.06043381</v>
      </c>
      <c r="AK22">
        <v>0.07886239</v>
      </c>
      <c r="AL22">
        <v>0.1064109</v>
      </c>
      <c r="AM22">
        <v>-0.4000000000000004</v>
      </c>
      <c r="AN22">
        <v>0.00498001</v>
      </c>
      <c r="AO22">
        <v>0</v>
      </c>
      <c r="AQ22">
        <v>13.3</v>
      </c>
      <c r="AR22">
        <v>0.04869721</v>
      </c>
      <c r="AS22">
        <v>0.03961921</v>
      </c>
      <c r="AU22">
        <v>8.01</v>
      </c>
      <c r="AV22">
        <v>0.04488799</v>
      </c>
      <c r="AW22">
        <v>0.07125206000000001</v>
      </c>
      <c r="AY22">
        <v>3</v>
      </c>
      <c r="AZ22">
        <v>0.00455788</v>
      </c>
      <c r="BA22">
        <v>0.00588757</v>
      </c>
      <c r="BC22">
        <v>180</v>
      </c>
      <c r="BD22">
        <v>0.00319511</v>
      </c>
      <c r="BO22">
        <v>3.89505006170963</v>
      </c>
      <c r="BP22">
        <v>0.02096237</v>
      </c>
      <c r="BQ22">
        <v>0</v>
      </c>
    </row>
    <row r="23" spans="2:69">
      <c r="AE23">
        <v>15.1</v>
      </c>
      <c r="AF23">
        <v>0.03333333</v>
      </c>
      <c r="AG23">
        <v>0.0664</v>
      </c>
      <c r="AH23">
        <v>0.0789015</v>
      </c>
      <c r="AI23">
        <v>15.1</v>
      </c>
      <c r="AJ23">
        <v>0.06044879</v>
      </c>
      <c r="AK23">
        <v>0.0789015</v>
      </c>
      <c r="AL23">
        <v>0.10651646</v>
      </c>
      <c r="AM23">
        <v>0.1999999999999993</v>
      </c>
      <c r="AN23">
        <v>0.00561831</v>
      </c>
      <c r="AO23">
        <v>0.00617097</v>
      </c>
      <c r="AQ23">
        <v>14.1</v>
      </c>
      <c r="AR23">
        <v>0.0479403</v>
      </c>
      <c r="AS23">
        <v>0.03933223</v>
      </c>
      <c r="AU23">
        <v>8.51</v>
      </c>
      <c r="AV23">
        <v>0.04269877</v>
      </c>
      <c r="AW23">
        <v>0.07147972</v>
      </c>
      <c r="AY23">
        <v>3.5</v>
      </c>
      <c r="AZ23">
        <v>0.007909319999999999</v>
      </c>
      <c r="BA23">
        <v>0.00691019</v>
      </c>
      <c r="BC23">
        <v>185</v>
      </c>
      <c r="BD23">
        <v>0.00290295</v>
      </c>
      <c r="BO23">
        <v>4.342581218372001</v>
      </c>
      <c r="BP23">
        <v>0.02227252</v>
      </c>
      <c r="BQ23">
        <v>0</v>
      </c>
    </row>
    <row r="24" spans="2:69">
      <c r="B24" s="5" t="s">
        <v>107</v>
      </c>
      <c r="AE24">
        <v>15.4</v>
      </c>
      <c r="AF24">
        <v>0.03333333</v>
      </c>
      <c r="AG24">
        <v>0.06560000000000001</v>
      </c>
      <c r="AH24">
        <v>0.07872032</v>
      </c>
      <c r="AI24">
        <v>15.4</v>
      </c>
      <c r="AJ24">
        <v>0.06037935</v>
      </c>
      <c r="AK24">
        <v>0.07872032</v>
      </c>
      <c r="AL24">
        <v>0.10602784</v>
      </c>
      <c r="AM24">
        <v>0.7999999999999989</v>
      </c>
      <c r="AN24">
        <v>0.00631566</v>
      </c>
      <c r="AO24">
        <v>0.00693691</v>
      </c>
      <c r="AQ24">
        <v>14.9</v>
      </c>
      <c r="AR24">
        <v>0.04675691</v>
      </c>
      <c r="AS24">
        <v>0.03882414</v>
      </c>
      <c r="AU24">
        <v>9.01</v>
      </c>
      <c r="AV24">
        <v>0.04061633</v>
      </c>
      <c r="AW24">
        <v>0.07121287</v>
      </c>
      <c r="AY24">
        <v>4</v>
      </c>
      <c r="AZ24">
        <v>0.01267678</v>
      </c>
      <c r="BA24">
        <v>0.00810107</v>
      </c>
      <c r="BC24">
        <v>190</v>
      </c>
      <c r="BD24">
        <v>0.00264425</v>
      </c>
      <c r="BO24">
        <v>4.790112375034375</v>
      </c>
      <c r="BP24">
        <v>0.02358267</v>
      </c>
      <c r="BQ24">
        <v>0</v>
      </c>
    </row>
    <row r="25" spans="2:69" ht="18" customHeight="1">
      <c r="B25" s="16" t="s">
        <v>108</v>
      </c>
      <c r="C25" s="16"/>
      <c r="D25" s="16"/>
      <c r="E25" s="16"/>
      <c r="F25" s="16"/>
      <c r="G25" s="16"/>
      <c r="H25" s="16"/>
      <c r="I25" s="16"/>
      <c r="AE25">
        <v>15.7</v>
      </c>
      <c r="AF25">
        <v>0.03333333</v>
      </c>
      <c r="AG25">
        <v>0.0648</v>
      </c>
      <c r="AH25">
        <v>0.07833902</v>
      </c>
      <c r="AI25">
        <v>15.7</v>
      </c>
      <c r="AJ25">
        <v>0.06023294</v>
      </c>
      <c r="AK25">
        <v>0.07833902</v>
      </c>
      <c r="AL25">
        <v>0.10500319</v>
      </c>
      <c r="AM25">
        <v>1.4</v>
      </c>
      <c r="AN25">
        <v>0.00707404</v>
      </c>
      <c r="AO25">
        <v>0.00776989</v>
      </c>
      <c r="AQ25">
        <v>15.7</v>
      </c>
      <c r="AR25">
        <v>0.0452469</v>
      </c>
      <c r="AS25">
        <v>0.03812644</v>
      </c>
      <c r="AU25">
        <v>9.51</v>
      </c>
      <c r="AV25">
        <v>0.03863545</v>
      </c>
      <c r="AW25">
        <v>0.07048337</v>
      </c>
      <c r="AY25">
        <v>4.5</v>
      </c>
      <c r="AZ25">
        <v>0.01894205</v>
      </c>
      <c r="BA25">
        <v>0.009484340000000001</v>
      </c>
      <c r="BC25">
        <v>195</v>
      </c>
      <c r="BD25">
        <v>0.00241445</v>
      </c>
      <c r="BO25">
        <v>5.237643531696746</v>
      </c>
      <c r="BP25">
        <v>0.02489282</v>
      </c>
      <c r="BQ25">
        <v>0.00271593</v>
      </c>
    </row>
    <row r="26" spans="2:69" ht="18" customHeight="1">
      <c r="B26" s="16" t="s">
        <v>109</v>
      </c>
      <c r="C26" s="16"/>
      <c r="D26" s="16"/>
      <c r="E26" s="16"/>
      <c r="F26" s="16"/>
      <c r="G26" s="16"/>
      <c r="H26" s="16"/>
      <c r="I26" s="16"/>
      <c r="AE26">
        <v>16</v>
      </c>
      <c r="AF26">
        <v>0.03333333</v>
      </c>
      <c r="AG26">
        <v>0.064</v>
      </c>
      <c r="AH26">
        <v>0.077776</v>
      </c>
      <c r="AI26">
        <v>16</v>
      </c>
      <c r="AJ26">
        <v>0.06001611</v>
      </c>
      <c r="AK26">
        <v>0.077776</v>
      </c>
      <c r="AL26">
        <v>0.10349931</v>
      </c>
      <c r="AM26">
        <v>2</v>
      </c>
      <c r="AN26">
        <v>0.007895020000000001</v>
      </c>
      <c r="AO26">
        <v>0.00867162</v>
      </c>
      <c r="AQ26">
        <v>16.5</v>
      </c>
      <c r="AR26">
        <v>0.04349712</v>
      </c>
      <c r="AS26">
        <v>0.03726863</v>
      </c>
      <c r="AU26">
        <v>10.01</v>
      </c>
      <c r="AV26">
        <v>0.03675117</v>
      </c>
      <c r="AW26">
        <v>0.06932737</v>
      </c>
      <c r="AY26">
        <v>5</v>
      </c>
      <c r="AZ26">
        <v>0.0266055</v>
      </c>
      <c r="BA26">
        <v>0.01108624</v>
      </c>
      <c r="BC26">
        <v>200</v>
      </c>
      <c r="BD26">
        <v>0.00220971</v>
      </c>
      <c r="BO26">
        <v>5.685174688359118</v>
      </c>
      <c r="BP26">
        <v>0.02620296</v>
      </c>
      <c r="BQ26">
        <v>0.00783057</v>
      </c>
    </row>
    <row r="27" spans="2:69" ht="18" customHeight="1">
      <c r="B27" s="16" t="s">
        <v>110</v>
      </c>
      <c r="C27" s="16"/>
      <c r="D27" s="16"/>
      <c r="E27" s="16"/>
      <c r="F27" s="16"/>
      <c r="G27" s="16"/>
      <c r="H27" s="16"/>
      <c r="I27" s="16"/>
      <c r="AE27">
        <v>16.3</v>
      </c>
      <c r="AF27">
        <v>0.03333333</v>
      </c>
      <c r="AG27">
        <v>0.06320000000000001</v>
      </c>
      <c r="AH27">
        <v>0.07704814</v>
      </c>
      <c r="AI27">
        <v>16.3</v>
      </c>
      <c r="AJ27">
        <v>0.05973462</v>
      </c>
      <c r="AK27">
        <v>0.07704814</v>
      </c>
      <c r="AL27">
        <v>0.10157119</v>
      </c>
      <c r="AM27">
        <v>2.6</v>
      </c>
      <c r="AN27">
        <v>0.00877961</v>
      </c>
      <c r="AO27">
        <v>0.009643229999999999</v>
      </c>
      <c r="AQ27">
        <v>17.3</v>
      </c>
      <c r="AR27">
        <v>0.04158135</v>
      </c>
      <c r="AS27">
        <v>0.03627801</v>
      </c>
      <c r="AU27">
        <v>10.51</v>
      </c>
      <c r="AV27">
        <v>0.0349588</v>
      </c>
      <c r="AW27">
        <v>0.06778442</v>
      </c>
      <c r="AY27">
        <v>5.5</v>
      </c>
      <c r="AZ27">
        <v>0.03538345</v>
      </c>
      <c r="BA27">
        <v>0.01293474</v>
      </c>
      <c r="BC27">
        <v>205</v>
      </c>
      <c r="BD27">
        <v>0.00202676</v>
      </c>
      <c r="BO27">
        <v>6.132705845021492</v>
      </c>
      <c r="BP27">
        <v>0.02751311</v>
      </c>
      <c r="BQ27">
        <v>0.01294521</v>
      </c>
    </row>
    <row r="28" spans="2:69" ht="18" customHeight="1">
      <c r="B28" s="16" t="s">
        <v>111</v>
      </c>
      <c r="C28" s="16"/>
      <c r="D28" s="16"/>
      <c r="E28" s="16"/>
      <c r="F28" s="16"/>
      <c r="G28" s="16"/>
      <c r="H28" s="16"/>
      <c r="I28" s="16"/>
      <c r="AE28">
        <v>16.6</v>
      </c>
      <c r="AF28">
        <v>0.03333333</v>
      </c>
      <c r="AG28">
        <v>0.0624</v>
      </c>
      <c r="AH28">
        <v>0.07617097</v>
      </c>
      <c r="AI28">
        <v>16.6</v>
      </c>
      <c r="AJ28">
        <v>0.05939361</v>
      </c>
      <c r="AK28">
        <v>0.07617097</v>
      </c>
      <c r="AL28">
        <v>0.09927163</v>
      </c>
      <c r="AM28">
        <v>3.199999999999999</v>
      </c>
      <c r="AN28">
        <v>0.009728229999999999</v>
      </c>
      <c r="AO28">
        <v>0.01068516</v>
      </c>
      <c r="AQ28">
        <v>18.1</v>
      </c>
      <c r="AR28">
        <v>0.03956092</v>
      </c>
      <c r="AS28">
        <v>0.03517958</v>
      </c>
      <c r="AU28">
        <v>11.01</v>
      </c>
      <c r="AV28">
        <v>0.03325384</v>
      </c>
      <c r="AW28">
        <v>0.0658966</v>
      </c>
      <c r="AY28">
        <v>6</v>
      </c>
      <c r="AZ28">
        <v>0.04484352</v>
      </c>
      <c r="BA28">
        <v>0.01505889</v>
      </c>
      <c r="BC28">
        <v>210</v>
      </c>
      <c r="BD28">
        <v>0.00186283</v>
      </c>
      <c r="BO28">
        <v>6.580237001683863</v>
      </c>
      <c r="BP28">
        <v>0.02882326</v>
      </c>
      <c r="BQ28">
        <v>0.01805985</v>
      </c>
    </row>
    <row r="29" spans="2:69">
      <c r="AE29">
        <v>16.9</v>
      </c>
      <c r="AF29">
        <v>0.03333333</v>
      </c>
      <c r="AG29">
        <v>0.0616</v>
      </c>
      <c r="AH29">
        <v>0.07515882</v>
      </c>
      <c r="AI29">
        <v>16.9</v>
      </c>
      <c r="AJ29">
        <v>0.05899769</v>
      </c>
      <c r="AK29">
        <v>0.07515882</v>
      </c>
      <c r="AL29">
        <v>0.09665095999999999</v>
      </c>
      <c r="AM29">
        <v>3.799999999999999</v>
      </c>
      <c r="AN29">
        <v>0.01074061</v>
      </c>
      <c r="AO29">
        <v>0.01179713</v>
      </c>
      <c r="AQ29">
        <v>18.9</v>
      </c>
      <c r="AR29">
        <v>0.03748593</v>
      </c>
      <c r="AS29">
        <v>0.03399602</v>
      </c>
      <c r="AU29">
        <v>11.51</v>
      </c>
      <c r="AV29">
        <v>0.03163203</v>
      </c>
      <c r="AW29">
        <v>0.06370765</v>
      </c>
      <c r="AY29">
        <v>6.5</v>
      </c>
      <c r="AZ29">
        <v>0.05446649</v>
      </c>
      <c r="BA29">
        <v>0.01748785</v>
      </c>
      <c r="BC29">
        <v>215</v>
      </c>
      <c r="BD29">
        <v>0.00171556</v>
      </c>
      <c r="BO29">
        <v>7.027768158346235</v>
      </c>
      <c r="BP29">
        <v>0.03013341</v>
      </c>
      <c r="BQ29">
        <v>0.02317449</v>
      </c>
    </row>
    <row r="30" spans="2:69">
      <c r="B30" s="5" t="s">
        <v>112</v>
      </c>
      <c r="AE30">
        <v>17.2</v>
      </c>
      <c r="AF30">
        <v>0.03333333</v>
      </c>
      <c r="AG30">
        <v>0.0608</v>
      </c>
      <c r="AH30">
        <v>0.07402501</v>
      </c>
      <c r="AI30">
        <v>17.2</v>
      </c>
      <c r="AJ30">
        <v>0.05855099</v>
      </c>
      <c r="AK30">
        <v>0.07402501</v>
      </c>
      <c r="AL30">
        <v>0.09375688</v>
      </c>
      <c r="AM30">
        <v>4.399999999999999</v>
      </c>
      <c r="AN30">
        <v>0.01181573</v>
      </c>
      <c r="AO30">
        <v>0.01297801</v>
      </c>
      <c r="AQ30">
        <v>19.7</v>
      </c>
      <c r="AR30">
        <v>0.0353965</v>
      </c>
      <c r="AS30">
        <v>0.03274772</v>
      </c>
      <c r="AU30">
        <v>12.01</v>
      </c>
      <c r="AV30">
        <v>0.03008932</v>
      </c>
      <c r="AW30">
        <v>0.0612621</v>
      </c>
      <c r="AY30">
        <v>7</v>
      </c>
      <c r="AZ30">
        <v>0.06371760999999999</v>
      </c>
      <c r="BA30">
        <v>0.02024939</v>
      </c>
      <c r="BC30">
        <v>220</v>
      </c>
      <c r="BD30">
        <v>0.00158293</v>
      </c>
      <c r="BO30">
        <v>7.475299315008608</v>
      </c>
      <c r="BP30">
        <v>0.03144356</v>
      </c>
      <c r="BQ30">
        <v>0.02828914</v>
      </c>
    </row>
    <row r="31" spans="2:69">
      <c r="B31" s="11" t="s">
        <v>113</v>
      </c>
      <c r="C31" s="11" t="s">
        <v>114</v>
      </c>
      <c r="D31" s="11" t="s">
        <v>115</v>
      </c>
      <c r="E31" s="11" t="s">
        <v>116</v>
      </c>
      <c r="F31" s="11" t="s">
        <v>117</v>
      </c>
      <c r="G31" s="11" t="s">
        <v>118</v>
      </c>
      <c r="H31" s="11" t="s">
        <v>119</v>
      </c>
      <c r="I31" s="11" t="s">
        <v>120</v>
      </c>
      <c r="AE31">
        <v>17.5</v>
      </c>
      <c r="AF31">
        <v>0.03333333</v>
      </c>
      <c r="AG31">
        <v>0.06</v>
      </c>
      <c r="AH31">
        <v>0.07278187</v>
      </c>
      <c r="AI31">
        <v>17.5</v>
      </c>
      <c r="AJ31">
        <v>0.05805727</v>
      </c>
      <c r="AK31">
        <v>0.07278187</v>
      </c>
      <c r="AL31">
        <v>0.09063431</v>
      </c>
      <c r="AM31">
        <v>5</v>
      </c>
      <c r="AN31">
        <v>0.01295176</v>
      </c>
      <c r="AO31">
        <v>0.01422578</v>
      </c>
      <c r="AQ31">
        <v>20.5</v>
      </c>
      <c r="AR31">
        <v>0.03332419</v>
      </c>
      <c r="AS31">
        <v>0.03145283</v>
      </c>
      <c r="AU31">
        <v>12.51</v>
      </c>
      <c r="AV31">
        <v>0.02862184</v>
      </c>
      <c r="AW31">
        <v>0.05860449</v>
      </c>
      <c r="AY31">
        <v>7.5</v>
      </c>
      <c r="AZ31">
        <v>0.0721116</v>
      </c>
      <c r="BA31">
        <v>0.02336791</v>
      </c>
      <c r="BC31">
        <v>225</v>
      </c>
      <c r="BD31">
        <v>0.00146319</v>
      </c>
      <c r="BO31">
        <v>7.92283047167098</v>
      </c>
      <c r="BP31">
        <v>0.03275371</v>
      </c>
      <c r="BQ31">
        <v>0.03340378</v>
      </c>
    </row>
    <row r="32" spans="2:69" ht="30" customHeight="1">
      <c r="B32" s="7" t="s">
        <v>104</v>
      </c>
      <c r="C32" s="7" t="s">
        <v>121</v>
      </c>
      <c r="D32" s="7"/>
      <c r="E32" s="7"/>
      <c r="F32" s="7"/>
      <c r="G32" s="7" t="s">
        <v>122</v>
      </c>
      <c r="H32" s="7" t="s">
        <v>123</v>
      </c>
      <c r="I32" s="7" t="s">
        <v>124</v>
      </c>
      <c r="AE32">
        <v>17.8</v>
      </c>
      <c r="AF32">
        <v>0.03333333</v>
      </c>
      <c r="AG32">
        <v>0.0592</v>
      </c>
      <c r="AH32">
        <v>0.07144091</v>
      </c>
      <c r="AI32">
        <v>17.8</v>
      </c>
      <c r="AJ32">
        <v>0.05751995</v>
      </c>
      <c r="AK32">
        <v>0.07144091</v>
      </c>
      <c r="AL32">
        <v>0.08732531</v>
      </c>
      <c r="AM32">
        <v>5.6</v>
      </c>
      <c r="AN32">
        <v>0.014146</v>
      </c>
      <c r="AO32">
        <v>0.01553749</v>
      </c>
      <c r="AQ32">
        <v>21.3</v>
      </c>
      <c r="AR32">
        <v>0.03129326</v>
      </c>
      <c r="AS32">
        <v>0.0301274</v>
      </c>
      <c r="AU32">
        <v>13.01</v>
      </c>
      <c r="AV32">
        <v>0.02722594</v>
      </c>
      <c r="AW32">
        <v>0.05577859</v>
      </c>
      <c r="AY32">
        <v>8</v>
      </c>
      <c r="AZ32">
        <v>0.07926047999999999</v>
      </c>
      <c r="BA32">
        <v>0.02686172</v>
      </c>
      <c r="BC32">
        <v>230</v>
      </c>
      <c r="BD32">
        <v>0.00135485</v>
      </c>
      <c r="BO32">
        <v>8.370361628333352</v>
      </c>
      <c r="BP32">
        <v>0.03406385</v>
      </c>
      <c r="BQ32">
        <v>0.03851842</v>
      </c>
    </row>
    <row r="33" spans="2:69" ht="30" customHeight="1">
      <c r="B33" s="7" t="s">
        <v>90</v>
      </c>
      <c r="C33" s="7" t="s">
        <v>125</v>
      </c>
      <c r="D33" s="7" t="s">
        <v>126</v>
      </c>
      <c r="E33" s="7"/>
      <c r="F33" s="7"/>
      <c r="G33" s="7" t="s">
        <v>127</v>
      </c>
      <c r="H33" s="7" t="s">
        <v>128</v>
      </c>
      <c r="I33" s="7" t="s">
        <v>129</v>
      </c>
      <c r="AE33">
        <v>18.1</v>
      </c>
      <c r="AF33">
        <v>0.03333333</v>
      </c>
      <c r="AG33">
        <v>0.0584</v>
      </c>
      <c r="AH33">
        <v>0.07001284000000001</v>
      </c>
      <c r="AI33">
        <v>18.1</v>
      </c>
      <c r="AJ33">
        <v>0.05694215</v>
      </c>
      <c r="AK33">
        <v>0.07001284000000001</v>
      </c>
      <c r="AL33">
        <v>0.08386903</v>
      </c>
      <c r="AM33">
        <v>6.199999999999999</v>
      </c>
      <c r="AN33">
        <v>0.01539483</v>
      </c>
      <c r="AO33">
        <v>0.01690917</v>
      </c>
      <c r="AQ33">
        <v>22.1</v>
      </c>
      <c r="AR33">
        <v>0.02932191</v>
      </c>
      <c r="AS33">
        <v>0.02878549</v>
      </c>
      <c r="AU33">
        <v>13.51</v>
      </c>
      <c r="AV33">
        <v>0.02589811</v>
      </c>
      <c r="AW33">
        <v>0.0528268</v>
      </c>
      <c r="AY33">
        <v>8.5</v>
      </c>
      <c r="AZ33">
        <v>0.08489961</v>
      </c>
      <c r="BA33">
        <v>0.03073982</v>
      </c>
      <c r="BC33">
        <v>235</v>
      </c>
      <c r="BD33">
        <v>0.00125662</v>
      </c>
      <c r="BO33">
        <v>8.817892784995724</v>
      </c>
      <c r="BP33">
        <v>0.035374</v>
      </c>
      <c r="BQ33">
        <v>0.04363306</v>
      </c>
    </row>
    <row r="34" spans="2:69" ht="30" customHeight="1">
      <c r="B34" s="7" t="s">
        <v>130</v>
      </c>
      <c r="C34" s="7" t="s">
        <v>125</v>
      </c>
      <c r="D34" s="7" t="s">
        <v>131</v>
      </c>
      <c r="E34" s="7" t="s">
        <v>126</v>
      </c>
      <c r="F34" s="7"/>
      <c r="G34" s="7" t="s">
        <v>132</v>
      </c>
      <c r="H34" s="7" t="s">
        <v>133</v>
      </c>
      <c r="I34" s="7" t="s">
        <v>134</v>
      </c>
      <c r="AE34">
        <v>18.4</v>
      </c>
      <c r="AF34">
        <v>0.03333333</v>
      </c>
      <c r="AG34">
        <v>0.0576</v>
      </c>
      <c r="AH34">
        <v>0.06850769</v>
      </c>
      <c r="AI34">
        <v>18.4</v>
      </c>
      <c r="AJ34">
        <v>0.05632675</v>
      </c>
      <c r="AK34">
        <v>0.06850769</v>
      </c>
      <c r="AL34">
        <v>0.08030173</v>
      </c>
      <c r="AM34">
        <v>6.800000000000001</v>
      </c>
      <c r="AN34">
        <v>0.0166937</v>
      </c>
      <c r="AO34">
        <v>0.01833581</v>
      </c>
      <c r="AQ34">
        <v>22.9</v>
      </c>
      <c r="AR34">
        <v>0.02742331</v>
      </c>
      <c r="AS34">
        <v>0.02743932</v>
      </c>
      <c r="AU34">
        <v>14.01</v>
      </c>
      <c r="AV34">
        <v>0.02463505</v>
      </c>
      <c r="AW34">
        <v>0.04978951</v>
      </c>
      <c r="AY34">
        <v>9</v>
      </c>
      <c r="AZ34">
        <v>0.08889319</v>
      </c>
      <c r="BA34">
        <v>0.03499786</v>
      </c>
      <c r="BC34">
        <v>240</v>
      </c>
      <c r="BD34">
        <v>0.00116735</v>
      </c>
      <c r="BO34">
        <v>9.265423941658096</v>
      </c>
      <c r="BP34">
        <v>0.03668415</v>
      </c>
      <c r="BQ34">
        <v>0.0487477</v>
      </c>
    </row>
    <row r="35" spans="2:69" ht="30" customHeight="1">
      <c r="B35" s="7" t="s">
        <v>135</v>
      </c>
      <c r="C35" s="7" t="s">
        <v>136</v>
      </c>
      <c r="D35" s="7" t="s">
        <v>137</v>
      </c>
      <c r="E35" s="7" t="s">
        <v>138</v>
      </c>
      <c r="F35" s="7" t="s">
        <v>139</v>
      </c>
      <c r="G35" s="7" t="s">
        <v>140</v>
      </c>
      <c r="H35" s="7" t="s">
        <v>141</v>
      </c>
      <c r="I35" s="7" t="s">
        <v>142</v>
      </c>
      <c r="AE35">
        <v>18.7</v>
      </c>
      <c r="AF35">
        <v>0.03333333</v>
      </c>
      <c r="AG35">
        <v>0.0568</v>
      </c>
      <c r="AH35">
        <v>0.06693483</v>
      </c>
      <c r="AI35">
        <v>18.7</v>
      </c>
      <c r="AJ35">
        <v>0.05567639</v>
      </c>
      <c r="AK35">
        <v>0.06693483</v>
      </c>
      <c r="AL35">
        <v>0.07665677</v>
      </c>
      <c r="AM35">
        <v>7.399999999999999</v>
      </c>
      <c r="AN35">
        <v>0.01803712</v>
      </c>
      <c r="AO35">
        <v>0.01981137</v>
      </c>
      <c r="AQ35">
        <v>23.7</v>
      </c>
      <c r="AR35">
        <v>0.02560654</v>
      </c>
      <c r="AS35">
        <v>0.02609937</v>
      </c>
      <c r="AU35">
        <v>14.51</v>
      </c>
      <c r="AV35">
        <v>0.02343358</v>
      </c>
      <c r="AW35">
        <v>0.04670463</v>
      </c>
      <c r="AY35">
        <v>9.5</v>
      </c>
      <c r="AZ35">
        <v>0.09122349</v>
      </c>
      <c r="BA35">
        <v>0.03961378</v>
      </c>
      <c r="BC35">
        <v>245</v>
      </c>
      <c r="BD35">
        <v>0.00108607</v>
      </c>
      <c r="BO35">
        <v>9.712955098320471</v>
      </c>
      <c r="BP35">
        <v>0.0379943</v>
      </c>
      <c r="BQ35">
        <v>0.05386234</v>
      </c>
    </row>
    <row r="36" spans="2:69" ht="30" customHeight="1">
      <c r="B36" s="7" t="s">
        <v>143</v>
      </c>
      <c r="C36" s="7" t="s">
        <v>125</v>
      </c>
      <c r="D36" s="7" t="s">
        <v>131</v>
      </c>
      <c r="E36" s="7" t="s">
        <v>126</v>
      </c>
      <c r="F36" s="7"/>
      <c r="G36" s="7" t="s">
        <v>132</v>
      </c>
      <c r="H36" s="7" t="s">
        <v>144</v>
      </c>
      <c r="I36" s="7" t="s">
        <v>145</v>
      </c>
      <c r="AE36">
        <v>19</v>
      </c>
      <c r="AF36">
        <v>0.03333333</v>
      </c>
      <c r="AG36">
        <v>0.056</v>
      </c>
      <c r="AH36">
        <v>0.06530303</v>
      </c>
      <c r="AI36">
        <v>19</v>
      </c>
      <c r="AJ36">
        <v>0.05499354</v>
      </c>
      <c r="AK36">
        <v>0.06530303</v>
      </c>
      <c r="AL36">
        <v>0.07296469999999999</v>
      </c>
      <c r="AM36">
        <v>8</v>
      </c>
      <c r="AN36">
        <v>0.01941861</v>
      </c>
      <c r="AO36">
        <v>0.02132875</v>
      </c>
      <c r="AQ36">
        <v>24.5</v>
      </c>
      <c r="AR36">
        <v>0.02387739</v>
      </c>
      <c r="AS36">
        <v>0.0247746</v>
      </c>
      <c r="AU36">
        <v>15.01</v>
      </c>
      <c r="AV36">
        <v>0.02229071</v>
      </c>
      <c r="AW36">
        <v>0.04360718</v>
      </c>
      <c r="AY36">
        <v>10</v>
      </c>
      <c r="AZ36">
        <v>0.09196986</v>
      </c>
      <c r="BA36">
        <v>0.04454324</v>
      </c>
      <c r="BC36">
        <v>250</v>
      </c>
      <c r="BD36">
        <v>0.00101193</v>
      </c>
      <c r="BO36">
        <v>10.16048625498284</v>
      </c>
      <c r="BP36">
        <v>0.03930445</v>
      </c>
      <c r="BQ36">
        <v>0.05897699</v>
      </c>
    </row>
    <row r="37" spans="2:69" ht="30" customHeight="1">
      <c r="B37" s="7" t="s">
        <v>146</v>
      </c>
      <c r="C37" s="7" t="s">
        <v>125</v>
      </c>
      <c r="D37" s="7" t="s">
        <v>137</v>
      </c>
      <c r="E37" s="7" t="s">
        <v>126</v>
      </c>
      <c r="F37" s="7" t="s">
        <v>147</v>
      </c>
      <c r="G37" s="7" t="s">
        <v>148</v>
      </c>
      <c r="H37" s="7" t="s">
        <v>149</v>
      </c>
      <c r="I37" s="7" t="s">
        <v>150</v>
      </c>
      <c r="AE37">
        <v>19.3</v>
      </c>
      <c r="AF37">
        <v>0.03333333</v>
      </c>
      <c r="AG37">
        <v>0.0552</v>
      </c>
      <c r="AH37">
        <v>0.0636205</v>
      </c>
      <c r="AI37">
        <v>19.3</v>
      </c>
      <c r="AJ37">
        <v>0.05428047</v>
      </c>
      <c r="AK37">
        <v>0.0636205</v>
      </c>
      <c r="AL37">
        <v>0.06925329</v>
      </c>
      <c r="AM37">
        <v>8.599999999999998</v>
      </c>
      <c r="AN37">
        <v>0.02083078</v>
      </c>
      <c r="AO37">
        <v>0.02287984</v>
      </c>
      <c r="AQ37">
        <v>25.3</v>
      </c>
      <c r="AR37">
        <v>0.02223904</v>
      </c>
      <c r="AS37">
        <v>0.02347252</v>
      </c>
      <c r="AU37">
        <v>15.51</v>
      </c>
      <c r="AV37">
        <v>0.02120358</v>
      </c>
      <c r="AW37">
        <v>0.040529</v>
      </c>
      <c r="AY37">
        <v>10.5</v>
      </c>
      <c r="AZ37">
        <v>0.09128295</v>
      </c>
      <c r="BA37">
        <v>0.04971548</v>
      </c>
      <c r="BC37">
        <v>255</v>
      </c>
      <c r="BD37">
        <v>0.00094417</v>
      </c>
      <c r="BO37">
        <v>10.60801741164521</v>
      </c>
      <c r="BP37">
        <v>0.04061459</v>
      </c>
      <c r="BQ37">
        <v>0.06409163</v>
      </c>
    </row>
    <row r="38" spans="2:69" ht="30" customHeight="1">
      <c r="B38" s="7" t="s">
        <v>151</v>
      </c>
      <c r="C38" s="7" t="s">
        <v>152</v>
      </c>
      <c r="D38" s="7" t="s">
        <v>153</v>
      </c>
      <c r="E38" s="7" t="s">
        <v>125</v>
      </c>
      <c r="F38" s="7" t="s">
        <v>126</v>
      </c>
      <c r="G38" s="7" t="s">
        <v>154</v>
      </c>
      <c r="H38" s="7" t="s">
        <v>155</v>
      </c>
      <c r="I38" s="7" t="s">
        <v>156</v>
      </c>
      <c r="AE38">
        <v>19.6</v>
      </c>
      <c r="AF38">
        <v>0.03333333</v>
      </c>
      <c r="AG38">
        <v>0.0544</v>
      </c>
      <c r="AH38">
        <v>0.06189497</v>
      </c>
      <c r="AI38">
        <v>19.6</v>
      </c>
      <c r="AJ38">
        <v>0.0535393</v>
      </c>
      <c r="AK38">
        <v>0.06189497</v>
      </c>
      <c r="AL38">
        <v>0.06554762</v>
      </c>
      <c r="AM38">
        <v>9.199999999999999</v>
      </c>
      <c r="AN38">
        <v>0.02226535</v>
      </c>
      <c r="AO38">
        <v>0.02445552</v>
      </c>
      <c r="AQ38">
        <v>26.1</v>
      </c>
      <c r="AR38">
        <v>0.02069263</v>
      </c>
      <c r="AS38">
        <v>0.02219935</v>
      </c>
      <c r="AU38">
        <v>16.01</v>
      </c>
      <c r="AV38">
        <v>0.02016947</v>
      </c>
      <c r="AW38">
        <v>0.03749854</v>
      </c>
      <c r="AY38">
        <v>11</v>
      </c>
      <c r="AZ38">
        <v>0.08935883999999999</v>
      </c>
      <c r="BA38">
        <v>0.05503034</v>
      </c>
      <c r="BC38">
        <v>260</v>
      </c>
      <c r="BD38">
        <v>0.00088213</v>
      </c>
      <c r="BO38">
        <v>11.05554856830759</v>
      </c>
      <c r="BP38">
        <v>0.04192474</v>
      </c>
      <c r="BQ38">
        <v>0.06920627</v>
      </c>
    </row>
    <row r="39" spans="2:69" ht="30" customHeight="1">
      <c r="B39" s="7" t="s">
        <v>157</v>
      </c>
      <c r="C39" s="7" t="s">
        <v>158</v>
      </c>
      <c r="D39" s="7" t="s">
        <v>159</v>
      </c>
      <c r="E39" s="7"/>
      <c r="F39" s="7"/>
      <c r="G39" s="7" t="s">
        <v>160</v>
      </c>
      <c r="H39" s="7" t="s">
        <v>161</v>
      </c>
      <c r="I39" s="7" t="s">
        <v>162</v>
      </c>
      <c r="AE39">
        <v>19.9</v>
      </c>
      <c r="AF39">
        <v>0.03333333</v>
      </c>
      <c r="AG39">
        <v>0.0536</v>
      </c>
      <c r="AH39">
        <v>0.06013366</v>
      </c>
      <c r="AI39">
        <v>19.9</v>
      </c>
      <c r="AJ39">
        <v>0.05277203</v>
      </c>
      <c r="AK39">
        <v>0.06013366</v>
      </c>
      <c r="AL39">
        <v>0.06187019</v>
      </c>
      <c r="AM39">
        <v>9.800000000000001</v>
      </c>
      <c r="AN39">
        <v>0.0237132</v>
      </c>
      <c r="AO39">
        <v>0.02604579</v>
      </c>
      <c r="AQ39">
        <v>26.9</v>
      </c>
      <c r="AR39">
        <v>0.01923769</v>
      </c>
      <c r="AS39">
        <v>0.02096018</v>
      </c>
      <c r="AU39">
        <v>16.51</v>
      </c>
      <c r="AV39">
        <v>0.0191858</v>
      </c>
      <c r="AW39">
        <v>0.03454069</v>
      </c>
      <c r="AY39">
        <v>11.5</v>
      </c>
      <c r="AZ39">
        <v>0.0864159</v>
      </c>
      <c r="BA39">
        <v>0.06035724</v>
      </c>
      <c r="BC39">
        <v>265</v>
      </c>
      <c r="BD39">
        <v>0.00082524</v>
      </c>
      <c r="BO39">
        <v>11.50307972496996</v>
      </c>
      <c r="BP39">
        <v>0.04323489</v>
      </c>
      <c r="BQ39">
        <v>0.07432091</v>
      </c>
    </row>
    <row r="40" spans="2:69" ht="30" customHeight="1">
      <c r="B40" s="7" t="s">
        <v>163</v>
      </c>
      <c r="C40" s="7" t="s">
        <v>158</v>
      </c>
      <c r="D40" s="7" t="s">
        <v>159</v>
      </c>
      <c r="E40" s="7" t="s">
        <v>125</v>
      </c>
      <c r="F40" s="7" t="s">
        <v>126</v>
      </c>
      <c r="G40" s="7" t="s">
        <v>164</v>
      </c>
      <c r="H40" s="7" t="s">
        <v>165</v>
      </c>
      <c r="I40" s="7" t="s">
        <v>166</v>
      </c>
      <c r="AE40">
        <v>20.2</v>
      </c>
      <c r="AF40">
        <v>0.03333333</v>
      </c>
      <c r="AG40">
        <v>0.0528</v>
      </c>
      <c r="AH40">
        <v>0.05834335</v>
      </c>
      <c r="AI40">
        <v>20.2</v>
      </c>
      <c r="AJ40">
        <v>0.05198053</v>
      </c>
      <c r="AK40">
        <v>0.05834335</v>
      </c>
      <c r="AL40">
        <v>0.05824102</v>
      </c>
      <c r="AM40">
        <v>10.4</v>
      </c>
      <c r="AN40">
        <v>0.02516443</v>
      </c>
      <c r="AO40">
        <v>0.02763978</v>
      </c>
      <c r="AQ40">
        <v>27.7</v>
      </c>
      <c r="AR40">
        <v>0.01787256</v>
      </c>
      <c r="AS40">
        <v>0.01975908</v>
      </c>
      <c r="AU40">
        <v>17.01</v>
      </c>
      <c r="AV40">
        <v>0.01825009</v>
      </c>
      <c r="AW40">
        <v>0.03167679</v>
      </c>
      <c r="AY40">
        <v>12</v>
      </c>
      <c r="AZ40">
        <v>0.08267607</v>
      </c>
      <c r="BA40">
        <v>0.06553731</v>
      </c>
      <c r="BC40">
        <v>270</v>
      </c>
      <c r="BD40">
        <v>0.00077298</v>
      </c>
      <c r="BO40">
        <v>11.95061088163233</v>
      </c>
      <c r="BP40">
        <v>0.04454504</v>
      </c>
      <c r="BQ40">
        <v>0.07943554999999999</v>
      </c>
    </row>
    <row r="41" spans="2:69" ht="30" customHeight="1">
      <c r="B41" s="7" t="s">
        <v>167</v>
      </c>
      <c r="C41" s="7" t="s">
        <v>158</v>
      </c>
      <c r="D41" s="7" t="s">
        <v>159</v>
      </c>
      <c r="E41" s="7"/>
      <c r="F41" s="7"/>
      <c r="G41" s="7" t="s">
        <v>160</v>
      </c>
      <c r="H41" s="7" t="s">
        <v>168</v>
      </c>
      <c r="I41" s="7" t="s">
        <v>169</v>
      </c>
      <c r="AE41">
        <v>20.5</v>
      </c>
      <c r="AF41">
        <v>0.03333333</v>
      </c>
      <c r="AG41">
        <v>0.052</v>
      </c>
      <c r="AH41">
        <v>0.05653042</v>
      </c>
      <c r="AI41">
        <v>20.5</v>
      </c>
      <c r="AJ41">
        <v>0.05116655</v>
      </c>
      <c r="AK41">
        <v>0.05653042</v>
      </c>
      <c r="AL41">
        <v>0.05467775</v>
      </c>
      <c r="AM41">
        <v>11</v>
      </c>
      <c r="AN41">
        <v>0.02660852</v>
      </c>
      <c r="AO41">
        <v>0.02922592</v>
      </c>
      <c r="AQ41">
        <v>28.5</v>
      </c>
      <c r="AR41">
        <v>0.01659468</v>
      </c>
      <c r="AS41">
        <v>0.0185992</v>
      </c>
      <c r="AU41">
        <v>17.51</v>
      </c>
      <c r="AV41">
        <v>0.01736003</v>
      </c>
      <c r="AW41">
        <v>0.02892464</v>
      </c>
      <c r="AY41">
        <v>12.5</v>
      </c>
      <c r="AZ41">
        <v>0.07835106</v>
      </c>
      <c r="BA41">
        <v>0.07038920999999999</v>
      </c>
      <c r="BC41">
        <v>275</v>
      </c>
      <c r="BD41">
        <v>0.0007249</v>
      </c>
      <c r="BO41">
        <v>12.3981420382947</v>
      </c>
      <c r="BP41">
        <v>0.04408623</v>
      </c>
      <c r="BQ41">
        <v>0.07823048000000001</v>
      </c>
    </row>
    <row r="42" spans="2:69" ht="30" customHeight="1">
      <c r="B42" s="7" t="s">
        <v>170</v>
      </c>
      <c r="C42" s="7" t="s">
        <v>171</v>
      </c>
      <c r="D42" s="7" t="s">
        <v>172</v>
      </c>
      <c r="E42" s="7"/>
      <c r="F42" s="7"/>
      <c r="G42" s="7" t="s">
        <v>173</v>
      </c>
      <c r="H42" s="7" t="s">
        <v>174</v>
      </c>
      <c r="I42" s="7" t="s">
        <v>175</v>
      </c>
      <c r="AE42">
        <v>20.8</v>
      </c>
      <c r="AF42">
        <v>0.03333333</v>
      </c>
      <c r="AG42">
        <v>0.0512</v>
      </c>
      <c r="AH42">
        <v>0.05470083</v>
      </c>
      <c r="AI42">
        <v>20.8</v>
      </c>
      <c r="AJ42">
        <v>0.05033174</v>
      </c>
      <c r="AK42">
        <v>0.05470083</v>
      </c>
      <c r="AL42">
        <v>0.05119577</v>
      </c>
      <c r="AM42">
        <v>11.6</v>
      </c>
      <c r="AN42">
        <v>0.02803438</v>
      </c>
      <c r="AO42">
        <v>0.03079203</v>
      </c>
      <c r="AQ42">
        <v>29.3</v>
      </c>
      <c r="AR42">
        <v>0.01540087</v>
      </c>
      <c r="AS42">
        <v>0.01748288</v>
      </c>
      <c r="AU42">
        <v>18.01</v>
      </c>
      <c r="AV42">
        <v>0.01651337</v>
      </c>
      <c r="AW42">
        <v>0.0262986</v>
      </c>
      <c r="AY42">
        <v>13</v>
      </c>
      <c r="AZ42">
        <v>0.07363308</v>
      </c>
      <c r="BA42">
        <v>0.07471912999999999</v>
      </c>
      <c r="BC42">
        <v>280</v>
      </c>
      <c r="BD42">
        <v>0.00068059</v>
      </c>
      <c r="BO42">
        <v>12.84567319495708</v>
      </c>
      <c r="BP42">
        <v>0.04340798</v>
      </c>
      <c r="BQ42">
        <v>0.07624145</v>
      </c>
    </row>
    <row r="43" spans="2:69" ht="30" customHeight="1">
      <c r="B43" s="7" t="s">
        <v>176</v>
      </c>
      <c r="C43" s="7" t="s">
        <v>158</v>
      </c>
      <c r="D43" s="7"/>
      <c r="E43" s="7"/>
      <c r="F43" s="7"/>
      <c r="G43" s="7" t="s">
        <v>177</v>
      </c>
      <c r="H43" s="7" t="s">
        <v>178</v>
      </c>
      <c r="I43" s="7" t="s">
        <v>179</v>
      </c>
      <c r="AE43">
        <v>21.1</v>
      </c>
      <c r="AF43">
        <v>0.03333333</v>
      </c>
      <c r="AG43">
        <v>0.0504</v>
      </c>
      <c r="AH43">
        <v>0.05286018</v>
      </c>
      <c r="AI43">
        <v>21.1</v>
      </c>
      <c r="AJ43">
        <v>0.04947768</v>
      </c>
      <c r="AK43">
        <v>0.05286018</v>
      </c>
      <c r="AL43">
        <v>0.04780832</v>
      </c>
      <c r="AM43">
        <v>12.2</v>
      </c>
      <c r="AN43">
        <v>0.0294305</v>
      </c>
      <c r="AO43">
        <v>0.03232549</v>
      </c>
      <c r="AQ43">
        <v>30.1</v>
      </c>
      <c r="AR43">
        <v>0.0142875</v>
      </c>
      <c r="AS43">
        <v>0.0164118</v>
      </c>
      <c r="AU43">
        <v>18.51</v>
      </c>
      <c r="AV43">
        <v>0.015708</v>
      </c>
      <c r="AW43">
        <v>0.02380972</v>
      </c>
      <c r="AY43">
        <v>13.5</v>
      </c>
      <c r="AZ43">
        <v>0.06868968</v>
      </c>
      <c r="BA43">
        <v>0.07833457000000001</v>
      </c>
      <c r="BC43">
        <v>285</v>
      </c>
      <c r="BD43">
        <v>0.00063971</v>
      </c>
      <c r="BO43">
        <v>13.29320435161945</v>
      </c>
      <c r="BP43">
        <v>0.04272973</v>
      </c>
      <c r="BQ43">
        <v>0.07425242999999999</v>
      </c>
    </row>
    <row r="44" spans="2:69" ht="30" customHeight="1">
      <c r="B44" s="7" t="s">
        <v>180</v>
      </c>
      <c r="C44" s="7" t="s">
        <v>181</v>
      </c>
      <c r="D44" s="7" t="s">
        <v>182</v>
      </c>
      <c r="E44" s="7"/>
      <c r="F44" s="7"/>
      <c r="G44" s="7" t="s">
        <v>183</v>
      </c>
      <c r="H44" s="7" t="s">
        <v>184</v>
      </c>
      <c r="I44" s="7" t="s">
        <v>185</v>
      </c>
      <c r="AE44">
        <v>21.4</v>
      </c>
      <c r="AF44">
        <v>0.03333333</v>
      </c>
      <c r="AG44">
        <v>0.0496</v>
      </c>
      <c r="AH44">
        <v>0.05101372</v>
      </c>
      <c r="AI44">
        <v>21.4</v>
      </c>
      <c r="AJ44">
        <v>0.04860585</v>
      </c>
      <c r="AK44">
        <v>0.05101372</v>
      </c>
      <c r="AL44">
        <v>0.04452668</v>
      </c>
      <c r="AM44">
        <v>12.8</v>
      </c>
      <c r="AN44">
        <v>0.03078513</v>
      </c>
      <c r="AO44">
        <v>0.03381336</v>
      </c>
      <c r="AQ44">
        <v>30.9</v>
      </c>
      <c r="AR44">
        <v>0.01325064</v>
      </c>
      <c r="AS44">
        <v>0.01538699</v>
      </c>
      <c r="AU44">
        <v>19.01</v>
      </c>
      <c r="AV44">
        <v>0.01494191</v>
      </c>
      <c r="AW44">
        <v>0.021466</v>
      </c>
      <c r="AY44">
        <v>14</v>
      </c>
      <c r="AZ44">
        <v>0.0636616</v>
      </c>
      <c r="BA44">
        <v>0.08106072</v>
      </c>
      <c r="BC44">
        <v>290</v>
      </c>
      <c r="BD44">
        <v>0.00060193</v>
      </c>
      <c r="BO44">
        <v>13.74073550828182</v>
      </c>
      <c r="BP44">
        <v>0.04205148</v>
      </c>
      <c r="BQ44">
        <v>0.07226340000000001</v>
      </c>
    </row>
    <row r="45" spans="2:69" ht="30" customHeight="1">
      <c r="B45" s="7" t="s">
        <v>186</v>
      </c>
      <c r="C45" s="7" t="s">
        <v>187</v>
      </c>
      <c r="D45" s="7" t="s">
        <v>172</v>
      </c>
      <c r="E45" s="7"/>
      <c r="F45" s="7"/>
      <c r="G45" s="7" t="s">
        <v>188</v>
      </c>
      <c r="H45" s="7" t="s">
        <v>189</v>
      </c>
      <c r="I45" s="7" t="s">
        <v>190</v>
      </c>
      <c r="AE45">
        <v>21.7</v>
      </c>
      <c r="AF45">
        <v>0.03333333</v>
      </c>
      <c r="AG45">
        <v>0.0488</v>
      </c>
      <c r="AH45">
        <v>0.04916637</v>
      </c>
      <c r="AI45">
        <v>21.7</v>
      </c>
      <c r="AJ45">
        <v>0.04771766</v>
      </c>
      <c r="AK45">
        <v>0.04916637</v>
      </c>
      <c r="AL45">
        <v>0.0413602</v>
      </c>
      <c r="AM45">
        <v>13.4</v>
      </c>
      <c r="AN45">
        <v>0.03208638</v>
      </c>
      <c r="AO45">
        <v>0.03524261</v>
      </c>
      <c r="AQ45">
        <v>31.7</v>
      </c>
      <c r="AR45">
        <v>0.01228624</v>
      </c>
      <c r="AS45">
        <v>0.01440899</v>
      </c>
      <c r="AU45">
        <v>19.51</v>
      </c>
      <c r="AV45">
        <v>0.01421319</v>
      </c>
      <c r="AW45">
        <v>0.01927256</v>
      </c>
      <c r="AY45">
        <v>14.5</v>
      </c>
      <c r="AZ45">
        <v>0.05866296</v>
      </c>
      <c r="BA45">
        <v>0.08275730000000001</v>
      </c>
      <c r="BC45">
        <v>295</v>
      </c>
      <c r="BD45">
        <v>0.00056697</v>
      </c>
      <c r="BO45">
        <v>14.18826666494419</v>
      </c>
      <c r="BP45">
        <v>0.04137323</v>
      </c>
      <c r="BQ45">
        <v>0.07027437</v>
      </c>
    </row>
    <row r="46" spans="2:69" ht="30" customHeight="1">
      <c r="B46" s="7" t="s">
        <v>191</v>
      </c>
      <c r="C46" s="7" t="s">
        <v>158</v>
      </c>
      <c r="D46" s="7" t="s">
        <v>172</v>
      </c>
      <c r="E46" s="7"/>
      <c r="F46" s="7"/>
      <c r="G46" s="7" t="s">
        <v>192</v>
      </c>
      <c r="H46" s="7" t="s">
        <v>193</v>
      </c>
      <c r="I46" s="7" t="s">
        <v>194</v>
      </c>
      <c r="AE46">
        <v>22</v>
      </c>
      <c r="AF46">
        <v>0.03333333</v>
      </c>
      <c r="AG46">
        <v>0.048</v>
      </c>
      <c r="AH46">
        <v>0.04732273</v>
      </c>
      <c r="AI46">
        <v>22</v>
      </c>
      <c r="AJ46">
        <v>0.04681445</v>
      </c>
      <c r="AK46">
        <v>0.04732273</v>
      </c>
      <c r="AL46">
        <v>0.0383165</v>
      </c>
      <c r="AM46">
        <v>14</v>
      </c>
      <c r="AN46">
        <v>0.03332246</v>
      </c>
      <c r="AO46">
        <v>0.03660028</v>
      </c>
      <c r="AQ46">
        <v>32.5</v>
      </c>
      <c r="AR46">
        <v>0.01139019</v>
      </c>
      <c r="AS46">
        <v>0.01347787</v>
      </c>
      <c r="AU46">
        <v>20.01</v>
      </c>
      <c r="AV46">
        <v>0.01352</v>
      </c>
      <c r="AW46">
        <v>0.01723195</v>
      </c>
      <c r="AY46">
        <v>15</v>
      </c>
      <c r="AZ46">
        <v>0.05378293</v>
      </c>
      <c r="BA46">
        <v>0.08333333</v>
      </c>
      <c r="BC46">
        <v>300</v>
      </c>
      <c r="BD46">
        <v>0.00053458</v>
      </c>
      <c r="BO46">
        <v>14.63579782160656</v>
      </c>
      <c r="BP46">
        <v>0.04069498</v>
      </c>
      <c r="BQ46">
        <v>0.06828534</v>
      </c>
    </row>
    <row r="47" spans="2:69" ht="30" customHeight="1">
      <c r="B47" s="7" t="s">
        <v>195</v>
      </c>
      <c r="C47" s="7" t="s">
        <v>196</v>
      </c>
      <c r="D47" s="7" t="s">
        <v>125</v>
      </c>
      <c r="E47" s="7"/>
      <c r="F47" s="7"/>
      <c r="G47" s="7" t="s">
        <v>197</v>
      </c>
      <c r="H47" s="7" t="s">
        <v>198</v>
      </c>
      <c r="I47" s="7" t="s">
        <v>199</v>
      </c>
      <c r="AE47">
        <v>22.3</v>
      </c>
      <c r="AF47">
        <v>0.03333333</v>
      </c>
      <c r="AG47">
        <v>0.0472</v>
      </c>
      <c r="AH47">
        <v>0.0454871</v>
      </c>
      <c r="AI47">
        <v>22.3</v>
      </c>
      <c r="AJ47">
        <v>0.04589751</v>
      </c>
      <c r="AK47">
        <v>0.0454871</v>
      </c>
      <c r="AL47">
        <v>0.03540159</v>
      </c>
      <c r="AM47">
        <v>14.6</v>
      </c>
      <c r="AN47">
        <v>0.0344818</v>
      </c>
      <c r="AO47">
        <v>0.03787366</v>
      </c>
      <c r="AQ47">
        <v>33.3</v>
      </c>
      <c r="AR47">
        <v>0.01055836</v>
      </c>
      <c r="AS47">
        <v>0.01259335</v>
      </c>
      <c r="AU47">
        <v>20.51</v>
      </c>
      <c r="AV47">
        <v>0.01286062</v>
      </c>
      <c r="AW47">
        <v>0.01534441</v>
      </c>
      <c r="AY47">
        <v>15.5</v>
      </c>
      <c r="AZ47">
        <v>0.04908833</v>
      </c>
      <c r="BA47">
        <v>0.08275730000000001</v>
      </c>
      <c r="BC47">
        <v>305</v>
      </c>
      <c r="BD47">
        <v>0.00050453</v>
      </c>
      <c r="BO47">
        <v>15.08332897826894</v>
      </c>
      <c r="BP47">
        <v>0.04001673</v>
      </c>
      <c r="BQ47">
        <v>0.06629632000000001</v>
      </c>
    </row>
    <row r="48" spans="2:69" ht="30" customHeight="1">
      <c r="B48" s="7" t="s">
        <v>200</v>
      </c>
      <c r="C48" s="7" t="s">
        <v>201</v>
      </c>
      <c r="D48" s="7"/>
      <c r="E48" s="7"/>
      <c r="F48" s="7"/>
      <c r="G48" s="7" t="s">
        <v>202</v>
      </c>
      <c r="H48" s="7" t="s">
        <v>203</v>
      </c>
      <c r="I48" s="7" t="s">
        <v>204</v>
      </c>
      <c r="AE48">
        <v>22.6</v>
      </c>
      <c r="AF48">
        <v>0.03333333</v>
      </c>
      <c r="AG48">
        <v>0.0464</v>
      </c>
      <c r="AH48">
        <v>0.0436635</v>
      </c>
      <c r="AI48">
        <v>22.6</v>
      </c>
      <c r="AJ48">
        <v>0.04496807</v>
      </c>
      <c r="AK48">
        <v>0.0436635</v>
      </c>
      <c r="AL48">
        <v>0.03261994</v>
      </c>
      <c r="AM48">
        <v>15.2</v>
      </c>
      <c r="AN48">
        <v>0.03555325</v>
      </c>
      <c r="AO48">
        <v>0.03905051</v>
      </c>
      <c r="AQ48">
        <v>34.1</v>
      </c>
      <c r="AR48">
        <v>0.00978675</v>
      </c>
      <c r="AS48">
        <v>0.01175481</v>
      </c>
      <c r="AU48">
        <v>21.01</v>
      </c>
      <c r="AV48">
        <v>0.0122334</v>
      </c>
      <c r="AW48">
        <v>0.01360817</v>
      </c>
      <c r="AY48">
        <v>16</v>
      </c>
      <c r="AZ48">
        <v>0.04462663</v>
      </c>
      <c r="BA48">
        <v>0.08106072</v>
      </c>
      <c r="BC48">
        <v>310</v>
      </c>
      <c r="BD48">
        <v>0.00047662</v>
      </c>
      <c r="BO48">
        <v>15.53086013493131</v>
      </c>
      <c r="BP48">
        <v>0.03933848</v>
      </c>
      <c r="BQ48">
        <v>0.06430729</v>
      </c>
    </row>
    <row r="49" spans="2:69" ht="30" customHeight="1">
      <c r="B49" s="7" t="s">
        <v>205</v>
      </c>
      <c r="C49" s="7" t="s">
        <v>206</v>
      </c>
      <c r="D49" s="7" t="s">
        <v>207</v>
      </c>
      <c r="E49" s="7"/>
      <c r="F49" s="7"/>
      <c r="G49" s="7" t="s">
        <v>208</v>
      </c>
      <c r="H49" s="7" t="s">
        <v>209</v>
      </c>
      <c r="I49" s="7" t="s">
        <v>210</v>
      </c>
      <c r="AE49">
        <v>22.9</v>
      </c>
      <c r="AF49">
        <v>0.03333333</v>
      </c>
      <c r="AG49">
        <v>0.0456</v>
      </c>
      <c r="AH49">
        <v>0.04185566</v>
      </c>
      <c r="AI49">
        <v>22.9</v>
      </c>
      <c r="AJ49">
        <v>0.0440273</v>
      </c>
      <c r="AK49">
        <v>0.04185566</v>
      </c>
      <c r="AL49">
        <v>0.02997468</v>
      </c>
      <c r="AM49">
        <v>15.8</v>
      </c>
      <c r="AN49">
        <v>0.03652627</v>
      </c>
      <c r="AO49">
        <v>0.04011924</v>
      </c>
      <c r="AQ49">
        <v>34.9</v>
      </c>
      <c r="AR49">
        <v>0.00907144</v>
      </c>
      <c r="AS49">
        <v>0.01096136</v>
      </c>
      <c r="AU49">
        <v>21.51</v>
      </c>
      <c r="AV49">
        <v>0.01163677</v>
      </c>
      <c r="AW49">
        <v>0.01201975</v>
      </c>
      <c r="AY49">
        <v>16.5</v>
      </c>
      <c r="AZ49">
        <v>0.04042908</v>
      </c>
      <c r="BA49">
        <v>0.07833457000000001</v>
      </c>
      <c r="BC49">
        <v>315</v>
      </c>
      <c r="BD49">
        <v>0.00045066</v>
      </c>
      <c r="BO49">
        <v>15.97839129159368</v>
      </c>
      <c r="BP49">
        <v>0.03866023</v>
      </c>
      <c r="BQ49">
        <v>0.06231826</v>
      </c>
    </row>
    <row r="50" spans="2:69" ht="30" customHeight="1">
      <c r="B50" s="7" t="s">
        <v>211</v>
      </c>
      <c r="C50" s="7" t="s">
        <v>212</v>
      </c>
      <c r="D50" s="7" t="s">
        <v>213</v>
      </c>
      <c r="E50" s="7"/>
      <c r="F50" s="7"/>
      <c r="G50" s="7" t="s">
        <v>214</v>
      </c>
      <c r="H50" s="7" t="s">
        <v>215</v>
      </c>
      <c r="I50" s="7" t="s">
        <v>216</v>
      </c>
      <c r="AE50">
        <v>23.2</v>
      </c>
      <c r="AF50">
        <v>0.03333333</v>
      </c>
      <c r="AG50">
        <v>0.0448</v>
      </c>
      <c r="AH50">
        <v>0.04006707</v>
      </c>
      <c r="AI50">
        <v>23.2</v>
      </c>
      <c r="AJ50">
        <v>0.04307634</v>
      </c>
      <c r="AK50">
        <v>0.04006707</v>
      </c>
      <c r="AL50">
        <v>0.02746764</v>
      </c>
      <c r="AM50">
        <v>16.4</v>
      </c>
      <c r="AN50">
        <v>0.03739106</v>
      </c>
      <c r="AO50">
        <v>0.0410691</v>
      </c>
      <c r="AQ50">
        <v>35.7</v>
      </c>
      <c r="AR50">
        <v>0.00840867</v>
      </c>
      <c r="AS50">
        <v>0.01021193</v>
      </c>
      <c r="AU50">
        <v>22.01</v>
      </c>
      <c r="AV50">
        <v>0.01106924</v>
      </c>
      <c r="AW50">
        <v>0.01057422</v>
      </c>
      <c r="AY50">
        <v>17</v>
      </c>
      <c r="AZ50">
        <v>0.03651368</v>
      </c>
      <c r="BA50">
        <v>0.07471912999999999</v>
      </c>
      <c r="BC50">
        <v>320</v>
      </c>
      <c r="BD50">
        <v>0.0004265</v>
      </c>
      <c r="BO50">
        <v>16.42592244825605</v>
      </c>
      <c r="BP50">
        <v>0.03798198</v>
      </c>
      <c r="BQ50">
        <v>0.06032923</v>
      </c>
    </row>
    <row r="51" spans="2:69" ht="30" customHeight="1">
      <c r="B51" s="7" t="s">
        <v>102</v>
      </c>
      <c r="C51" s="7" t="s">
        <v>217</v>
      </c>
      <c r="D51" s="7" t="s">
        <v>218</v>
      </c>
      <c r="E51" s="7"/>
      <c r="F51" s="7"/>
      <c r="G51" s="7" t="s">
        <v>219</v>
      </c>
      <c r="H51" s="7" t="s">
        <v>220</v>
      </c>
      <c r="I51" s="7" t="s">
        <v>221</v>
      </c>
      <c r="AE51">
        <v>23.5</v>
      </c>
      <c r="AF51">
        <v>0.03333333</v>
      </c>
      <c r="AG51">
        <v>0.044</v>
      </c>
      <c r="AH51">
        <v>0.03830096</v>
      </c>
      <c r="AI51">
        <v>23.5</v>
      </c>
      <c r="AJ51">
        <v>0.04211626</v>
      </c>
      <c r="AK51">
        <v>0.03830096</v>
      </c>
      <c r="AL51">
        <v>0.02509952</v>
      </c>
      <c r="AM51">
        <v>17</v>
      </c>
      <c r="AN51">
        <v>0.03813878</v>
      </c>
      <c r="AO51">
        <v>0.04189037</v>
      </c>
      <c r="AQ51">
        <v>36.5</v>
      </c>
      <c r="AR51">
        <v>0.00779484</v>
      </c>
      <c r="AS51">
        <v>0.00950525</v>
      </c>
      <c r="AU51">
        <v>22.51</v>
      </c>
      <c r="AV51">
        <v>0.01052939</v>
      </c>
      <c r="AW51">
        <v>0.009265499999999999</v>
      </c>
      <c r="AY51">
        <v>17.5</v>
      </c>
      <c r="AZ51">
        <v>0.03288794</v>
      </c>
      <c r="BA51">
        <v>0.07038920999999999</v>
      </c>
      <c r="BC51">
        <v>325</v>
      </c>
      <c r="BD51">
        <v>0.00040397</v>
      </c>
      <c r="BO51">
        <v>16.87345360491842</v>
      </c>
      <c r="BP51">
        <v>0.03730373</v>
      </c>
      <c r="BQ51">
        <v>0.05834021</v>
      </c>
    </row>
    <row r="52" spans="2:69">
      <c r="AE52">
        <v>23.8</v>
      </c>
      <c r="AF52">
        <v>0.03333333</v>
      </c>
      <c r="AG52">
        <v>0.0432</v>
      </c>
      <c r="AH52">
        <v>0.03656033</v>
      </c>
      <c r="AI52">
        <v>23.8</v>
      </c>
      <c r="AJ52">
        <v>0.04114813</v>
      </c>
      <c r="AK52">
        <v>0.03656033</v>
      </c>
      <c r="AL52">
        <v>0.02287001</v>
      </c>
      <c r="AM52">
        <v>17.6</v>
      </c>
      <c r="AN52">
        <v>0.03876166</v>
      </c>
      <c r="AO52">
        <v>0.04257452</v>
      </c>
      <c r="AQ52">
        <v>37.3</v>
      </c>
      <c r="AR52">
        <v>0.00722652</v>
      </c>
      <c r="AS52">
        <v>0.008839909999999999</v>
      </c>
      <c r="AU52">
        <v>23.01</v>
      </c>
      <c r="AV52">
        <v>0.01001586</v>
      </c>
      <c r="AW52">
        <v>0.008086629999999999</v>
      </c>
      <c r="AY52">
        <v>18</v>
      </c>
      <c r="AZ52">
        <v>0.02955124</v>
      </c>
      <c r="BA52">
        <v>0.06553731</v>
      </c>
      <c r="BC52">
        <v>330</v>
      </c>
      <c r="BD52">
        <v>0.00038295</v>
      </c>
      <c r="BO52">
        <v>17.3209847615808</v>
      </c>
      <c r="BP52">
        <v>0.03662548</v>
      </c>
      <c r="BQ52">
        <v>0.05635118</v>
      </c>
    </row>
    <row r="53" spans="2:69">
      <c r="B53" s="5" t="s">
        <v>222</v>
      </c>
      <c r="AE53">
        <v>24.1</v>
      </c>
      <c r="AF53">
        <v>0.03333333</v>
      </c>
      <c r="AG53">
        <v>0.0424</v>
      </c>
      <c r="AH53">
        <v>0.03484794</v>
      </c>
      <c r="AI53">
        <v>24.1</v>
      </c>
      <c r="AJ53">
        <v>0.04017294</v>
      </c>
      <c r="AK53">
        <v>0.03484794</v>
      </c>
      <c r="AL53">
        <v>0.02077784</v>
      </c>
      <c r="AM53">
        <v>18.2</v>
      </c>
      <c r="AN53">
        <v>0.03925315</v>
      </c>
      <c r="AO53">
        <v>0.04311435</v>
      </c>
      <c r="AQ53">
        <v>38.1</v>
      </c>
      <c r="AR53">
        <v>0.00670048</v>
      </c>
      <c r="AS53">
        <v>0.00821443</v>
      </c>
      <c r="AU53">
        <v>23.51</v>
      </c>
      <c r="AV53">
        <v>0.00952738</v>
      </c>
      <c r="AW53">
        <v>0.00702996</v>
      </c>
      <c r="AY53">
        <v>18.5</v>
      </c>
      <c r="AZ53">
        <v>0.02649691</v>
      </c>
      <c r="BA53">
        <v>0.06035724</v>
      </c>
      <c r="BC53">
        <v>335</v>
      </c>
      <c r="BD53">
        <v>0.00036331</v>
      </c>
      <c r="BO53">
        <v>17.76851591824317</v>
      </c>
      <c r="BP53">
        <v>0.03594723</v>
      </c>
      <c r="BQ53">
        <v>0.05436215</v>
      </c>
    </row>
    <row r="54" spans="2:69">
      <c r="B54" s="17" t="s">
        <v>223</v>
      </c>
      <c r="C54" s="18" t="s">
        <v>224</v>
      </c>
      <c r="D54" s="18"/>
      <c r="E54" s="18"/>
      <c r="F54" s="18"/>
      <c r="G54" s="18"/>
      <c r="H54" s="18"/>
      <c r="I54" s="18"/>
      <c r="AE54">
        <v>24.4</v>
      </c>
      <c r="AF54">
        <v>0.03333333</v>
      </c>
      <c r="AG54">
        <v>0.0416</v>
      </c>
      <c r="AH54">
        <v>0.03316635</v>
      </c>
      <c r="AI54">
        <v>24.4</v>
      </c>
      <c r="AJ54">
        <v>0.03919168</v>
      </c>
      <c r="AK54">
        <v>0.03316635</v>
      </c>
      <c r="AL54">
        <v>0.01882095</v>
      </c>
      <c r="AM54">
        <v>18.8</v>
      </c>
      <c r="AN54">
        <v>0.03960802</v>
      </c>
      <c r="AO54">
        <v>0.04350414</v>
      </c>
      <c r="AQ54">
        <v>38.90000000000001</v>
      </c>
      <c r="AR54">
        <v>0.00621368</v>
      </c>
      <c r="AS54">
        <v>0.00762722</v>
      </c>
      <c r="AU54">
        <v>24.01</v>
      </c>
      <c r="AV54">
        <v>0.00906273</v>
      </c>
      <c r="AW54">
        <v>0.00608743</v>
      </c>
      <c r="AY54">
        <v>19</v>
      </c>
      <c r="AZ54">
        <v>0.02371391</v>
      </c>
      <c r="BA54">
        <v>0.05503034</v>
      </c>
      <c r="BC54">
        <v>340</v>
      </c>
      <c r="BD54">
        <v>0.00034496</v>
      </c>
      <c r="BO54">
        <v>18.21604707490554</v>
      </c>
      <c r="BP54">
        <v>0.03526898</v>
      </c>
      <c r="BQ54">
        <v>0.05237312</v>
      </c>
    </row>
    <row r="55" spans="2:69">
      <c r="B55" s="17" t="s">
        <v>223</v>
      </c>
      <c r="C55" s="18" t="s">
        <v>225</v>
      </c>
      <c r="D55" s="18"/>
      <c r="E55" s="18"/>
      <c r="F55" s="18"/>
      <c r="G55" s="18"/>
      <c r="H55" s="18"/>
      <c r="I55" s="18"/>
      <c r="AE55">
        <v>24.7</v>
      </c>
      <c r="AF55">
        <v>0.03333333</v>
      </c>
      <c r="AG55">
        <v>0.0408</v>
      </c>
      <c r="AH55">
        <v>0.03151788</v>
      </c>
      <c r="AI55">
        <v>24.7</v>
      </c>
      <c r="AJ55">
        <v>0.03820529</v>
      </c>
      <c r="AK55">
        <v>0.03151788</v>
      </c>
      <c r="AL55">
        <v>0.01699653</v>
      </c>
      <c r="AM55">
        <v>19.4</v>
      </c>
      <c r="AN55">
        <v>0.03982248</v>
      </c>
      <c r="AO55">
        <v>0.04373969</v>
      </c>
      <c r="AQ55">
        <v>39.7</v>
      </c>
      <c r="AR55">
        <v>0.00576324</v>
      </c>
      <c r="AS55">
        <v>0.00707666</v>
      </c>
      <c r="AU55">
        <v>24.51</v>
      </c>
      <c r="AV55">
        <v>0.00862073</v>
      </c>
      <c r="AW55">
        <v>0.00525071</v>
      </c>
      <c r="AY55">
        <v>19.5</v>
      </c>
      <c r="AZ55">
        <v>0.02118824</v>
      </c>
      <c r="BA55">
        <v>0.04971548</v>
      </c>
      <c r="BC55">
        <v>345</v>
      </c>
      <c r="BD55">
        <v>0.00032777</v>
      </c>
      <c r="BO55">
        <v>18.66357823156791</v>
      </c>
      <c r="BP55">
        <v>0.03459073</v>
      </c>
      <c r="BQ55">
        <v>0.0503841</v>
      </c>
    </row>
    <row r="56" spans="2:69">
      <c r="B56" s="17" t="s">
        <v>223</v>
      </c>
      <c r="C56" s="18" t="s">
        <v>226</v>
      </c>
      <c r="D56" s="18"/>
      <c r="E56" s="18"/>
      <c r="F56" s="18"/>
      <c r="G56" s="18"/>
      <c r="H56" s="18"/>
      <c r="I56" s="18"/>
      <c r="AE56">
        <v>25</v>
      </c>
      <c r="AF56">
        <v>0.03333333</v>
      </c>
      <c r="AG56">
        <v>0.04</v>
      </c>
      <c r="AH56">
        <v>0.02990467</v>
      </c>
      <c r="AI56">
        <v>25</v>
      </c>
      <c r="AJ56">
        <v>0.0372147</v>
      </c>
      <c r="AK56">
        <v>0.02990467</v>
      </c>
      <c r="AL56">
        <v>0.01530116</v>
      </c>
      <c r="AM56">
        <v>20</v>
      </c>
      <c r="AN56">
        <v>0.03989423</v>
      </c>
      <c r="AO56">
        <v>0.0438185</v>
      </c>
      <c r="AQ56">
        <v>40.5</v>
      </c>
      <c r="AR56">
        <v>0.0053465</v>
      </c>
      <c r="AS56">
        <v>0.00656111</v>
      </c>
      <c r="AU56">
        <v>25.01</v>
      </c>
      <c r="AV56">
        <v>0.008200300000000001</v>
      </c>
      <c r="AW56">
        <v>0.00451143</v>
      </c>
      <c r="AY56">
        <v>20</v>
      </c>
      <c r="AZ56">
        <v>0.01890404</v>
      </c>
      <c r="BA56">
        <v>0.04454324</v>
      </c>
      <c r="BC56">
        <v>350</v>
      </c>
      <c r="BD56">
        <v>0.00031167</v>
      </c>
      <c r="BO56">
        <v>19.11110938823029</v>
      </c>
      <c r="BP56">
        <v>0.03391248</v>
      </c>
      <c r="BQ56">
        <v>0.04839507</v>
      </c>
    </row>
    <row r="57" spans="2:69">
      <c r="B57" s="17" t="s">
        <v>223</v>
      </c>
      <c r="C57" s="18" t="s">
        <v>227</v>
      </c>
      <c r="D57" s="18"/>
      <c r="E57" s="18"/>
      <c r="F57" s="18"/>
      <c r="G57" s="18"/>
      <c r="H57" s="18"/>
      <c r="I57" s="18"/>
      <c r="AE57">
        <v>25.3</v>
      </c>
      <c r="AF57">
        <v>0.03333333</v>
      </c>
      <c r="AG57">
        <v>0.0392</v>
      </c>
      <c r="AH57">
        <v>0.02832866</v>
      </c>
      <c r="AI57">
        <v>25.3</v>
      </c>
      <c r="AJ57">
        <v>0.0362208</v>
      </c>
      <c r="AK57">
        <v>0.02832866</v>
      </c>
      <c r="AL57">
        <v>0.01373088</v>
      </c>
      <c r="AM57">
        <v>20.6</v>
      </c>
      <c r="AN57">
        <v>0.03982248</v>
      </c>
      <c r="AO57">
        <v>0.04373969</v>
      </c>
      <c r="AQ57">
        <v>41.3</v>
      </c>
      <c r="AR57">
        <v>0.00496093</v>
      </c>
      <c r="AS57">
        <v>0.00607889</v>
      </c>
      <c r="AU57">
        <v>25.51</v>
      </c>
      <c r="AV57">
        <v>0.00780036</v>
      </c>
      <c r="AW57">
        <v>0.00386126</v>
      </c>
      <c r="AY57">
        <v>20.5</v>
      </c>
      <c r="AZ57">
        <v>0.01684445</v>
      </c>
      <c r="BA57">
        <v>0.03961378</v>
      </c>
      <c r="BC57">
        <v>355</v>
      </c>
      <c r="BD57">
        <v>0.00029658</v>
      </c>
      <c r="BO57">
        <v>19.55864054489266</v>
      </c>
      <c r="BP57">
        <v>0.03323423</v>
      </c>
      <c r="BQ57">
        <v>0.04640604</v>
      </c>
    </row>
    <row r="58" spans="2:69">
      <c r="B58" s="17" t="s">
        <v>223</v>
      </c>
      <c r="C58" s="18" t="s">
        <v>228</v>
      </c>
      <c r="D58" s="18"/>
      <c r="E58" s="18"/>
      <c r="F58" s="18"/>
      <c r="G58" s="18"/>
      <c r="H58" s="18"/>
      <c r="I58" s="18"/>
      <c r="AE58">
        <v>25.6</v>
      </c>
      <c r="AF58">
        <v>0.03333333</v>
      </c>
      <c r="AG58">
        <v>0.0384</v>
      </c>
      <c r="AH58">
        <v>0.0267916</v>
      </c>
      <c r="AI58">
        <v>25.6</v>
      </c>
      <c r="AJ58">
        <v>0.03522446</v>
      </c>
      <c r="AK58">
        <v>0.0267916</v>
      </c>
      <c r="AL58">
        <v>0.01228128</v>
      </c>
      <c r="AM58">
        <v>21.2</v>
      </c>
      <c r="AN58">
        <v>0.03960802</v>
      </c>
      <c r="AO58">
        <v>0.04350414</v>
      </c>
      <c r="AQ58">
        <v>42.1</v>
      </c>
      <c r="AR58">
        <v>0.00460422</v>
      </c>
      <c r="AS58">
        <v>0.00562836</v>
      </c>
      <c r="AU58">
        <v>26.01</v>
      </c>
      <c r="AV58">
        <v>0.00741993</v>
      </c>
      <c r="AW58">
        <v>0.00329206</v>
      </c>
      <c r="AY58">
        <v>21</v>
      </c>
      <c r="AZ58">
        <v>0.01499224</v>
      </c>
      <c r="BA58">
        <v>0.03499786</v>
      </c>
      <c r="BC58">
        <v>360</v>
      </c>
      <c r="BD58">
        <v>0.00028241</v>
      </c>
      <c r="BO58">
        <v>20.00617170155503</v>
      </c>
      <c r="BP58">
        <v>0.03255598</v>
      </c>
      <c r="BQ58">
        <v>0.04441701</v>
      </c>
    </row>
    <row r="59" spans="2:69">
      <c r="B59" s="17" t="s">
        <v>223</v>
      </c>
      <c r="C59" s="18" t="s">
        <v>229</v>
      </c>
      <c r="D59" s="18"/>
      <c r="E59" s="18"/>
      <c r="F59" s="18"/>
      <c r="G59" s="18"/>
      <c r="H59" s="18"/>
      <c r="I59" s="18"/>
      <c r="AE59">
        <v>25.9</v>
      </c>
      <c r="AF59">
        <v>0.03333333</v>
      </c>
      <c r="AG59">
        <v>0.0376</v>
      </c>
      <c r="AH59">
        <v>0.02529506</v>
      </c>
      <c r="AI59">
        <v>25.9</v>
      </c>
      <c r="AJ59">
        <v>0.03422653</v>
      </c>
      <c r="AK59">
        <v>0.02529506</v>
      </c>
      <c r="AL59">
        <v>0.01094757</v>
      </c>
      <c r="AM59">
        <v>21.8</v>
      </c>
      <c r="AN59">
        <v>0.03925315</v>
      </c>
      <c r="AO59">
        <v>0.04311435</v>
      </c>
      <c r="AQ59">
        <v>42.90000000000001</v>
      </c>
      <c r="AR59">
        <v>0.00427419</v>
      </c>
      <c r="AS59">
        <v>0.00520788</v>
      </c>
      <c r="AU59">
        <v>26.51</v>
      </c>
      <c r="AV59">
        <v>0.00705806</v>
      </c>
      <c r="AW59">
        <v>0.00279601</v>
      </c>
      <c r="AY59">
        <v>21.5</v>
      </c>
      <c r="AZ59">
        <v>0.01333037</v>
      </c>
      <c r="BA59">
        <v>0.03073982</v>
      </c>
      <c r="BC59">
        <v>365</v>
      </c>
      <c r="BD59">
        <v>0.0002691</v>
      </c>
      <c r="BO59">
        <v>20.4537028582174</v>
      </c>
      <c r="BP59">
        <v>0.03187773</v>
      </c>
      <c r="BQ59">
        <v>0.04242799</v>
      </c>
    </row>
    <row r="60" spans="2:69">
      <c r="AE60">
        <v>26.2</v>
      </c>
      <c r="AF60">
        <v>0.03333333</v>
      </c>
      <c r="AG60">
        <v>0.0368</v>
      </c>
      <c r="AH60">
        <v>0.02384044</v>
      </c>
      <c r="AI60">
        <v>26.2</v>
      </c>
      <c r="AJ60">
        <v>0.03322784</v>
      </c>
      <c r="AK60">
        <v>0.02384044</v>
      </c>
      <c r="AL60">
        <v>0.009724669999999999</v>
      </c>
      <c r="AM60">
        <v>22.4</v>
      </c>
      <c r="AN60">
        <v>0.03876166</v>
      </c>
      <c r="AO60">
        <v>0.04257452</v>
      </c>
      <c r="AQ60">
        <v>43.7</v>
      </c>
      <c r="AR60">
        <v>0.00396882</v>
      </c>
      <c r="AS60">
        <v>0.00481583</v>
      </c>
      <c r="AU60">
        <v>27.01</v>
      </c>
      <c r="AV60">
        <v>0.00671383</v>
      </c>
      <c r="AW60">
        <v>0.00236563</v>
      </c>
      <c r="AY60">
        <v>22</v>
      </c>
      <c r="AZ60">
        <v>0.01184225</v>
      </c>
      <c r="BA60">
        <v>0.02686172</v>
      </c>
      <c r="BC60">
        <v>370</v>
      </c>
      <c r="BD60">
        <v>0.00025659</v>
      </c>
      <c r="BO60">
        <v>20.90123401487978</v>
      </c>
      <c r="BP60">
        <v>0.03119948</v>
      </c>
      <c r="BQ60">
        <v>0.04043896</v>
      </c>
    </row>
    <row r="61" spans="2:69">
      <c r="B61" s="5" t="s">
        <v>230</v>
      </c>
      <c r="AE61">
        <v>26.5</v>
      </c>
      <c r="AF61">
        <v>0.03333333</v>
      </c>
      <c r="AG61">
        <v>0.036</v>
      </c>
      <c r="AH61">
        <v>0.02242896</v>
      </c>
      <c r="AI61">
        <v>26.5</v>
      </c>
      <c r="AJ61">
        <v>0.03222921</v>
      </c>
      <c r="AK61">
        <v>0.02242896</v>
      </c>
      <c r="AL61">
        <v>0.00860725</v>
      </c>
      <c r="AM61">
        <v>23</v>
      </c>
      <c r="AN61">
        <v>0.03813878</v>
      </c>
      <c r="AO61">
        <v>0.04189037</v>
      </c>
      <c r="AQ61">
        <v>44.5</v>
      </c>
      <c r="AR61">
        <v>0.00368625</v>
      </c>
      <c r="AS61">
        <v>0.00445064</v>
      </c>
      <c r="AU61">
        <v>27.51</v>
      </c>
      <c r="AV61">
        <v>0.0063864</v>
      </c>
      <c r="AW61">
        <v>0.00199388</v>
      </c>
      <c r="AY61">
        <v>22.5</v>
      </c>
      <c r="AZ61">
        <v>0.01051207</v>
      </c>
      <c r="BA61">
        <v>0.02336791</v>
      </c>
      <c r="BC61">
        <v>375</v>
      </c>
      <c r="BD61">
        <v>0.00024481</v>
      </c>
      <c r="BO61">
        <v>21.34876517154215</v>
      </c>
      <c r="BP61">
        <v>0.03052123</v>
      </c>
      <c r="BQ61">
        <v>0.03844993</v>
      </c>
    </row>
    <row r="62" spans="2:69">
      <c r="AE62">
        <v>26.8</v>
      </c>
      <c r="AF62">
        <v>0.03333333</v>
      </c>
      <c r="AG62">
        <v>0.0352</v>
      </c>
      <c r="AH62">
        <v>0.02106169</v>
      </c>
      <c r="AI62">
        <v>26.8</v>
      </c>
      <c r="AJ62">
        <v>0.03123141</v>
      </c>
      <c r="AK62">
        <v>0.02106169</v>
      </c>
      <c r="AL62">
        <v>0.00758984</v>
      </c>
      <c r="AM62">
        <v>23.6</v>
      </c>
      <c r="AN62">
        <v>0.03739106</v>
      </c>
      <c r="AO62">
        <v>0.0410691</v>
      </c>
      <c r="AQ62">
        <v>45.3</v>
      </c>
      <c r="AR62">
        <v>0.00342473</v>
      </c>
      <c r="AS62">
        <v>0.00411078</v>
      </c>
      <c r="AU62">
        <v>28.01</v>
      </c>
      <c r="AV62">
        <v>0.00607493</v>
      </c>
      <c r="AW62">
        <v>0.00167417</v>
      </c>
      <c r="AY62">
        <v>23</v>
      </c>
      <c r="AZ62">
        <v>0.009324890000000001</v>
      </c>
      <c r="BA62">
        <v>0.02024939</v>
      </c>
      <c r="BC62">
        <v>380</v>
      </c>
      <c r="BD62">
        <v>0.00023372</v>
      </c>
      <c r="BO62">
        <v>21.79629632820452</v>
      </c>
      <c r="BP62">
        <v>0.02984298</v>
      </c>
      <c r="BQ62">
        <v>0.03646091</v>
      </c>
    </row>
    <row r="63" spans="2:69">
      <c r="AE63">
        <v>27.1</v>
      </c>
      <c r="AF63">
        <v>0.03333333</v>
      </c>
      <c r="AG63">
        <v>0.0344</v>
      </c>
      <c r="AH63">
        <v>0.01973954</v>
      </c>
      <c r="AI63">
        <v>27.1</v>
      </c>
      <c r="AJ63">
        <v>0.03023525</v>
      </c>
      <c r="AK63">
        <v>0.01973954</v>
      </c>
      <c r="AL63">
        <v>0.00666685</v>
      </c>
      <c r="AM63">
        <v>24.2</v>
      </c>
      <c r="AN63">
        <v>0.03652627</v>
      </c>
      <c r="AO63">
        <v>0.04011924</v>
      </c>
      <c r="AQ63">
        <v>46.1</v>
      </c>
      <c r="AR63">
        <v>0.00318266</v>
      </c>
      <c r="AS63">
        <v>0.00379477</v>
      </c>
      <c r="AU63">
        <v>28.51</v>
      </c>
      <c r="AV63">
        <v>0.00577865</v>
      </c>
      <c r="AW63">
        <v>0.0014004</v>
      </c>
      <c r="AY63">
        <v>23.5</v>
      </c>
      <c r="AZ63">
        <v>0.00826676</v>
      </c>
      <c r="BA63">
        <v>0.01748785</v>
      </c>
      <c r="BC63">
        <v>385</v>
      </c>
      <c r="BD63">
        <v>0.00022327</v>
      </c>
      <c r="BO63">
        <v>22.24382748486689</v>
      </c>
      <c r="BP63">
        <v>0.02916473</v>
      </c>
      <c r="BQ63">
        <v>0.03447188</v>
      </c>
    </row>
    <row r="64" spans="2:69">
      <c r="AE64">
        <v>27.4</v>
      </c>
      <c r="AF64">
        <v>0.03333333</v>
      </c>
      <c r="AG64">
        <v>0.0336</v>
      </c>
      <c r="AH64">
        <v>0.01846327</v>
      </c>
      <c r="AI64">
        <v>27.4</v>
      </c>
      <c r="AJ64">
        <v>0.02924148</v>
      </c>
      <c r="AK64">
        <v>0.01846327</v>
      </c>
      <c r="AL64">
        <v>0.00583262</v>
      </c>
      <c r="AM64">
        <v>24.8</v>
      </c>
      <c r="AN64">
        <v>0.03555325</v>
      </c>
      <c r="AO64">
        <v>0.03905051</v>
      </c>
      <c r="AQ64">
        <v>46.90000000000001</v>
      </c>
      <c r="AR64">
        <v>0.00295857</v>
      </c>
      <c r="AS64">
        <v>0.00350117</v>
      </c>
      <c r="AU64">
        <v>29.01</v>
      </c>
      <c r="AV64">
        <v>0.00549682</v>
      </c>
      <c r="AW64">
        <v>0.00116699</v>
      </c>
      <c r="AY64">
        <v>24</v>
      </c>
      <c r="AZ64">
        <v>0.00732478</v>
      </c>
      <c r="BA64">
        <v>0.01505889</v>
      </c>
      <c r="BC64">
        <v>390</v>
      </c>
      <c r="BD64">
        <v>0.00021341</v>
      </c>
      <c r="BO64">
        <v>22.69135864152927</v>
      </c>
      <c r="BP64">
        <v>0.02848649</v>
      </c>
      <c r="BQ64">
        <v>0.03248285</v>
      </c>
    </row>
    <row r="65" spans="31:69">
      <c r="AE65">
        <v>27.7</v>
      </c>
      <c r="AF65">
        <v>0.03333333</v>
      </c>
      <c r="AG65">
        <v>0.0328</v>
      </c>
      <c r="AH65">
        <v>0.01723349</v>
      </c>
      <c r="AI65">
        <v>27.7</v>
      </c>
      <c r="AJ65">
        <v>0.02825086</v>
      </c>
      <c r="AK65">
        <v>0.01723349</v>
      </c>
      <c r="AL65">
        <v>0.00508151</v>
      </c>
      <c r="AM65">
        <v>25.4</v>
      </c>
      <c r="AN65">
        <v>0.0344818</v>
      </c>
      <c r="AO65">
        <v>0.03787366</v>
      </c>
      <c r="AQ65">
        <v>47.7</v>
      </c>
      <c r="AR65">
        <v>0.00275106</v>
      </c>
      <c r="AS65">
        <v>0.00322862</v>
      </c>
      <c r="AU65">
        <v>29.51</v>
      </c>
      <c r="AV65">
        <v>0.00522874</v>
      </c>
      <c r="AW65">
        <v>0.00096881</v>
      </c>
      <c r="AY65">
        <v>24.5</v>
      </c>
      <c r="AZ65">
        <v>0.00648708</v>
      </c>
      <c r="BA65">
        <v>0.01293474</v>
      </c>
      <c r="BC65">
        <v>395</v>
      </c>
      <c r="BD65">
        <v>0.0002041</v>
      </c>
      <c r="BO65">
        <v>23.13888979819164</v>
      </c>
      <c r="BP65">
        <v>0.02780824</v>
      </c>
      <c r="BQ65">
        <v>0.03049382</v>
      </c>
    </row>
    <row r="66" spans="31:69">
      <c r="AE66">
        <v>28</v>
      </c>
      <c r="AF66">
        <v>0.03333333</v>
      </c>
      <c r="AG66">
        <v>0.032</v>
      </c>
      <c r="AH66">
        <v>0.01605067</v>
      </c>
      <c r="AI66">
        <v>28</v>
      </c>
      <c r="AJ66">
        <v>0.02726413</v>
      </c>
      <c r="AK66">
        <v>0.01605067</v>
      </c>
      <c r="AL66">
        <v>0.00440791</v>
      </c>
      <c r="AM66">
        <v>26</v>
      </c>
      <c r="AN66">
        <v>0.03332246</v>
      </c>
      <c r="AO66">
        <v>0.03660028</v>
      </c>
      <c r="AQ66">
        <v>48.5</v>
      </c>
      <c r="AR66">
        <v>0.00255889</v>
      </c>
      <c r="AS66">
        <v>0.0029758</v>
      </c>
      <c r="AU66">
        <v>30.01</v>
      </c>
      <c r="AV66">
        <v>0.00497373</v>
      </c>
      <c r="AW66">
        <v>0.00080128</v>
      </c>
      <c r="AY66">
        <v>25</v>
      </c>
      <c r="AZ66">
        <v>0.00574278</v>
      </c>
      <c r="BA66">
        <v>0.01108624</v>
      </c>
      <c r="BC66">
        <v>400</v>
      </c>
      <c r="BD66">
        <v>0.00019531</v>
      </c>
      <c r="BO66">
        <v>23.58642095485401</v>
      </c>
      <c r="BP66">
        <v>0.02712999</v>
      </c>
      <c r="BQ66">
        <v>0.0285048</v>
      </c>
    </row>
    <row r="67" spans="31:69">
      <c r="AE67">
        <v>28.3</v>
      </c>
      <c r="AF67">
        <v>0.03333333</v>
      </c>
      <c r="AG67">
        <v>0.0312</v>
      </c>
      <c r="AH67">
        <v>0.01491515</v>
      </c>
      <c r="AI67">
        <v>28.3</v>
      </c>
      <c r="AJ67">
        <v>0.02628202</v>
      </c>
      <c r="AK67">
        <v>0.01491515</v>
      </c>
      <c r="AL67">
        <v>0.00380629</v>
      </c>
      <c r="AM67">
        <v>26.6</v>
      </c>
      <c r="AN67">
        <v>0.03208638</v>
      </c>
      <c r="AO67">
        <v>0.03524261</v>
      </c>
      <c r="AQ67">
        <v>49.3</v>
      </c>
      <c r="AR67">
        <v>0.00238087</v>
      </c>
      <c r="AS67">
        <v>0.00274145</v>
      </c>
      <c r="AU67">
        <v>30.51</v>
      </c>
      <c r="AV67">
        <v>0.00473116</v>
      </c>
      <c r="AW67">
        <v>0.00066023</v>
      </c>
      <c r="AY67">
        <v>25.5</v>
      </c>
      <c r="AZ67">
        <v>0.00508201</v>
      </c>
      <c r="BA67">
        <v>0.009484340000000001</v>
      </c>
      <c r="BC67">
        <v>405</v>
      </c>
      <c r="BD67">
        <v>0.000187</v>
      </c>
      <c r="BO67">
        <v>24.03395211151638</v>
      </c>
      <c r="BP67">
        <v>0.02645174</v>
      </c>
      <c r="BQ67">
        <v>0.02651577</v>
      </c>
    </row>
    <row r="68" spans="31:69">
      <c r="AE68">
        <v>28.6</v>
      </c>
      <c r="AF68">
        <v>0.03333333</v>
      </c>
      <c r="AG68">
        <v>0.0304</v>
      </c>
      <c r="AH68">
        <v>0.01382713</v>
      </c>
      <c r="AI68">
        <v>28.6</v>
      </c>
      <c r="AJ68">
        <v>0.02530528</v>
      </c>
      <c r="AK68">
        <v>0.01382713</v>
      </c>
      <c r="AL68">
        <v>0.00327123</v>
      </c>
      <c r="AM68">
        <v>27.2</v>
      </c>
      <c r="AN68">
        <v>0.03078513</v>
      </c>
      <c r="AO68">
        <v>0.03381336</v>
      </c>
      <c r="AQ68">
        <v>50.1</v>
      </c>
      <c r="AR68">
        <v>0.00221592</v>
      </c>
      <c r="AS68">
        <v>0.00252437</v>
      </c>
      <c r="AU68">
        <v>31.01</v>
      </c>
      <c r="AV68">
        <v>0.00450042</v>
      </c>
      <c r="AW68">
        <v>0.00054198</v>
      </c>
      <c r="AY68">
        <v>26</v>
      </c>
      <c r="AZ68">
        <v>0.00449581</v>
      </c>
      <c r="BA68">
        <v>0.00810107</v>
      </c>
      <c r="BC68">
        <v>410</v>
      </c>
      <c r="BD68">
        <v>0.00017914</v>
      </c>
      <c r="BO68">
        <v>24.48148326817876</v>
      </c>
      <c r="BP68">
        <v>0.02577349</v>
      </c>
      <c r="BQ68">
        <v>0.02452674</v>
      </c>
    </row>
    <row r="69" spans="31:69">
      <c r="AE69">
        <v>28.9</v>
      </c>
      <c r="AF69">
        <v>0.03333333</v>
      </c>
      <c r="AG69">
        <v>0.0296</v>
      </c>
      <c r="AH69">
        <v>0.0127867</v>
      </c>
      <c r="AI69">
        <v>28.9</v>
      </c>
      <c r="AJ69">
        <v>0.0243346</v>
      </c>
      <c r="AK69">
        <v>0.0127867</v>
      </c>
      <c r="AL69">
        <v>0.00279745</v>
      </c>
      <c r="AM69">
        <v>27.8</v>
      </c>
      <c r="AN69">
        <v>0.0294305</v>
      </c>
      <c r="AO69">
        <v>0.03232549</v>
      </c>
      <c r="AQ69">
        <v>50.90000000000001</v>
      </c>
      <c r="AR69">
        <v>0.00206305</v>
      </c>
      <c r="AS69">
        <v>0.00232343</v>
      </c>
      <c r="AU69">
        <v>31.51</v>
      </c>
      <c r="AV69">
        <v>0.00428093</v>
      </c>
      <c r="AW69">
        <v>0.00044326</v>
      </c>
      <c r="AY69">
        <v>26.5</v>
      </c>
      <c r="AZ69">
        <v>0.00397608</v>
      </c>
      <c r="BA69">
        <v>0.00691019</v>
      </c>
      <c r="BC69">
        <v>415</v>
      </c>
      <c r="BD69">
        <v>0.0001717</v>
      </c>
      <c r="BO69">
        <v>24.92901442484113</v>
      </c>
      <c r="BP69">
        <v>0.02509524</v>
      </c>
      <c r="BQ69">
        <v>0.02253771</v>
      </c>
    </row>
    <row r="70" spans="31:69">
      <c r="AE70">
        <v>29.2</v>
      </c>
      <c r="AF70">
        <v>0.03333333</v>
      </c>
      <c r="AG70">
        <v>0.0288</v>
      </c>
      <c r="AH70">
        <v>0.01179381</v>
      </c>
      <c r="AI70">
        <v>29.2</v>
      </c>
      <c r="AJ70">
        <v>0.02337072</v>
      </c>
      <c r="AK70">
        <v>0.01179381</v>
      </c>
      <c r="AL70">
        <v>0.00237988</v>
      </c>
      <c r="AM70">
        <v>28.4</v>
      </c>
      <c r="AN70">
        <v>0.02803438</v>
      </c>
      <c r="AO70">
        <v>0.03079203</v>
      </c>
      <c r="AQ70">
        <v>51.7</v>
      </c>
      <c r="AR70">
        <v>0.00192134</v>
      </c>
      <c r="AS70">
        <v>0.00213755</v>
      </c>
      <c r="AU70">
        <v>32.01</v>
      </c>
      <c r="AV70">
        <v>0.00407215</v>
      </c>
      <c r="AW70">
        <v>0.00036117</v>
      </c>
      <c r="AY70">
        <v>27</v>
      </c>
      <c r="AZ70">
        <v>0.00351555</v>
      </c>
      <c r="BA70">
        <v>0.00588757</v>
      </c>
      <c r="BC70">
        <v>420</v>
      </c>
      <c r="BD70">
        <v>0.00016465</v>
      </c>
      <c r="BO70">
        <v>25.3765455815035</v>
      </c>
      <c r="BP70">
        <v>0.02441699</v>
      </c>
      <c r="BQ70">
        <v>0.02054869</v>
      </c>
    </row>
    <row r="71" spans="31:69">
      <c r="AE71">
        <v>29.5</v>
      </c>
      <c r="AF71">
        <v>0.03333333</v>
      </c>
      <c r="AG71">
        <v>0.028</v>
      </c>
      <c r="AH71">
        <v>0.01084829</v>
      </c>
      <c r="AI71">
        <v>29.5</v>
      </c>
      <c r="AJ71">
        <v>0.02241433</v>
      </c>
      <c r="AK71">
        <v>0.01084829</v>
      </c>
      <c r="AL71">
        <v>0.00201358</v>
      </c>
      <c r="AM71">
        <v>29</v>
      </c>
      <c r="AN71">
        <v>0.02660852</v>
      </c>
      <c r="AO71">
        <v>0.02922592</v>
      </c>
      <c r="AQ71">
        <v>52.5</v>
      </c>
      <c r="AR71">
        <v>0.00178993</v>
      </c>
      <c r="AS71">
        <v>0.00196569</v>
      </c>
      <c r="AU71">
        <v>32.51</v>
      </c>
      <c r="AV71">
        <v>0.00387355</v>
      </c>
      <c r="AW71">
        <v>0.00029319</v>
      </c>
      <c r="AY71">
        <v>27.5</v>
      </c>
      <c r="AZ71">
        <v>0.00310767</v>
      </c>
      <c r="BA71">
        <v>0.00501136</v>
      </c>
      <c r="BC71">
        <v>425</v>
      </c>
      <c r="BD71">
        <v>0.00015797</v>
      </c>
      <c r="BO71">
        <v>25.82407673816587</v>
      </c>
      <c r="BP71">
        <v>0.02373874</v>
      </c>
      <c r="BQ71">
        <v>0.01855966</v>
      </c>
    </row>
    <row r="72" spans="31:69">
      <c r="AE72">
        <v>29.8</v>
      </c>
      <c r="AF72">
        <v>0.03333333</v>
      </c>
      <c r="AG72">
        <v>0.0272</v>
      </c>
      <c r="AH72">
        <v>0.009949879999999999</v>
      </c>
      <c r="AI72">
        <v>29.8</v>
      </c>
      <c r="AJ72">
        <v>0.02146614</v>
      </c>
      <c r="AK72">
        <v>0.009949879999999999</v>
      </c>
      <c r="AL72">
        <v>0.00169388</v>
      </c>
      <c r="AM72">
        <v>29.6</v>
      </c>
      <c r="AN72">
        <v>0.02516443</v>
      </c>
      <c r="AO72">
        <v>0.02763978</v>
      </c>
      <c r="AQ72">
        <v>53.3</v>
      </c>
      <c r="AR72">
        <v>0.00166805</v>
      </c>
      <c r="AS72">
        <v>0.00180691</v>
      </c>
      <c r="AU72">
        <v>33.01</v>
      </c>
      <c r="AV72">
        <v>0.00368463</v>
      </c>
      <c r="AW72">
        <v>0.00023712</v>
      </c>
      <c r="AY72">
        <v>28</v>
      </c>
      <c r="AZ72">
        <v>0.00274657</v>
      </c>
      <c r="BA72">
        <v>0.00426198</v>
      </c>
      <c r="BC72">
        <v>430</v>
      </c>
      <c r="BD72">
        <v>0.00015164</v>
      </c>
      <c r="BO72">
        <v>26.27160789482824</v>
      </c>
      <c r="BP72">
        <v>0.02306049</v>
      </c>
      <c r="BQ72">
        <v>0.01657063</v>
      </c>
    </row>
    <row r="73" spans="31:69">
      <c r="AE73">
        <v>30.1</v>
      </c>
      <c r="AF73">
        <v>0.03333333</v>
      </c>
      <c r="AG73">
        <v>0.0264</v>
      </c>
      <c r="AH73">
        <v>0.009098200000000001</v>
      </c>
      <c r="AI73">
        <v>30.1</v>
      </c>
      <c r="AJ73">
        <v>0.02052687</v>
      </c>
      <c r="AK73">
        <v>0.009098200000000001</v>
      </c>
      <c r="AL73">
        <v>0.00141631</v>
      </c>
      <c r="AM73">
        <v>30.2</v>
      </c>
      <c r="AN73">
        <v>0.0237132</v>
      </c>
      <c r="AO73">
        <v>0.02604579</v>
      </c>
      <c r="AQ73">
        <v>54.1</v>
      </c>
      <c r="AR73">
        <v>0.00155497</v>
      </c>
      <c r="AS73">
        <v>0.00166029</v>
      </c>
      <c r="AU73">
        <v>33.51</v>
      </c>
      <c r="AV73">
        <v>0.00350493</v>
      </c>
      <c r="AW73">
        <v>0.00019107</v>
      </c>
      <c r="AY73">
        <v>28.5</v>
      </c>
      <c r="AZ73">
        <v>0.002427</v>
      </c>
      <c r="BA73">
        <v>0.00362208</v>
      </c>
      <c r="BC73">
        <v>435</v>
      </c>
      <c r="BD73">
        <v>0.00014562</v>
      </c>
      <c r="BO73">
        <v>26.71913905149062</v>
      </c>
      <c r="BP73">
        <v>0.02238224</v>
      </c>
      <c r="BQ73">
        <v>0.0145816</v>
      </c>
    </row>
    <row r="74" spans="31:69">
      <c r="AE74">
        <v>30.4</v>
      </c>
      <c r="AF74">
        <v>0.03333333</v>
      </c>
      <c r="AG74">
        <v>0.0256</v>
      </c>
      <c r="AH74">
        <v>0.00829274</v>
      </c>
      <c r="AI74">
        <v>30.4</v>
      </c>
      <c r="AJ74">
        <v>0.0195972</v>
      </c>
      <c r="AK74">
        <v>0.00829274</v>
      </c>
      <c r="AL74">
        <v>0.00117664</v>
      </c>
      <c r="AM74">
        <v>30.8</v>
      </c>
      <c r="AN74">
        <v>0.02226535</v>
      </c>
      <c r="AO74">
        <v>0.02445552</v>
      </c>
      <c r="AQ74">
        <v>54.90000000000001</v>
      </c>
      <c r="AR74">
        <v>0.00145002</v>
      </c>
      <c r="AS74">
        <v>0.00152498</v>
      </c>
      <c r="AU74">
        <v>34.01</v>
      </c>
      <c r="AV74">
        <v>0.00333399</v>
      </c>
      <c r="AW74">
        <v>0.00015339</v>
      </c>
      <c r="AY74">
        <v>29</v>
      </c>
      <c r="AZ74">
        <v>0.00214429</v>
      </c>
      <c r="BA74">
        <v>0.00307639</v>
      </c>
      <c r="BC74">
        <v>440</v>
      </c>
      <c r="BD74">
        <v>0.00013991</v>
      </c>
      <c r="BO74">
        <v>27.16667020815299</v>
      </c>
      <c r="BP74">
        <v>0.02170399</v>
      </c>
      <c r="BQ74">
        <v>0.01259258</v>
      </c>
    </row>
    <row r="75" spans="31:69">
      <c r="AE75">
        <v>30.7</v>
      </c>
      <c r="AF75">
        <v>0.03333333</v>
      </c>
      <c r="AG75">
        <v>0.0248</v>
      </c>
      <c r="AH75">
        <v>0.00753293</v>
      </c>
      <c r="AI75">
        <v>30.7</v>
      </c>
      <c r="AJ75">
        <v>0.01867786</v>
      </c>
      <c r="AK75">
        <v>0.00753293</v>
      </c>
      <c r="AL75">
        <v>0.0009709</v>
      </c>
      <c r="AM75">
        <v>31.4</v>
      </c>
      <c r="AN75">
        <v>0.02083078</v>
      </c>
      <c r="AO75">
        <v>0.02287984</v>
      </c>
      <c r="AQ75">
        <v>55.7</v>
      </c>
      <c r="AR75">
        <v>0.0013526</v>
      </c>
      <c r="AS75">
        <v>0.00140016</v>
      </c>
      <c r="AU75">
        <v>34.51</v>
      </c>
      <c r="AV75">
        <v>0.00317139</v>
      </c>
      <c r="AW75">
        <v>0.00012269</v>
      </c>
      <c r="AY75">
        <v>29.5</v>
      </c>
      <c r="AZ75">
        <v>0.00189426</v>
      </c>
      <c r="BA75">
        <v>0.00261157</v>
      </c>
      <c r="BC75">
        <v>445</v>
      </c>
      <c r="BD75">
        <v>0.00013449</v>
      </c>
      <c r="BO75">
        <v>27.61420136481536</v>
      </c>
      <c r="BP75">
        <v>0.02102574</v>
      </c>
      <c r="BQ75">
        <v>0.01060355</v>
      </c>
    </row>
    <row r="76" spans="31:69">
      <c r="AE76">
        <v>31</v>
      </c>
      <c r="AF76">
        <v>0.03333333</v>
      </c>
      <c r="AG76">
        <v>0.024</v>
      </c>
      <c r="AH76">
        <v>0.00681808</v>
      </c>
      <c r="AI76">
        <v>31</v>
      </c>
      <c r="AJ76">
        <v>0.01776953</v>
      </c>
      <c r="AK76">
        <v>0.00681808</v>
      </c>
      <c r="AL76">
        <v>0.00079537</v>
      </c>
      <c r="AM76">
        <v>32</v>
      </c>
      <c r="AN76">
        <v>0.01941861</v>
      </c>
      <c r="AO76">
        <v>0.02132875</v>
      </c>
      <c r="AQ76">
        <v>56.5</v>
      </c>
      <c r="AR76">
        <v>0.00126214</v>
      </c>
      <c r="AS76">
        <v>0.00128509</v>
      </c>
      <c r="AU76">
        <v>35.01</v>
      </c>
      <c r="AV76">
        <v>0.00301672</v>
      </c>
      <c r="AW76">
        <v>9.778E-05</v>
      </c>
      <c r="AY76">
        <v>30</v>
      </c>
      <c r="AZ76">
        <v>0.00167317</v>
      </c>
      <c r="BA76">
        <v>0.00221602</v>
      </c>
      <c r="BC76">
        <v>450</v>
      </c>
      <c r="BD76">
        <v>0.00012933</v>
      </c>
      <c r="BO76">
        <v>28.06173252147773</v>
      </c>
      <c r="BP76">
        <v>0.02034749</v>
      </c>
      <c r="BQ76">
        <v>0.008614520000000001</v>
      </c>
    </row>
    <row r="77" spans="31:69">
      <c r="AE77">
        <v>31.3</v>
      </c>
      <c r="AF77">
        <v>0.03333333</v>
      </c>
      <c r="AG77">
        <v>0.0232</v>
      </c>
      <c r="AH77">
        <v>0.0061474</v>
      </c>
      <c r="AI77">
        <v>31.3</v>
      </c>
      <c r="AJ77">
        <v>0.01687293</v>
      </c>
      <c r="AK77">
        <v>0.0061474</v>
      </c>
      <c r="AL77">
        <v>0.0006465899999999999</v>
      </c>
      <c r="AM77">
        <v>32.6</v>
      </c>
      <c r="AN77">
        <v>0.01803712</v>
      </c>
      <c r="AO77">
        <v>0.01981137</v>
      </c>
      <c r="AQ77">
        <v>57.3</v>
      </c>
      <c r="AR77">
        <v>0.00117811</v>
      </c>
      <c r="AS77">
        <v>0.00117905</v>
      </c>
      <c r="AU77">
        <v>35.51</v>
      </c>
      <c r="AV77">
        <v>0.00286959</v>
      </c>
      <c r="AW77">
        <v>7.763E-05</v>
      </c>
      <c r="AY77">
        <v>30.5</v>
      </c>
      <c r="AZ77">
        <v>0.00147774</v>
      </c>
      <c r="BA77">
        <v>0.00187968</v>
      </c>
      <c r="BC77">
        <v>455</v>
      </c>
      <c r="BD77">
        <v>0.00012442</v>
      </c>
      <c r="BO77">
        <v>28.5092636781401</v>
      </c>
      <c r="BP77">
        <v>0.01966924</v>
      </c>
      <c r="BQ77">
        <v>0.00662549</v>
      </c>
    </row>
    <row r="78" spans="31:69">
      <c r="AE78">
        <v>31.6</v>
      </c>
      <c r="AF78">
        <v>0.03333333</v>
      </c>
      <c r="AG78">
        <v>0.0224</v>
      </c>
      <c r="AH78">
        <v>0.00552002</v>
      </c>
      <c r="AI78">
        <v>31.6</v>
      </c>
      <c r="AJ78">
        <v>0.01598878</v>
      </c>
      <c r="AK78">
        <v>0.00552002</v>
      </c>
      <c r="AL78">
        <v>0.00052135</v>
      </c>
      <c r="AM78">
        <v>33.2</v>
      </c>
      <c r="AN78">
        <v>0.0166937</v>
      </c>
      <c r="AO78">
        <v>0.01833581</v>
      </c>
      <c r="AQ78">
        <v>58.1</v>
      </c>
      <c r="AR78">
        <v>0.00110003</v>
      </c>
      <c r="AS78">
        <v>0.00108139</v>
      </c>
      <c r="AU78">
        <v>36.01</v>
      </c>
      <c r="AV78">
        <v>0.00272964</v>
      </c>
      <c r="AW78">
        <v>6.141E-05</v>
      </c>
      <c r="AY78">
        <v>31</v>
      </c>
      <c r="AZ78">
        <v>0.00130501</v>
      </c>
      <c r="BA78">
        <v>0.00159389</v>
      </c>
      <c r="BC78">
        <v>460</v>
      </c>
      <c r="BD78">
        <v>0.00011975</v>
      </c>
      <c r="BO78">
        <v>28.95679483480248</v>
      </c>
      <c r="BP78">
        <v>0.01899099</v>
      </c>
      <c r="BQ78">
        <v>0.00463647</v>
      </c>
    </row>
    <row r="79" spans="31:69">
      <c r="AE79">
        <v>31.9</v>
      </c>
      <c r="AF79">
        <v>0.03333333</v>
      </c>
      <c r="AG79">
        <v>0.0216</v>
      </c>
      <c r="AH79">
        <v>0.004935</v>
      </c>
      <c r="AI79">
        <v>31.9</v>
      </c>
      <c r="AJ79">
        <v>0.01511779</v>
      </c>
      <c r="AK79">
        <v>0.004935</v>
      </c>
      <c r="AL79">
        <v>0.0004167</v>
      </c>
      <c r="AM79">
        <v>33.8</v>
      </c>
      <c r="AN79">
        <v>0.01539483</v>
      </c>
      <c r="AO79">
        <v>0.01690917</v>
      </c>
      <c r="AQ79">
        <v>58.90000000000001</v>
      </c>
      <c r="AR79">
        <v>0.00102746</v>
      </c>
      <c r="AS79">
        <v>0.00099149</v>
      </c>
      <c r="AU79">
        <v>36.51</v>
      </c>
      <c r="AV79">
        <v>0.00259652</v>
      </c>
      <c r="AW79">
        <v>4.841E-05</v>
      </c>
      <c r="AY79">
        <v>31.5</v>
      </c>
      <c r="AZ79">
        <v>0.00115238</v>
      </c>
      <c r="BA79">
        <v>0.00135119</v>
      </c>
      <c r="BC79">
        <v>465</v>
      </c>
      <c r="BD79">
        <v>0.00011531</v>
      </c>
      <c r="BO79">
        <v>29.40432599146485</v>
      </c>
      <c r="BP79">
        <v>0.01831274</v>
      </c>
      <c r="BQ79">
        <v>0.00264744</v>
      </c>
    </row>
    <row r="80" spans="31:69">
      <c r="AE80">
        <v>32.2</v>
      </c>
      <c r="AF80">
        <v>0.03333333</v>
      </c>
      <c r="AG80">
        <v>0.0208</v>
      </c>
      <c r="AH80">
        <v>0.00439128</v>
      </c>
      <c r="AI80">
        <v>32.2</v>
      </c>
      <c r="AJ80">
        <v>0.01426069</v>
      </c>
      <c r="AK80">
        <v>0.00439128</v>
      </c>
      <c r="AL80">
        <v>0.00032994</v>
      </c>
      <c r="AM80">
        <v>34.4</v>
      </c>
      <c r="AN80">
        <v>0.014146</v>
      </c>
      <c r="AO80">
        <v>0.01553749</v>
      </c>
      <c r="AQ80">
        <v>59.7</v>
      </c>
      <c r="AR80">
        <v>0.00095999</v>
      </c>
      <c r="AS80">
        <v>0.00090876</v>
      </c>
      <c r="AU80">
        <v>37.01</v>
      </c>
      <c r="AV80">
        <v>0.00246988</v>
      </c>
      <c r="AW80">
        <v>3.801E-05</v>
      </c>
      <c r="AY80">
        <v>32</v>
      </c>
      <c r="AZ80">
        <v>0.00101753</v>
      </c>
      <c r="BA80">
        <v>0.00114519</v>
      </c>
      <c r="BC80">
        <v>470</v>
      </c>
      <c r="BD80">
        <v>0.00011107</v>
      </c>
      <c r="BO80">
        <v>29.85185714812722</v>
      </c>
      <c r="BP80">
        <v>0.01763449</v>
      </c>
      <c r="BQ80">
        <v>0.00065841</v>
      </c>
    </row>
    <row r="81" spans="31:69">
      <c r="AE81">
        <v>32.5</v>
      </c>
      <c r="AF81">
        <v>0.03333333</v>
      </c>
      <c r="AG81">
        <v>0.02</v>
      </c>
      <c r="AH81">
        <v>0.00388776</v>
      </c>
      <c r="AI81">
        <v>32.5</v>
      </c>
      <c r="AJ81">
        <v>0.01341822</v>
      </c>
      <c r="AK81">
        <v>0.00388776</v>
      </c>
      <c r="AL81">
        <v>0.00025861</v>
      </c>
      <c r="AM81">
        <v>35</v>
      </c>
      <c r="AN81">
        <v>0.01295176</v>
      </c>
      <c r="AO81">
        <v>0.01422578</v>
      </c>
      <c r="AQ81">
        <v>60.5</v>
      </c>
      <c r="AR81">
        <v>0.00089724</v>
      </c>
      <c r="AS81">
        <v>0.00083267</v>
      </c>
      <c r="AU81">
        <v>37.51</v>
      </c>
      <c r="AV81">
        <v>0.00234942</v>
      </c>
      <c r="AW81">
        <v>2.974E-05</v>
      </c>
      <c r="AY81">
        <v>32.5</v>
      </c>
      <c r="AZ81">
        <v>0.00089839</v>
      </c>
      <c r="BA81">
        <v>0.00097041</v>
      </c>
      <c r="BC81">
        <v>475</v>
      </c>
      <c r="BD81">
        <v>0.00010703</v>
      </c>
      <c r="BO81">
        <v>30.29938830478959</v>
      </c>
      <c r="BP81">
        <v>0.01695624</v>
      </c>
      <c r="BQ81">
        <v>0</v>
      </c>
    </row>
    <row r="82" spans="31:69">
      <c r="AE82">
        <v>32.8</v>
      </c>
      <c r="AF82">
        <v>0.03333333</v>
      </c>
      <c r="AG82">
        <v>0.0192</v>
      </c>
      <c r="AH82">
        <v>0.00342325</v>
      </c>
      <c r="AI82">
        <v>32.8</v>
      </c>
      <c r="AJ82">
        <v>0.01259112</v>
      </c>
      <c r="AK82">
        <v>0.00342325</v>
      </c>
      <c r="AL82">
        <v>0.0002005</v>
      </c>
      <c r="AM82">
        <v>35.6</v>
      </c>
      <c r="AN82">
        <v>0.01181573</v>
      </c>
      <c r="AO82">
        <v>0</v>
      </c>
      <c r="AQ82">
        <v>61.3</v>
      </c>
      <c r="AR82">
        <v>0.00083886</v>
      </c>
      <c r="AS82">
        <v>0.00076271</v>
      </c>
      <c r="AU82">
        <v>38.01</v>
      </c>
      <c r="AV82">
        <v>0.00223484</v>
      </c>
      <c r="AW82">
        <v>2.319E-05</v>
      </c>
      <c r="AY82">
        <v>33</v>
      </c>
      <c r="AZ82">
        <v>0.0007931700000000001</v>
      </c>
      <c r="BA82">
        <v>0.00082217</v>
      </c>
      <c r="BC82">
        <v>480</v>
      </c>
      <c r="BD82">
        <v>0.00010318</v>
      </c>
      <c r="BO82">
        <v>30.74691946145197</v>
      </c>
      <c r="BP82">
        <v>0.01627799</v>
      </c>
      <c r="BQ82">
        <v>0</v>
      </c>
    </row>
    <row r="83" spans="31:69">
      <c r="AE83">
        <v>33.09999999999999</v>
      </c>
      <c r="AF83">
        <v>0.03333333</v>
      </c>
      <c r="AG83">
        <v>0.0184</v>
      </c>
      <c r="AH83">
        <v>0.00299649</v>
      </c>
      <c r="AI83">
        <v>33.09999999999999</v>
      </c>
      <c r="AJ83">
        <v>0.01178016</v>
      </c>
      <c r="AK83">
        <v>0.00299649</v>
      </c>
      <c r="AL83">
        <v>0.00015363</v>
      </c>
      <c r="AM83">
        <v>36.2</v>
      </c>
      <c r="AN83">
        <v>0.01074061</v>
      </c>
      <c r="AO83">
        <v>0</v>
      </c>
      <c r="AQ83">
        <v>62.1</v>
      </c>
      <c r="AR83">
        <v>0.00078454</v>
      </c>
      <c r="AS83">
        <v>0.0006984200000000001</v>
      </c>
      <c r="AU83">
        <v>38.51</v>
      </c>
      <c r="AV83">
        <v>0.00212585</v>
      </c>
      <c r="AW83">
        <v>1.801E-05</v>
      </c>
      <c r="AY83">
        <v>33.5</v>
      </c>
      <c r="AZ83">
        <v>0.00070023</v>
      </c>
      <c r="BA83">
        <v>0.00069648</v>
      </c>
      <c r="BC83">
        <v>485</v>
      </c>
      <c r="BD83">
        <v>9.950000000000001E-05</v>
      </c>
      <c r="BO83">
        <v>31.19445061811434</v>
      </c>
      <c r="BP83">
        <v>0.01559974</v>
      </c>
      <c r="BQ83">
        <v>0</v>
      </c>
    </row>
    <row r="84" spans="31:69">
      <c r="AE84">
        <v>33.4</v>
      </c>
      <c r="AF84">
        <v>0.03333333</v>
      </c>
      <c r="AG84">
        <v>0.0176</v>
      </c>
      <c r="AH84">
        <v>0.00260614</v>
      </c>
      <c r="AI84">
        <v>33.4</v>
      </c>
      <c r="AJ84">
        <v>0.01098611</v>
      </c>
      <c r="AK84">
        <v>0.00260614</v>
      </c>
      <c r="AL84">
        <v>0.00011621</v>
      </c>
      <c r="AM84">
        <v>36.8</v>
      </c>
      <c r="AN84">
        <v>0.009728229999999999</v>
      </c>
      <c r="AO84">
        <v>0</v>
      </c>
      <c r="AQ84">
        <v>62.90000000000001</v>
      </c>
      <c r="AR84">
        <v>0.00073397</v>
      </c>
      <c r="AS84">
        <v>0.00063935</v>
      </c>
      <c r="AU84">
        <v>39.01</v>
      </c>
      <c r="AV84">
        <v>0.00202217</v>
      </c>
      <c r="AW84">
        <v>1.394E-05</v>
      </c>
      <c r="AY84">
        <v>34</v>
      </c>
      <c r="AZ84">
        <v>0.00061815</v>
      </c>
      <c r="BA84">
        <v>0.00058994</v>
      </c>
      <c r="BC84">
        <v>490</v>
      </c>
      <c r="BD84">
        <v>9.6E-05</v>
      </c>
      <c r="BO84">
        <v>31.64198177477671</v>
      </c>
      <c r="BP84">
        <v>0.01492149</v>
      </c>
      <c r="BQ84">
        <v>0</v>
      </c>
    </row>
    <row r="85" spans="31:69">
      <c r="AE85">
        <v>33.7</v>
      </c>
      <c r="AF85">
        <v>0.03333333</v>
      </c>
      <c r="AG85">
        <v>0.0168</v>
      </c>
      <c r="AH85">
        <v>0.00225082</v>
      </c>
      <c r="AI85">
        <v>33.7</v>
      </c>
      <c r="AJ85">
        <v>0.01020976</v>
      </c>
      <c r="AK85">
        <v>0.00225082</v>
      </c>
      <c r="AL85">
        <v>8.668E-05</v>
      </c>
      <c r="AM85">
        <v>37.4</v>
      </c>
      <c r="AN85">
        <v>0.00877961</v>
      </c>
      <c r="AO85">
        <v>0</v>
      </c>
      <c r="AQ85">
        <v>63.7</v>
      </c>
      <c r="AR85">
        <v>0.00068687</v>
      </c>
      <c r="AS85">
        <v>0.00058512</v>
      </c>
      <c r="AU85">
        <v>39.51</v>
      </c>
      <c r="AV85">
        <v>0.00192355</v>
      </c>
      <c r="AW85">
        <v>1.075E-05</v>
      </c>
      <c r="AY85">
        <v>34.5</v>
      </c>
      <c r="AZ85">
        <v>0.00054568</v>
      </c>
      <c r="BA85">
        <v>0.00049964</v>
      </c>
      <c r="BC85">
        <v>495</v>
      </c>
      <c r="BD85">
        <v>9.263999999999999E-05</v>
      </c>
      <c r="BO85">
        <v>32.08951293143908</v>
      </c>
      <c r="BP85">
        <v>0.01424324</v>
      </c>
      <c r="BQ85">
        <v>0</v>
      </c>
    </row>
    <row r="86" spans="31:69">
      <c r="AE86">
        <v>34</v>
      </c>
      <c r="AF86">
        <v>0.03333333</v>
      </c>
      <c r="AG86">
        <v>0.016</v>
      </c>
      <c r="AH86">
        <v>0.00192909</v>
      </c>
      <c r="AI86">
        <v>34</v>
      </c>
      <c r="AJ86">
        <v>0.009451940000000001</v>
      </c>
      <c r="AK86">
        <v>0.00192909</v>
      </c>
      <c r="AL86">
        <v>6.367000000000001E-05</v>
      </c>
      <c r="AM86">
        <v>38</v>
      </c>
      <c r="AN86">
        <v>0.007895020000000001</v>
      </c>
      <c r="AO86">
        <v>0</v>
      </c>
      <c r="AQ86">
        <v>64.5</v>
      </c>
      <c r="AR86">
        <v>0.00064301</v>
      </c>
      <c r="AS86">
        <v>0.00053534</v>
      </c>
      <c r="AU86">
        <v>40.01</v>
      </c>
      <c r="AV86">
        <v>0.00182973</v>
      </c>
      <c r="AW86">
        <v>8.260000000000001E-06</v>
      </c>
      <c r="AY86">
        <v>35</v>
      </c>
      <c r="AZ86">
        <v>0.00048168</v>
      </c>
      <c r="BA86">
        <v>0.00042313</v>
      </c>
      <c r="BC86">
        <v>500</v>
      </c>
      <c r="BD86">
        <v>8.944E-05</v>
      </c>
      <c r="BO86">
        <v>32.53704408810145</v>
      </c>
      <c r="BP86">
        <v>0.01356499</v>
      </c>
      <c r="BQ86">
        <v>0</v>
      </c>
    </row>
    <row r="87" spans="31:69">
      <c r="AE87">
        <v>34.3</v>
      </c>
      <c r="AF87">
        <v>0.03333333</v>
      </c>
      <c r="AG87">
        <v>0.0152</v>
      </c>
      <c r="AH87">
        <v>0.00163944</v>
      </c>
      <c r="AI87">
        <v>34.3</v>
      </c>
      <c r="AJ87">
        <v>0.008713490000000001</v>
      </c>
      <c r="AK87">
        <v>0.00163944</v>
      </c>
      <c r="AL87">
        <v>4.599E-05</v>
      </c>
      <c r="AM87">
        <v>38.6</v>
      </c>
      <c r="AN87">
        <v>0.00707404</v>
      </c>
      <c r="AO87">
        <v>0</v>
      </c>
      <c r="AQ87">
        <v>65.3</v>
      </c>
      <c r="AR87">
        <v>0.00060213</v>
      </c>
      <c r="AS87">
        <v>0.00048965</v>
      </c>
      <c r="AU87">
        <v>40.51</v>
      </c>
      <c r="AV87">
        <v>0.0017405</v>
      </c>
      <c r="AW87">
        <v>6.32E-06</v>
      </c>
      <c r="AY87">
        <v>35.5</v>
      </c>
      <c r="AZ87">
        <v>0.00042518</v>
      </c>
      <c r="BA87">
        <v>0.00035831</v>
      </c>
      <c r="BC87">
        <v>505</v>
      </c>
      <c r="BD87">
        <v>8.638E-05</v>
      </c>
      <c r="BO87">
        <v>32.98457524476382</v>
      </c>
      <c r="BP87">
        <v>0.01288674</v>
      </c>
      <c r="BQ87">
        <v>0</v>
      </c>
    </row>
    <row r="88" spans="31:69">
      <c r="AE88">
        <v>34.59999999999999</v>
      </c>
      <c r="AF88">
        <v>0.03333333</v>
      </c>
      <c r="AG88">
        <v>0.0144</v>
      </c>
      <c r="AH88">
        <v>0.00138031</v>
      </c>
      <c r="AI88">
        <v>34.59999999999999</v>
      </c>
      <c r="AJ88">
        <v>0.007995270000000001</v>
      </c>
      <c r="AK88">
        <v>0.00138031</v>
      </c>
      <c r="AL88">
        <v>3.26E-05</v>
      </c>
      <c r="AM88">
        <v>39.2</v>
      </c>
      <c r="AN88">
        <v>0.00631566</v>
      </c>
      <c r="AO88">
        <v>0</v>
      </c>
      <c r="AQ88">
        <v>66.10000000000001</v>
      </c>
      <c r="AR88">
        <v>0.00056403</v>
      </c>
      <c r="AS88">
        <v>0.00044775</v>
      </c>
      <c r="AU88">
        <v>41.01</v>
      </c>
      <c r="AV88">
        <v>0.00165561</v>
      </c>
      <c r="AW88">
        <v>4.82E-06</v>
      </c>
      <c r="AY88">
        <v>36</v>
      </c>
      <c r="AZ88">
        <v>0.0003753</v>
      </c>
      <c r="BA88">
        <v>0.00030341</v>
      </c>
      <c r="BC88">
        <v>510</v>
      </c>
      <c r="BD88">
        <v>8.345E-05</v>
      </c>
      <c r="BO88">
        <v>33.4321064014262</v>
      </c>
      <c r="BP88">
        <v>0.01220849</v>
      </c>
      <c r="BQ88">
        <v>0</v>
      </c>
    </row>
    <row r="89" spans="31:69">
      <c r="AE89">
        <v>34.9</v>
      </c>
      <c r="AF89">
        <v>0.03333333</v>
      </c>
      <c r="AG89">
        <v>0.0136</v>
      </c>
      <c r="AH89">
        <v>0.00115011</v>
      </c>
      <c r="AI89">
        <v>34.9</v>
      </c>
      <c r="AJ89">
        <v>0.00729819</v>
      </c>
      <c r="AK89">
        <v>0.00115011</v>
      </c>
      <c r="AL89">
        <v>2.263E-05</v>
      </c>
      <c r="AM89">
        <v>39.8</v>
      </c>
      <c r="AN89">
        <v>0.00561831</v>
      </c>
      <c r="AO89">
        <v>0</v>
      </c>
      <c r="AQ89">
        <v>66.90000000000001</v>
      </c>
      <c r="AR89">
        <v>0.00052851</v>
      </c>
      <c r="AS89">
        <v>0.00040932</v>
      </c>
      <c r="AU89">
        <v>41.51</v>
      </c>
      <c r="AV89">
        <v>0.00157487</v>
      </c>
      <c r="AW89">
        <v>3.67E-06</v>
      </c>
      <c r="AY89">
        <v>36.5</v>
      </c>
      <c r="AZ89">
        <v>0.00033126</v>
      </c>
      <c r="BA89">
        <v>0.0002569</v>
      </c>
      <c r="BC89">
        <v>515</v>
      </c>
      <c r="BD89">
        <v>8.065E-05</v>
      </c>
      <c r="BO89">
        <v>33.87963755808858</v>
      </c>
      <c r="BP89">
        <v>0.01153024</v>
      </c>
      <c r="BQ89">
        <v>0</v>
      </c>
    </row>
    <row r="90" spans="31:69">
      <c r="AE90">
        <v>35.2</v>
      </c>
      <c r="AF90">
        <v>0.03333333</v>
      </c>
      <c r="AG90">
        <v>0.0128</v>
      </c>
      <c r="AH90">
        <v>0.00094721</v>
      </c>
      <c r="AI90">
        <v>35.2</v>
      </c>
      <c r="AJ90">
        <v>0.0066232</v>
      </c>
      <c r="AK90">
        <v>0.00094721</v>
      </c>
      <c r="AL90">
        <v>1.535E-05</v>
      </c>
      <c r="AM90">
        <v>40.4</v>
      </c>
      <c r="AN90">
        <v>0.00498001</v>
      </c>
      <c r="AO90">
        <v>0</v>
      </c>
      <c r="AQ90">
        <v>67.7</v>
      </c>
      <c r="AR90">
        <v>0.00049538</v>
      </c>
      <c r="AS90">
        <v>0.0003741</v>
      </c>
      <c r="AU90">
        <v>42.01</v>
      </c>
      <c r="AV90">
        <v>0.00149806</v>
      </c>
      <c r="AW90">
        <v>2.78E-06</v>
      </c>
      <c r="AY90">
        <v>37</v>
      </c>
      <c r="AZ90">
        <v>0.00029238</v>
      </c>
      <c r="BA90">
        <v>0.00021751</v>
      </c>
      <c r="BC90">
        <v>520</v>
      </c>
      <c r="BD90">
        <v>7.797E-05</v>
      </c>
      <c r="BO90">
        <v>34.32716871475095</v>
      </c>
      <c r="BP90">
        <v>0.01085199</v>
      </c>
      <c r="BQ90">
        <v>0</v>
      </c>
    </row>
    <row r="91" spans="31:69">
      <c r="AE91">
        <v>35.5</v>
      </c>
      <c r="AF91">
        <v>0.03333333</v>
      </c>
      <c r="AG91">
        <v>0.012</v>
      </c>
      <c r="AH91">
        <v>0.00076991</v>
      </c>
      <c r="AI91">
        <v>35.5</v>
      </c>
      <c r="AJ91">
        <v>0.00597126</v>
      </c>
      <c r="AK91">
        <v>0.00076991</v>
      </c>
      <c r="AL91">
        <v>1.014E-05</v>
      </c>
      <c r="AM91">
        <v>41</v>
      </c>
      <c r="AN91">
        <v>0.00439836</v>
      </c>
      <c r="AO91">
        <v>0</v>
      </c>
      <c r="AQ91">
        <v>68.5</v>
      </c>
      <c r="AR91">
        <v>0.00046447</v>
      </c>
      <c r="AS91">
        <v>0.00034183</v>
      </c>
      <c r="AU91">
        <v>42.51</v>
      </c>
      <c r="AV91">
        <v>0.001425</v>
      </c>
      <c r="AW91">
        <v>2.09E-06</v>
      </c>
      <c r="AY91">
        <v>37.5</v>
      </c>
      <c r="AZ91">
        <v>0.00025806</v>
      </c>
      <c r="BA91">
        <v>0.00018416</v>
      </c>
      <c r="BC91">
        <v>525</v>
      </c>
      <c r="BD91">
        <v>7.54E-05</v>
      </c>
      <c r="BO91">
        <v>34.77469987141331</v>
      </c>
      <c r="BP91">
        <v>0.01017374</v>
      </c>
      <c r="BQ91">
        <v>0</v>
      </c>
    </row>
    <row r="92" spans="31:69">
      <c r="AE92">
        <v>35.8</v>
      </c>
      <c r="AF92">
        <v>0.03333333</v>
      </c>
      <c r="AG92">
        <v>0.0112</v>
      </c>
      <c r="AH92">
        <v>0.00061653</v>
      </c>
      <c r="AI92">
        <v>35.8</v>
      </c>
      <c r="AJ92">
        <v>0.00534344</v>
      </c>
      <c r="AK92">
        <v>0.00061653</v>
      </c>
      <c r="AL92">
        <v>6.5E-06</v>
      </c>
      <c r="AM92">
        <v>41.6</v>
      </c>
      <c r="AN92">
        <v>0.00387069</v>
      </c>
      <c r="AO92">
        <v>0</v>
      </c>
      <c r="AQ92">
        <v>69.3</v>
      </c>
      <c r="AR92">
        <v>0.00043562</v>
      </c>
      <c r="AS92">
        <v>0.00031226</v>
      </c>
      <c r="AU92">
        <v>43.01</v>
      </c>
      <c r="AV92">
        <v>0.0013555</v>
      </c>
      <c r="AW92">
        <v>1.57E-06</v>
      </c>
      <c r="AY92">
        <v>38</v>
      </c>
      <c r="AZ92">
        <v>0.00022776</v>
      </c>
      <c r="BA92">
        <v>0.00015591</v>
      </c>
      <c r="BC92">
        <v>530</v>
      </c>
      <c r="BD92">
        <v>7.294E-05</v>
      </c>
      <c r="BO92">
        <v>35.22223102807568</v>
      </c>
      <c r="BP92">
        <v>0.0094955</v>
      </c>
      <c r="BQ92">
        <v>0</v>
      </c>
    </row>
    <row r="93" spans="31:69">
      <c r="AE93">
        <v>36.09999999999999</v>
      </c>
      <c r="AF93">
        <v>0.03333333</v>
      </c>
      <c r="AG93">
        <v>0.0104</v>
      </c>
      <c r="AH93">
        <v>0.00048531</v>
      </c>
      <c r="AI93">
        <v>36.09999999999999</v>
      </c>
      <c r="AJ93">
        <v>0.00474082</v>
      </c>
      <c r="AK93">
        <v>0.00048531</v>
      </c>
      <c r="AL93">
        <v>4.03E-06</v>
      </c>
      <c r="AM93">
        <v>42.2</v>
      </c>
      <c r="AN93">
        <v>0.00339408</v>
      </c>
      <c r="AO93">
        <v>0</v>
      </c>
      <c r="AQ93">
        <v>70.10000000000001</v>
      </c>
      <c r="AR93">
        <v>0.00040868</v>
      </c>
      <c r="AS93">
        <v>0.00028518</v>
      </c>
      <c r="AU93">
        <v>43.51</v>
      </c>
      <c r="AV93">
        <v>0.00128939</v>
      </c>
      <c r="AW93">
        <v>1.18E-06</v>
      </c>
      <c r="AY93">
        <v>38.5</v>
      </c>
      <c r="AZ93">
        <v>0.00020102</v>
      </c>
      <c r="BA93">
        <v>0.000132</v>
      </c>
      <c r="BC93">
        <v>535</v>
      </c>
      <c r="BD93">
        <v>7.058000000000001E-05</v>
      </c>
      <c r="BO93">
        <v>35.66976218473806</v>
      </c>
      <c r="BP93">
        <v>0.00881725</v>
      </c>
      <c r="BQ93">
        <v>0</v>
      </c>
    </row>
    <row r="94" spans="31:69">
      <c r="AE94">
        <v>36.4</v>
      </c>
      <c r="AF94">
        <v>0.03333333</v>
      </c>
      <c r="AG94">
        <v>0.009599999999999999</v>
      </c>
      <c r="AH94">
        <v>0.0003745</v>
      </c>
      <c r="AI94">
        <v>36.4</v>
      </c>
      <c r="AJ94">
        <v>0.00416458</v>
      </c>
      <c r="AK94">
        <v>0.0003745</v>
      </c>
      <c r="AL94">
        <v>2.4E-06</v>
      </c>
      <c r="AM94">
        <v>42.8</v>
      </c>
      <c r="AN94">
        <v>0.00296546</v>
      </c>
      <c r="AO94">
        <v>0</v>
      </c>
      <c r="AQ94">
        <v>70.90000000000001</v>
      </c>
      <c r="AR94">
        <v>0.00038353</v>
      </c>
      <c r="AS94">
        <v>0.00026039</v>
      </c>
      <c r="AU94">
        <v>44.01</v>
      </c>
      <c r="AV94">
        <v>0.00122651</v>
      </c>
      <c r="AW94">
        <v>8.8E-07</v>
      </c>
      <c r="AY94">
        <v>39</v>
      </c>
      <c r="AZ94">
        <v>0.00017742</v>
      </c>
      <c r="BA94">
        <v>0.00011175</v>
      </c>
      <c r="BC94">
        <v>540</v>
      </c>
      <c r="BD94">
        <v>6.832E-05</v>
      </c>
      <c r="BO94">
        <v>36.11729334140043</v>
      </c>
      <c r="BP94">
        <v>0.008139</v>
      </c>
      <c r="BQ94">
        <v>0</v>
      </c>
    </row>
    <row r="95" spans="31:69">
      <c r="AE95">
        <v>36.7</v>
      </c>
      <c r="AF95">
        <v>0.03333333</v>
      </c>
      <c r="AG95">
        <v>0.008800000000000001</v>
      </c>
      <c r="AH95">
        <v>0.00028233</v>
      </c>
      <c r="AI95">
        <v>36.7</v>
      </c>
      <c r="AJ95">
        <v>0.00361598</v>
      </c>
      <c r="AK95">
        <v>0.00028233</v>
      </c>
      <c r="AL95">
        <v>1.36E-06</v>
      </c>
      <c r="AM95">
        <v>43.4</v>
      </c>
      <c r="AN95">
        <v>0.00258166</v>
      </c>
      <c r="AO95">
        <v>0</v>
      </c>
      <c r="AQ95">
        <v>71.7</v>
      </c>
      <c r="AR95">
        <v>0.00036004</v>
      </c>
      <c r="AS95">
        <v>0.0002377</v>
      </c>
      <c r="AU95">
        <v>44.51</v>
      </c>
      <c r="AV95">
        <v>0.00116669</v>
      </c>
      <c r="AW95">
        <v>6.5E-07</v>
      </c>
      <c r="AY95">
        <v>39.5</v>
      </c>
      <c r="AZ95">
        <v>0.00015658</v>
      </c>
      <c r="BA95">
        <v>9.46E-05</v>
      </c>
      <c r="BC95">
        <v>545</v>
      </c>
      <c r="BD95">
        <v>6.615E-05</v>
      </c>
      <c r="BO95">
        <v>36.5648244980628</v>
      </c>
      <c r="BP95">
        <v>0.00746075</v>
      </c>
      <c r="BQ95">
        <v>0</v>
      </c>
    </row>
    <row r="96" spans="31:69">
      <c r="AE96">
        <v>37</v>
      </c>
      <c r="AF96">
        <v>0.03333333</v>
      </c>
      <c r="AG96">
        <v>0.008</v>
      </c>
      <c r="AH96">
        <v>0.00020702</v>
      </c>
      <c r="AI96">
        <v>37</v>
      </c>
      <c r="AJ96">
        <v>0.00309639</v>
      </c>
      <c r="AK96">
        <v>0.00020702</v>
      </c>
      <c r="AL96">
        <v>7.3E-07</v>
      </c>
      <c r="AM96">
        <v>44</v>
      </c>
      <c r="AN96">
        <v>0.00223945</v>
      </c>
      <c r="AO96">
        <v>0</v>
      </c>
      <c r="AQ96">
        <v>72.5</v>
      </c>
      <c r="AR96">
        <v>0.00033808</v>
      </c>
      <c r="AS96">
        <v>0.00021694</v>
      </c>
      <c r="AU96">
        <v>45.01</v>
      </c>
      <c r="AV96">
        <v>0.00110979</v>
      </c>
      <c r="AW96">
        <v>4.9E-07</v>
      </c>
      <c r="AY96">
        <v>40</v>
      </c>
      <c r="AZ96">
        <v>0.00013819</v>
      </c>
      <c r="BA96">
        <v>8.008000000000001E-05</v>
      </c>
      <c r="BC96">
        <v>550</v>
      </c>
      <c r="BD96">
        <v>6.407E-05</v>
      </c>
      <c r="BO96">
        <v>37.01235565472518</v>
      </c>
      <c r="BP96">
        <v>0.0067825</v>
      </c>
      <c r="BQ96">
        <v>0</v>
      </c>
    </row>
    <row r="97" spans="31:69">
      <c r="AE97">
        <v>37.3</v>
      </c>
      <c r="AF97">
        <v>0.03333333</v>
      </c>
      <c r="AG97">
        <v>0.0072</v>
      </c>
      <c r="AH97">
        <v>0.00014679</v>
      </c>
      <c r="AI97">
        <v>37.3</v>
      </c>
      <c r="AJ97">
        <v>0.00260731</v>
      </c>
      <c r="AK97">
        <v>0.00014679</v>
      </c>
      <c r="AL97">
        <v>3.7E-07</v>
      </c>
      <c r="AM97">
        <v>44.6</v>
      </c>
      <c r="AN97">
        <v>0.00193563</v>
      </c>
      <c r="AO97">
        <v>0</v>
      </c>
      <c r="AQ97">
        <v>73.3</v>
      </c>
      <c r="AR97">
        <v>0.00031756</v>
      </c>
      <c r="AS97">
        <v>0.00019796</v>
      </c>
      <c r="AU97">
        <v>45.51</v>
      </c>
      <c r="AV97">
        <v>0.00105566</v>
      </c>
      <c r="AW97">
        <v>3.6E-07</v>
      </c>
      <c r="AY97">
        <v>40.5</v>
      </c>
      <c r="AZ97">
        <v>0.00012196</v>
      </c>
      <c r="BA97">
        <v>6.779999999999999E-05</v>
      </c>
      <c r="BC97">
        <v>555</v>
      </c>
      <c r="BD97">
        <v>6.206999999999999E-05</v>
      </c>
      <c r="BO97">
        <v>37.45988681138755</v>
      </c>
      <c r="BP97">
        <v>0.00610425</v>
      </c>
      <c r="BQ97">
        <v>0</v>
      </c>
    </row>
    <row r="98" spans="31:69">
      <c r="AE98">
        <v>37.59999999999999</v>
      </c>
      <c r="AF98">
        <v>0.03333333</v>
      </c>
      <c r="AG98">
        <v>0.0064</v>
      </c>
      <c r="AH98">
        <v>9.985E-05</v>
      </c>
      <c r="AI98">
        <v>37.59999999999999</v>
      </c>
      <c r="AJ98">
        <v>0.00215041</v>
      </c>
      <c r="AK98">
        <v>9.985E-05</v>
      </c>
      <c r="AL98">
        <v>1.7E-07</v>
      </c>
      <c r="AM98">
        <v>45.2</v>
      </c>
      <c r="AN98">
        <v>0.00166701</v>
      </c>
      <c r="AO98">
        <v>0</v>
      </c>
      <c r="AQ98">
        <v>74.10000000000001</v>
      </c>
      <c r="AR98">
        <v>0.00029837</v>
      </c>
      <c r="AS98">
        <v>0.00018059</v>
      </c>
      <c r="AU98">
        <v>46.01</v>
      </c>
      <c r="AV98">
        <v>0.00100418</v>
      </c>
      <c r="AW98">
        <v>2.6E-07</v>
      </c>
      <c r="AY98">
        <v>41</v>
      </c>
      <c r="AZ98">
        <v>0.00010764</v>
      </c>
      <c r="BA98">
        <v>5.739E-05</v>
      </c>
      <c r="BC98">
        <v>560</v>
      </c>
      <c r="BD98">
        <v>6.016E-05</v>
      </c>
      <c r="BO98">
        <v>37.90741796804992</v>
      </c>
      <c r="BP98">
        <v>0.005426</v>
      </c>
      <c r="BQ98">
        <v>0</v>
      </c>
    </row>
    <row r="99" spans="31:69">
      <c r="AE99">
        <v>37.9</v>
      </c>
      <c r="AF99">
        <v>0.03333333</v>
      </c>
      <c r="AG99">
        <v>0.0056</v>
      </c>
      <c r="AH99">
        <v>6.444E-05</v>
      </c>
      <c r="AI99">
        <v>37.9</v>
      </c>
      <c r="AJ99">
        <v>0.00172756</v>
      </c>
      <c r="AK99">
        <v>6.444E-05</v>
      </c>
      <c r="AL99">
        <v>7E-08</v>
      </c>
      <c r="AM99">
        <v>45.8</v>
      </c>
      <c r="AN99">
        <v>0.00143051</v>
      </c>
      <c r="AO99">
        <v>0</v>
      </c>
      <c r="AQ99">
        <v>74.90000000000001</v>
      </c>
      <c r="AR99">
        <v>0.00028043</v>
      </c>
      <c r="AS99">
        <v>0.00016471</v>
      </c>
      <c r="AU99">
        <v>46.51</v>
      </c>
      <c r="AV99">
        <v>0.0009552</v>
      </c>
      <c r="AW99">
        <v>1.9E-07</v>
      </c>
      <c r="AY99">
        <v>41.5</v>
      </c>
      <c r="AZ99">
        <v>9.500000000000001E-05</v>
      </c>
      <c r="BA99">
        <v>4.858E-05</v>
      </c>
      <c r="BC99">
        <v>565</v>
      </c>
      <c r="BD99">
        <v>5.831E-05</v>
      </c>
      <c r="BO99">
        <v>38.35494912471229</v>
      </c>
      <c r="BP99">
        <v>0.00474775</v>
      </c>
      <c r="BQ99">
        <v>0</v>
      </c>
    </row>
    <row r="100" spans="31:69">
      <c r="AE100">
        <v>38.2</v>
      </c>
      <c r="AF100">
        <v>0.03333333</v>
      </c>
      <c r="AG100">
        <v>0.0048</v>
      </c>
      <c r="AH100">
        <v>3.883E-05</v>
      </c>
      <c r="AI100">
        <v>38.2</v>
      </c>
      <c r="AJ100">
        <v>0.00134092</v>
      </c>
      <c r="AK100">
        <v>3.883E-05</v>
      </c>
      <c r="AL100">
        <v>3E-08</v>
      </c>
      <c r="AM100">
        <v>46.4</v>
      </c>
      <c r="AN100">
        <v>0.00122315</v>
      </c>
      <c r="AO100">
        <v>0</v>
      </c>
      <c r="AQ100">
        <v>75.7</v>
      </c>
      <c r="AR100">
        <v>0.00026364</v>
      </c>
      <c r="AS100">
        <v>0.0001502</v>
      </c>
      <c r="AU100">
        <v>47.01</v>
      </c>
      <c r="AV100">
        <v>0.00090862</v>
      </c>
      <c r="AW100">
        <v>1.4E-07</v>
      </c>
      <c r="AY100">
        <v>42</v>
      </c>
      <c r="AZ100">
        <v>8.384E-05</v>
      </c>
      <c r="BA100">
        <v>4.113E-05</v>
      </c>
      <c r="BC100">
        <v>570</v>
      </c>
      <c r="BD100">
        <v>5.654E-05</v>
      </c>
      <c r="BO100">
        <v>38.80248028137467</v>
      </c>
      <c r="BP100">
        <v>0.0040695</v>
      </c>
      <c r="BQ100">
        <v>0</v>
      </c>
    </row>
    <row r="101" spans="31:69">
      <c r="AE101">
        <v>38.5</v>
      </c>
      <c r="AF101">
        <v>0.03333333</v>
      </c>
      <c r="AG101">
        <v>0.004</v>
      </c>
      <c r="AH101">
        <v>2.129E-05</v>
      </c>
      <c r="AI101">
        <v>38.5</v>
      </c>
      <c r="AJ101">
        <v>0.0009930399999999999</v>
      </c>
      <c r="AK101">
        <v>2.129E-05</v>
      </c>
      <c r="AL101">
        <v>1E-08</v>
      </c>
      <c r="AM101">
        <v>47</v>
      </c>
      <c r="AN101">
        <v>0.00104209</v>
      </c>
      <c r="AO101">
        <v>0</v>
      </c>
      <c r="AQ101">
        <v>76.5</v>
      </c>
      <c r="AR101">
        <v>0.00024792</v>
      </c>
      <c r="AS101">
        <v>0.00013694</v>
      </c>
      <c r="AU101">
        <v>47.51</v>
      </c>
      <c r="AV101">
        <v>0.0008643</v>
      </c>
      <c r="AW101">
        <v>1E-07</v>
      </c>
      <c r="AY101">
        <v>42.5</v>
      </c>
      <c r="AZ101">
        <v>7.399E-05</v>
      </c>
      <c r="BA101">
        <v>3.481E-05</v>
      </c>
      <c r="BC101">
        <v>575</v>
      </c>
      <c r="BD101">
        <v>5.484E-05</v>
      </c>
      <c r="BO101">
        <v>39.25001143803704</v>
      </c>
      <c r="BP101">
        <v>0.00339125</v>
      </c>
      <c r="BQ101">
        <v>0</v>
      </c>
    </row>
    <row r="102" spans="31:69">
      <c r="AE102">
        <v>38.8</v>
      </c>
      <c r="AF102">
        <v>0.03333333</v>
      </c>
      <c r="AG102">
        <v>0.0032</v>
      </c>
      <c r="AH102">
        <v>1.019E-05</v>
      </c>
      <c r="AI102">
        <v>38.8</v>
      </c>
      <c r="AJ102">
        <v>0.0006870100000000001</v>
      </c>
      <c r="AK102">
        <v>1.019E-05</v>
      </c>
      <c r="AL102">
        <v>0</v>
      </c>
      <c r="AM102">
        <v>47.59999999999999</v>
      </c>
      <c r="AN102">
        <v>0.00088465</v>
      </c>
      <c r="AO102">
        <v>0</v>
      </c>
      <c r="AQ102">
        <v>77.30000000000001</v>
      </c>
      <c r="AR102">
        <v>0.00023321</v>
      </c>
      <c r="AS102">
        <v>0.00012483</v>
      </c>
      <c r="AU102">
        <v>48.01</v>
      </c>
      <c r="AV102">
        <v>0.00082215</v>
      </c>
      <c r="AW102">
        <v>7E-08</v>
      </c>
      <c r="AY102">
        <v>43</v>
      </c>
      <c r="AZ102">
        <v>6.53E-05</v>
      </c>
      <c r="BA102">
        <v>2.947E-05</v>
      </c>
      <c r="BC102">
        <v>580</v>
      </c>
      <c r="BD102">
        <v>5.32E-05</v>
      </c>
      <c r="BO102">
        <v>39.69754259469941</v>
      </c>
      <c r="BP102">
        <v>0.002713</v>
      </c>
      <c r="BQ102">
        <v>0</v>
      </c>
    </row>
    <row r="103" spans="31:69">
      <c r="AE103">
        <v>39.09999999999999</v>
      </c>
      <c r="AF103">
        <v>0.03333333</v>
      </c>
      <c r="AG103">
        <v>0.0024</v>
      </c>
      <c r="AH103">
        <v>3.93E-06</v>
      </c>
      <c r="AI103">
        <v>39.09999999999999</v>
      </c>
      <c r="AJ103">
        <v>0.00042681</v>
      </c>
      <c r="AK103">
        <v>3.93E-06</v>
      </c>
      <c r="AL103">
        <v>0</v>
      </c>
      <c r="AM103">
        <v>48.2</v>
      </c>
      <c r="AN103">
        <v>0.00074829</v>
      </c>
      <c r="AO103">
        <v>0</v>
      </c>
      <c r="AQ103">
        <v>78.10000000000001</v>
      </c>
      <c r="AR103">
        <v>0.00021944</v>
      </c>
      <c r="AS103">
        <v>0.00011377</v>
      </c>
      <c r="AU103">
        <v>48.51</v>
      </c>
      <c r="AV103">
        <v>0.00078206</v>
      </c>
      <c r="AW103">
        <v>5E-08</v>
      </c>
      <c r="AY103">
        <v>43.5</v>
      </c>
      <c r="AZ103">
        <v>5.763E-05</v>
      </c>
      <c r="BA103">
        <v>2.495E-05</v>
      </c>
      <c r="BC103">
        <v>585</v>
      </c>
      <c r="BD103">
        <v>5.163E-05</v>
      </c>
      <c r="BO103">
        <v>40.14507375136179</v>
      </c>
      <c r="BP103">
        <v>0.00203475</v>
      </c>
      <c r="BQ103">
        <v>0</v>
      </c>
    </row>
    <row r="104" spans="31:69">
      <c r="AE104">
        <v>39.4</v>
      </c>
      <c r="AF104">
        <v>0.03333333</v>
      </c>
      <c r="AG104">
        <v>0.0016</v>
      </c>
      <c r="AH104">
        <v>1.03E-06</v>
      </c>
      <c r="AI104">
        <v>39.4</v>
      </c>
      <c r="AJ104">
        <v>0.00021789</v>
      </c>
      <c r="AK104">
        <v>1.03E-06</v>
      </c>
      <c r="AL104">
        <v>0</v>
      </c>
      <c r="AM104">
        <v>48.8</v>
      </c>
      <c r="AN104">
        <v>0.00063067</v>
      </c>
      <c r="AO104">
        <v>0</v>
      </c>
      <c r="AQ104">
        <v>78.90000000000001</v>
      </c>
      <c r="AR104">
        <v>0.00020653</v>
      </c>
      <c r="AS104">
        <v>0.00010366</v>
      </c>
      <c r="AU104">
        <v>49.01</v>
      </c>
      <c r="AV104">
        <v>0.00074391</v>
      </c>
      <c r="AW104">
        <v>4E-08</v>
      </c>
      <c r="AY104">
        <v>44</v>
      </c>
      <c r="AZ104">
        <v>5.086E-05</v>
      </c>
      <c r="BA104">
        <v>2.112E-05</v>
      </c>
      <c r="BC104">
        <v>590</v>
      </c>
      <c r="BD104">
        <v>5.011E-05</v>
      </c>
      <c r="BO104">
        <v>40.59260490802416</v>
      </c>
      <c r="BP104">
        <v>0.0013565</v>
      </c>
      <c r="BQ104">
        <v>0</v>
      </c>
    </row>
    <row r="105" spans="31:69">
      <c r="AE105">
        <v>39.7</v>
      </c>
      <c r="AF105">
        <v>0.03333333</v>
      </c>
      <c r="AG105">
        <v>0.0008</v>
      </c>
      <c r="AH105">
        <v>1E-07</v>
      </c>
      <c r="AI105">
        <v>39.7</v>
      </c>
      <c r="AJ105">
        <v>6.886E-05</v>
      </c>
      <c r="AK105">
        <v>1E-07</v>
      </c>
      <c r="AL105">
        <v>0</v>
      </c>
      <c r="AM105">
        <v>49.4</v>
      </c>
      <c r="AN105">
        <v>0.00052963</v>
      </c>
      <c r="AO105">
        <v>0</v>
      </c>
      <c r="AQ105">
        <v>79.7</v>
      </c>
      <c r="AR105">
        <v>0.00019444</v>
      </c>
      <c r="AS105">
        <v>9.444E-05</v>
      </c>
      <c r="AU105">
        <v>49.51</v>
      </c>
      <c r="AV105">
        <v>0.00070763</v>
      </c>
      <c r="AW105">
        <v>3E-08</v>
      </c>
      <c r="AY105">
        <v>44.5</v>
      </c>
      <c r="AZ105">
        <v>4.488E-05</v>
      </c>
      <c r="BA105">
        <v>1.788E-05</v>
      </c>
      <c r="BC105">
        <v>595</v>
      </c>
      <c r="BD105">
        <v>4.866E-05</v>
      </c>
      <c r="BO105">
        <v>41.04013606468653</v>
      </c>
      <c r="BP105">
        <v>0.00067825</v>
      </c>
      <c r="BQ105">
        <v>0</v>
      </c>
    </row>
    <row r="106" spans="31:69">
      <c r="AE106">
        <v>40</v>
      </c>
      <c r="AF106">
        <v>0.03333333</v>
      </c>
      <c r="AG106">
        <v>0</v>
      </c>
      <c r="AH106">
        <v>0</v>
      </c>
      <c r="AI106">
        <v>40</v>
      </c>
      <c r="AJ106">
        <v>0</v>
      </c>
      <c r="AK106">
        <v>0</v>
      </c>
      <c r="AL106">
        <v>0</v>
      </c>
      <c r="AM106">
        <v>50</v>
      </c>
      <c r="AN106">
        <v>0.00044318</v>
      </c>
      <c r="AO106">
        <v>0</v>
      </c>
      <c r="AQ106">
        <v>80.5</v>
      </c>
      <c r="AR106">
        <v>0.00018311</v>
      </c>
      <c r="AS106">
        <v>8.602000000000001E-05</v>
      </c>
      <c r="AU106">
        <v>50.01</v>
      </c>
      <c r="AV106">
        <v>0.00067312</v>
      </c>
      <c r="AW106">
        <v>2E-08</v>
      </c>
      <c r="AY106">
        <v>45</v>
      </c>
      <c r="AZ106">
        <v>3.961E-05</v>
      </c>
      <c r="BA106">
        <v>1.513E-05</v>
      </c>
      <c r="BC106">
        <v>600</v>
      </c>
      <c r="BD106">
        <v>4.725E-05</v>
      </c>
      <c r="BO106">
        <v>41.4876672213489</v>
      </c>
      <c r="BP106">
        <v>0</v>
      </c>
      <c r="BQ106">
        <v>0</v>
      </c>
    </row>
    <row r="138" spans="2:2">
      <c r="B138" s="5" t="s">
        <v>241</v>
      </c>
    </row>
    <row r="139" spans="2:2">
      <c r="B139" s="19" t="s">
        <v>242</v>
      </c>
    </row>
    <row r="140" spans="2:2">
      <c r="B140" s="19" t="s">
        <v>104</v>
      </c>
    </row>
    <row r="141" spans="2:2">
      <c r="B141" s="19" t="s">
        <v>90</v>
      </c>
    </row>
    <row r="142" spans="2:2">
      <c r="B142" s="19" t="s">
        <v>130</v>
      </c>
    </row>
    <row r="143" spans="2:2">
      <c r="B143" s="19" t="s">
        <v>135</v>
      </c>
    </row>
    <row r="144" spans="2:2">
      <c r="B144" s="19" t="s">
        <v>143</v>
      </c>
    </row>
    <row r="145" spans="2:2">
      <c r="B145" s="19" t="s">
        <v>146</v>
      </c>
    </row>
    <row r="146" spans="2:2">
      <c r="B146" s="19" t="s">
        <v>151</v>
      </c>
    </row>
    <row r="147" spans="2:2">
      <c r="B147" s="19" t="s">
        <v>157</v>
      </c>
    </row>
    <row r="148" spans="2:2">
      <c r="B148" s="19" t="s">
        <v>163</v>
      </c>
    </row>
    <row r="149" spans="2:2">
      <c r="B149" s="19" t="s">
        <v>167</v>
      </c>
    </row>
    <row r="150" spans="2:2">
      <c r="B150" s="19" t="s">
        <v>170</v>
      </c>
    </row>
    <row r="151" spans="2:2">
      <c r="B151" s="19" t="s">
        <v>176</v>
      </c>
    </row>
    <row r="152" spans="2:2">
      <c r="B152" s="19" t="s">
        <v>180</v>
      </c>
    </row>
    <row r="153" spans="2:2">
      <c r="B153" s="19" t="s">
        <v>186</v>
      </c>
    </row>
    <row r="154" spans="2:2">
      <c r="B154" s="19" t="s">
        <v>191</v>
      </c>
    </row>
    <row r="155" spans="2:2">
      <c r="B155" s="19" t="s">
        <v>195</v>
      </c>
    </row>
    <row r="156" spans="2:2">
      <c r="B156" s="19" t="s">
        <v>200</v>
      </c>
    </row>
    <row r="157" spans="2:2">
      <c r="B157" s="19" t="s">
        <v>205</v>
      </c>
    </row>
    <row r="158" spans="2:2">
      <c r="B158" s="19" t="s">
        <v>211</v>
      </c>
    </row>
    <row r="159" spans="2:2">
      <c r="B159" s="19" t="s">
        <v>102</v>
      </c>
    </row>
  </sheetData>
  <mergeCells count="35">
    <mergeCell ref="B6:I6"/>
    <mergeCell ref="B7:I7"/>
    <mergeCell ref="B8:I8"/>
    <mergeCell ref="B9:I9"/>
    <mergeCell ref="B10:I10"/>
    <mergeCell ref="B13:E13"/>
    <mergeCell ref="F13:H13"/>
    <mergeCell ref="B14:E14"/>
    <mergeCell ref="F14:H14"/>
    <mergeCell ref="B15:E15"/>
    <mergeCell ref="F15:H15"/>
    <mergeCell ref="B16:E16"/>
    <mergeCell ref="F16:H16"/>
    <mergeCell ref="B17:E17"/>
    <mergeCell ref="F17:H17"/>
    <mergeCell ref="B18:E18"/>
    <mergeCell ref="F18:H18"/>
    <mergeCell ref="B19:E19"/>
    <mergeCell ref="F19:H19"/>
    <mergeCell ref="B20:E20"/>
    <mergeCell ref="F20:H20"/>
    <mergeCell ref="B21:E21"/>
    <mergeCell ref="F21:H21"/>
    <mergeCell ref="B22:E22"/>
    <mergeCell ref="F22:H22"/>
    <mergeCell ref="B25:I25"/>
    <mergeCell ref="B26:I26"/>
    <mergeCell ref="B27:I27"/>
    <mergeCell ref="B28:I28"/>
    <mergeCell ref="C54:I54"/>
    <mergeCell ref="C55:I55"/>
    <mergeCell ref="C56:I56"/>
    <mergeCell ref="C57:I57"/>
    <mergeCell ref="C58:I58"/>
    <mergeCell ref="C59:I59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jParametros">
    <tabColor rgb="FFFFA028"/>
  </sheetPr>
  <dimension ref="A2:AO99"/>
  <sheetViews>
    <sheetView showGridLines="0" workbookViewId="0">
      <pane xSplit="3" ySplit="15" topLeftCell="D16" activePane="bottomRight" state="frozen"/>
      <selection pane="topRight" activeCell="D1" sqref="D1"/>
      <selection pane="bottomLeft" activeCell="A16" sqref="A16"/>
      <selection pane="bottomRight"/>
    </sheetView>
  </sheetViews>
  <sheetFormatPr defaultRowHeight="15"/>
  <cols>
    <col min="1" max="1" width="2.7109375" customWidth="1"/>
    <col min="2" max="2" width="7.7109375" customWidth="1"/>
    <col min="3" max="3" width="60.7109375" customWidth="1"/>
    <col min="4" max="4" width="13.7109375" customWidth="1"/>
    <col min="5" max="5" width="14.7109375" customWidth="1"/>
    <col min="6" max="6" width="40.7109375" customWidth="1"/>
    <col min="7" max="7" width="14.7109375" customWidth="1"/>
    <col min="8" max="8" width="20.7109375" customWidth="1"/>
    <col min="9" max="9" width="8.7109375" customWidth="1"/>
    <col min="10" max="10" width="12.7109375" customWidth="1"/>
    <col min="11" max="11" width="15.7109375" customWidth="1"/>
    <col min="12" max="15" width="11.7109375" customWidth="1"/>
    <col min="16" max="16" width="20.7109375" customWidth="1"/>
    <col min="17" max="17" width="15.7109375" customWidth="1"/>
    <col min="18" max="21" width="11.7109375" customWidth="1"/>
    <col min="22" max="22" width="20.7109375" customWidth="1"/>
    <col min="23" max="23" width="15.7109375" customWidth="1"/>
    <col min="24" max="27" width="11.7109375" customWidth="1"/>
    <col min="28" max="28" width="20.7109375" customWidth="1"/>
    <col min="29" max="29" width="15.7109375" customWidth="1"/>
    <col min="30" max="33" width="11.7109375" customWidth="1"/>
    <col min="34" max="34" width="20.7109375" customWidth="1"/>
    <col min="35" max="35" width="17.7109375" customWidth="1"/>
    <col min="36" max="36" width="10.7109375" customWidth="1"/>
    <col min="37" max="37" width="13.7109375" customWidth="1"/>
    <col min="38" max="38" width="11.7109375" customWidth="1"/>
    <col min="39" max="40" width="13.7109375" customWidth="1"/>
    <col min="41" max="41" width="50.7109375" customWidth="1"/>
  </cols>
  <sheetData>
    <row r="2" spans="2:41" ht="30" customHeight="1">
      <c r="B2" s="1" t="s">
        <v>243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2:41">
      <c r="B3" s="3" t="s">
        <v>244</v>
      </c>
    </row>
    <row r="4" spans="2:41">
      <c r="B4" s="5" t="s">
        <v>245</v>
      </c>
      <c r="H4" s="5" t="s">
        <v>258</v>
      </c>
      <c r="Q4" s="5" t="s">
        <v>287</v>
      </c>
    </row>
    <row r="5" spans="2:41">
      <c r="B5" s="20" t="s">
        <v>246</v>
      </c>
      <c r="C5" s="20"/>
      <c r="D5" s="21">
        <v>200000000</v>
      </c>
      <c r="E5" s="3" t="s">
        <v>247</v>
      </c>
      <c r="H5" s="11" t="s">
        <v>259</v>
      </c>
      <c r="I5" s="11" t="s">
        <v>260</v>
      </c>
      <c r="J5" s="11" t="s">
        <v>261</v>
      </c>
      <c r="K5" s="11" t="s">
        <v>262</v>
      </c>
      <c r="L5" s="11" t="s">
        <v>263</v>
      </c>
      <c r="M5" s="11" t="s">
        <v>264</v>
      </c>
      <c r="N5" s="11" t="s">
        <v>265</v>
      </c>
      <c r="O5" s="11" t="s">
        <v>266</v>
      </c>
      <c r="Q5" s="11" t="s">
        <v>288</v>
      </c>
      <c r="R5" s="11" t="s">
        <v>289</v>
      </c>
      <c r="S5" s="11" t="s">
        <v>290</v>
      </c>
      <c r="T5" s="11" t="s">
        <v>291</v>
      </c>
      <c r="U5" s="11" t="s">
        <v>292</v>
      </c>
      <c r="V5" s="11" t="s">
        <v>293</v>
      </c>
      <c r="W5" s="11" t="s">
        <v>294</v>
      </c>
    </row>
    <row r="6" spans="2:41">
      <c r="B6" s="20" t="s">
        <v>248</v>
      </c>
      <c r="C6" s="20"/>
      <c r="D6" s="22">
        <v>730</v>
      </c>
      <c r="E6" s="3" t="s">
        <v>249</v>
      </c>
      <c r="H6" s="23" t="s">
        <v>267</v>
      </c>
      <c r="I6" s="23" t="s">
        <v>268</v>
      </c>
      <c r="J6" s="24" t="s">
        <v>269</v>
      </c>
      <c r="K6" s="25">
        <f>CostoBase</f>
        <v>200000000</v>
      </c>
      <c r="L6" s="24" t="s">
        <v>270</v>
      </c>
      <c r="M6" s="24" t="s">
        <v>271</v>
      </c>
      <c r="N6" s="24" t="s">
        <v>271</v>
      </c>
      <c r="O6" s="24" t="s">
        <v>272</v>
      </c>
      <c r="Q6" s="24">
        <v>1</v>
      </c>
      <c r="R6" s="23" t="s">
        <v>295</v>
      </c>
      <c r="S6" s="26">
        <v>0.1</v>
      </c>
      <c r="T6" s="21">
        <v>200000</v>
      </c>
      <c r="U6" s="21">
        <v>5</v>
      </c>
      <c r="V6" s="21">
        <v>100</v>
      </c>
      <c r="W6" s="21">
        <v>100</v>
      </c>
    </row>
    <row r="7" spans="2:41">
      <c r="B7" s="20" t="s">
        <v>250</v>
      </c>
      <c r="C7" s="20"/>
      <c r="D7" s="21">
        <v>10000</v>
      </c>
      <c r="E7" s="3" t="s">
        <v>251</v>
      </c>
      <c r="H7" s="23" t="s">
        <v>273</v>
      </c>
      <c r="I7" s="23" t="s">
        <v>274</v>
      </c>
      <c r="J7" s="24" t="s">
        <v>275</v>
      </c>
      <c r="K7" s="27">
        <f>PlazoBase</f>
        <v>730</v>
      </c>
      <c r="L7" s="24" t="s">
        <v>276</v>
      </c>
      <c r="M7" s="24" t="s">
        <v>271</v>
      </c>
      <c r="N7" s="24" t="s">
        <v>277</v>
      </c>
      <c r="O7" s="24" t="s">
        <v>278</v>
      </c>
      <c r="Q7" s="24">
        <v>2</v>
      </c>
      <c r="R7" s="23" t="s">
        <v>296</v>
      </c>
      <c r="S7" s="26">
        <v>0.3</v>
      </c>
      <c r="T7" s="21">
        <v>600000</v>
      </c>
      <c r="U7" s="21">
        <v>15</v>
      </c>
      <c r="V7" s="21">
        <v>300</v>
      </c>
      <c r="W7" s="21">
        <v>300</v>
      </c>
    </row>
    <row r="8" spans="2:41">
      <c r="B8" s="20" t="s">
        <v>252</v>
      </c>
      <c r="C8" s="20"/>
      <c r="D8" s="28">
        <v>12345</v>
      </c>
      <c r="E8" s="3" t="s">
        <v>253</v>
      </c>
      <c r="H8" s="23" t="s">
        <v>279</v>
      </c>
      <c r="I8" s="23" t="s">
        <v>280</v>
      </c>
      <c r="J8" s="24" t="s">
        <v>281</v>
      </c>
      <c r="K8" s="21"/>
      <c r="L8" s="24" t="s">
        <v>270</v>
      </c>
      <c r="M8" s="24" t="s">
        <v>271</v>
      </c>
      <c r="N8" s="24" t="s">
        <v>277</v>
      </c>
      <c r="O8" s="24" t="s">
        <v>282</v>
      </c>
      <c r="Q8" s="24">
        <v>3</v>
      </c>
      <c r="R8" s="23" t="s">
        <v>297</v>
      </c>
      <c r="S8" s="26">
        <v>0.5</v>
      </c>
      <c r="T8" s="21">
        <v>1800000</v>
      </c>
      <c r="U8" s="21">
        <v>45</v>
      </c>
      <c r="V8" s="21">
        <v>900</v>
      </c>
      <c r="W8" s="21">
        <v>900</v>
      </c>
    </row>
    <row r="9" spans="2:41">
      <c r="B9" s="20" t="s">
        <v>254</v>
      </c>
      <c r="C9" s="20"/>
      <c r="D9" s="26">
        <v>0.8</v>
      </c>
      <c r="E9" s="3" t="s">
        <v>255</v>
      </c>
      <c r="H9" s="23" t="s">
        <v>283</v>
      </c>
      <c r="I9" s="23" t="s">
        <v>284</v>
      </c>
      <c r="J9" s="24" t="s">
        <v>281</v>
      </c>
      <c r="K9" s="21"/>
      <c r="L9" s="24" t="s">
        <v>270</v>
      </c>
      <c r="M9" s="24" t="s">
        <v>271</v>
      </c>
      <c r="N9" s="24" t="s">
        <v>277</v>
      </c>
      <c r="O9" s="24" t="s">
        <v>285</v>
      </c>
      <c r="Q9" s="24">
        <v>4</v>
      </c>
      <c r="R9" s="23" t="s">
        <v>298</v>
      </c>
      <c r="S9" s="26">
        <v>0.7</v>
      </c>
      <c r="T9" s="21">
        <v>5400000</v>
      </c>
      <c r="U9" s="21">
        <v>120</v>
      </c>
      <c r="V9" s="21">
        <v>2700</v>
      </c>
      <c r="W9" s="21">
        <v>2700</v>
      </c>
    </row>
    <row r="10" spans="2:41">
      <c r="B10" s="20" t="s">
        <v>256</v>
      </c>
      <c r="C10" s="20"/>
      <c r="D10" s="29">
        <v>0</v>
      </c>
      <c r="E10" s="3" t="s">
        <v>257</v>
      </c>
      <c r="H10" s="23"/>
      <c r="I10" s="23"/>
      <c r="J10" s="23"/>
      <c r="K10" s="23"/>
      <c r="L10" s="23"/>
      <c r="M10" s="23"/>
      <c r="N10" s="23"/>
      <c r="O10" s="23"/>
      <c r="Q10" s="24">
        <v>5</v>
      </c>
      <c r="R10" s="23" t="s">
        <v>299</v>
      </c>
      <c r="S10" s="26">
        <v>1</v>
      </c>
      <c r="T10" s="21"/>
      <c r="U10" s="21"/>
      <c r="V10" s="21"/>
      <c r="W10" s="21"/>
    </row>
    <row r="11" spans="2:41">
      <c r="H11" s="23"/>
      <c r="I11" s="23"/>
      <c r="J11" s="23"/>
      <c r="K11" s="23"/>
      <c r="L11" s="23"/>
      <c r="M11" s="23"/>
      <c r="N11" s="23"/>
      <c r="O11" s="23"/>
      <c r="Q11" s="3" t="s">
        <v>300</v>
      </c>
    </row>
    <row r="12" spans="2:41" ht="40" customHeight="1">
      <c r="H12" s="3" t="s">
        <v>286</v>
      </c>
    </row>
    <row r="14" spans="2:41">
      <c r="B14" s="5" t="s">
        <v>301</v>
      </c>
    </row>
    <row r="15" spans="2:41" ht="32" customHeight="1">
      <c r="B15" s="11" t="s">
        <v>302</v>
      </c>
      <c r="C15" s="11" t="s">
        <v>303</v>
      </c>
      <c r="D15" s="11" t="s">
        <v>304</v>
      </c>
      <c r="E15" s="11" t="s">
        <v>305</v>
      </c>
      <c r="F15" s="11" t="s">
        <v>306</v>
      </c>
      <c r="G15" s="11" t="s">
        <v>307</v>
      </c>
      <c r="H15" s="11" t="s">
        <v>308</v>
      </c>
      <c r="I15" s="11" t="s">
        <v>309</v>
      </c>
      <c r="J15" s="11" t="s">
        <v>310</v>
      </c>
      <c r="K15" s="11" t="s">
        <v>311</v>
      </c>
      <c r="L15" s="11" t="s">
        <v>312</v>
      </c>
      <c r="M15" s="11" t="s">
        <v>313</v>
      </c>
      <c r="N15" s="11" t="s">
        <v>314</v>
      </c>
      <c r="O15" s="11" t="s">
        <v>315</v>
      </c>
      <c r="P15" s="11" t="s">
        <v>316</v>
      </c>
      <c r="Q15" s="11" t="s">
        <v>317</v>
      </c>
      <c r="R15" s="11" t="s">
        <v>318</v>
      </c>
      <c r="S15" s="11" t="s">
        <v>319</v>
      </c>
      <c r="T15" s="11" t="s">
        <v>320</v>
      </c>
      <c r="U15" s="11" t="s">
        <v>321</v>
      </c>
      <c r="V15" s="11" t="s">
        <v>322</v>
      </c>
      <c r="W15" s="11" t="s">
        <v>323</v>
      </c>
      <c r="X15" s="11" t="s">
        <v>324</v>
      </c>
      <c r="Y15" s="11" t="s">
        <v>325</v>
      </c>
      <c r="Z15" s="11" t="s">
        <v>326</v>
      </c>
      <c r="AA15" s="11" t="s">
        <v>327</v>
      </c>
      <c r="AB15" s="11" t="s">
        <v>328</v>
      </c>
      <c r="AC15" s="11" t="s">
        <v>329</v>
      </c>
      <c r="AD15" s="11" t="s">
        <v>330</v>
      </c>
      <c r="AE15" s="11" t="s">
        <v>331</v>
      </c>
      <c r="AF15" s="11" t="s">
        <v>332</v>
      </c>
      <c r="AG15" s="11" t="s">
        <v>333</v>
      </c>
      <c r="AH15" s="11" t="s">
        <v>334</v>
      </c>
      <c r="AI15" s="11" t="s">
        <v>335</v>
      </c>
      <c r="AJ15" s="11" t="s">
        <v>336</v>
      </c>
      <c r="AK15" s="11" t="s">
        <v>337</v>
      </c>
      <c r="AL15" s="11" t="s">
        <v>338</v>
      </c>
      <c r="AM15" s="11" t="s">
        <v>339</v>
      </c>
      <c r="AN15" s="11" t="s">
        <v>340</v>
      </c>
      <c r="AO15" s="11" t="s">
        <v>341</v>
      </c>
    </row>
    <row r="16" spans="2:41" ht="45" customHeight="1">
      <c r="B16" s="24" t="s">
        <v>342</v>
      </c>
      <c r="C16" s="30" t="s">
        <v>343</v>
      </c>
      <c r="D16" s="24" t="s">
        <v>344</v>
      </c>
      <c r="E16" s="24" t="s">
        <v>345</v>
      </c>
      <c r="F16" s="30" t="s">
        <v>346</v>
      </c>
      <c r="G16" s="23"/>
      <c r="H16" s="31" t="s">
        <v>347</v>
      </c>
      <c r="I16" s="24" t="s">
        <v>271</v>
      </c>
      <c r="J16" s="26">
        <v>0.4</v>
      </c>
      <c r="K16" s="24" t="s">
        <v>143</v>
      </c>
      <c r="L16" s="21">
        <v>1500000</v>
      </c>
      <c r="M16" s="21">
        <v>4000000</v>
      </c>
      <c r="N16" s="21">
        <v>9000000</v>
      </c>
      <c r="P16" s="32" t="str">
        <f>IFERROR(INDEX(tblDistribuciones[AYUDA],MATCH(tblRiesgos[[#This Row],[DIST_COSTO]],tblDistribuciones[DISTRIBUCION],0)),"")</f>
        <v>P1=Mínimo · P2=Moda (más probable) · P3=Máximo</v>
      </c>
      <c r="V16" s="32">
        <f>IFERROR(INDEX(tblDistribuciones[AYUDA],MATCH(tblRiesgos[[#This Row],[DIST_PLAZO]],tblDistribuciones[DISTRIBUCION],0)),"")</f>
        <v/>
      </c>
      <c r="AB16" s="32">
        <f>IFERROR(INDEX(tblDistribuciones[AYUDA],MATCH(tblRiesgos[[#This Row],[DIST_ING_DISENO]],tblDistribuciones[DISTRIBUCION],0)),"")</f>
        <v/>
      </c>
      <c r="AH16" s="32">
        <f>IFERROR(INDEX(tblDistribuciones[AYUDA],MATCH(tblRiesgos[[#This Row],[DIST_ING_CAMPO]],tblDistribuciones[DISTRIBUCION],0)),"")</f>
        <v/>
      </c>
      <c r="AI16" s="24" t="s">
        <v>345</v>
      </c>
      <c r="AJ16" s="33">
        <v>0.5</v>
      </c>
      <c r="AO16" s="30" t="s">
        <v>348</v>
      </c>
    </row>
    <row r="17" spans="2:41" ht="45" customHeight="1">
      <c r="B17" s="24" t="s">
        <v>349</v>
      </c>
      <c r="C17" s="30" t="s">
        <v>350</v>
      </c>
      <c r="D17" s="24" t="s">
        <v>344</v>
      </c>
      <c r="E17" s="24" t="s">
        <v>345</v>
      </c>
      <c r="F17" s="30" t="s">
        <v>351</v>
      </c>
      <c r="G17" s="23"/>
      <c r="H17" s="31" t="s">
        <v>347</v>
      </c>
      <c r="I17" s="24" t="s">
        <v>271</v>
      </c>
      <c r="J17" s="26">
        <v>0.5</v>
      </c>
      <c r="K17" s="24" t="s">
        <v>143</v>
      </c>
      <c r="L17" s="21">
        <v>300000</v>
      </c>
      <c r="M17" s="21">
        <v>800000</v>
      </c>
      <c r="N17" s="21">
        <v>1800000</v>
      </c>
      <c r="P17" s="32" t="str">
        <f>IFERROR(INDEX(tblDistribuciones[AYUDA],MATCH(tblRiesgos[[#This Row],[DIST_COSTO]],tblDistribuciones[DISTRIBUCION],0)),"")</f>
        <v>P1=Mínimo · P2=Moda (más probable) · P3=Máximo</v>
      </c>
      <c r="V17" s="32">
        <f>IFERROR(INDEX(tblDistribuciones[AYUDA],MATCH(tblRiesgos[[#This Row],[DIST_PLAZO]],tblDistribuciones[DISTRIBUCION],0)),"")</f>
        <v/>
      </c>
      <c r="W17" s="24" t="s">
        <v>130</v>
      </c>
      <c r="X17" s="21">
        <v>80</v>
      </c>
      <c r="Y17" s="21">
        <v>200</v>
      </c>
      <c r="Z17" s="21">
        <v>400</v>
      </c>
      <c r="AB17" s="32" t="str">
        <f>IFERROR(INDEX(tblDistribuciones[AYUDA],MATCH(tblRiesgos[[#This Row],[DIST_ING_DISENO]],tblDistribuciones[DISTRIBUCION],0)),"")</f>
        <v>P1=Mínimo · P2=Moda (más probable) · P3=Máximo</v>
      </c>
      <c r="AH17" s="32">
        <f>IFERROR(INDEX(tblDistribuciones[AYUDA],MATCH(tblRiesgos[[#This Row],[DIST_ING_CAMPO]],tblDistribuciones[DISTRIBUCION],0)),"")</f>
        <v/>
      </c>
      <c r="AI17" s="24" t="s">
        <v>345</v>
      </c>
      <c r="AJ17" s="33">
        <v>0.5</v>
      </c>
      <c r="AO17" s="30" t="s">
        <v>348</v>
      </c>
    </row>
    <row r="18" spans="2:41" ht="45" customHeight="1">
      <c r="B18" s="24" t="s">
        <v>352</v>
      </c>
      <c r="C18" s="30" t="s">
        <v>353</v>
      </c>
      <c r="D18" s="24" t="s">
        <v>344</v>
      </c>
      <c r="E18" s="24" t="s">
        <v>354</v>
      </c>
      <c r="F18" s="30" t="s">
        <v>355</v>
      </c>
      <c r="G18" s="23"/>
      <c r="H18" s="31" t="s">
        <v>347</v>
      </c>
      <c r="I18" s="24" t="s">
        <v>271</v>
      </c>
      <c r="J18" s="26">
        <v>0.6</v>
      </c>
      <c r="K18" s="24" t="s">
        <v>143</v>
      </c>
      <c r="L18" s="21">
        <v>400000</v>
      </c>
      <c r="M18" s="21">
        <v>1000000</v>
      </c>
      <c r="N18" s="21">
        <v>2200000</v>
      </c>
      <c r="P18" s="32" t="str">
        <f>IFERROR(INDEX(tblDistribuciones[AYUDA],MATCH(tblRiesgos[[#This Row],[DIST_COSTO]],tblDistribuciones[DISTRIBUCION],0)),"")</f>
        <v>P1=Mínimo · P2=Moda (más probable) · P3=Máximo</v>
      </c>
      <c r="V18" s="32">
        <f>IFERROR(INDEX(tblDistribuciones[AYUDA],MATCH(tblRiesgos[[#This Row],[DIST_PLAZO]],tblDistribuciones[DISTRIBUCION],0)),"")</f>
        <v/>
      </c>
      <c r="AB18" s="32">
        <f>IFERROR(INDEX(tblDistribuciones[AYUDA],MATCH(tblRiesgos[[#This Row],[DIST_ING_DISENO]],tblDistribuciones[DISTRIBUCION],0)),"")</f>
        <v/>
      </c>
      <c r="AH18" s="32">
        <f>IFERROR(INDEX(tblDistribuciones[AYUDA],MATCH(tblRiesgos[[#This Row],[DIST_ING_CAMPO]],tblDistribuciones[DISTRIBUCION],0)),"")</f>
        <v/>
      </c>
      <c r="AI18" s="24" t="s">
        <v>356</v>
      </c>
      <c r="AJ18" s="33">
        <v>0.4</v>
      </c>
      <c r="AO18" s="30" t="s">
        <v>357</v>
      </c>
    </row>
    <row r="19" spans="2:41" ht="45" customHeight="1">
      <c r="B19" s="24" t="s">
        <v>358</v>
      </c>
      <c r="C19" s="30" t="s">
        <v>359</v>
      </c>
      <c r="D19" s="24" t="s">
        <v>344</v>
      </c>
      <c r="E19" s="24" t="s">
        <v>360</v>
      </c>
      <c r="F19" s="30"/>
      <c r="G19" s="23"/>
      <c r="H19" s="31" t="s">
        <v>347</v>
      </c>
      <c r="I19" s="24" t="s">
        <v>271</v>
      </c>
      <c r="J19" s="26">
        <v>0.5</v>
      </c>
      <c r="K19" s="24" t="s">
        <v>143</v>
      </c>
      <c r="L19" s="21">
        <v>800000</v>
      </c>
      <c r="M19" s="21">
        <v>2000000</v>
      </c>
      <c r="N19" s="21">
        <v>4500000</v>
      </c>
      <c r="P19" s="32" t="str">
        <f>IFERROR(INDEX(tblDistribuciones[AYUDA],MATCH(tblRiesgos[[#This Row],[DIST_COSTO]],tblDistribuciones[DISTRIBUCION],0)),"")</f>
        <v>P1=Mínimo · P2=Moda (más probable) · P3=Máximo</v>
      </c>
      <c r="V19" s="32">
        <f>IFERROR(INDEX(tblDistribuciones[AYUDA],MATCH(tblRiesgos[[#This Row],[DIST_PLAZO]],tblDistribuciones[DISTRIBUCION],0)),"")</f>
        <v/>
      </c>
      <c r="AB19" s="32">
        <f>IFERROR(INDEX(tblDistribuciones[AYUDA],MATCH(tblRiesgos[[#This Row],[DIST_ING_DISENO]],tblDistribuciones[DISTRIBUCION],0)),"")</f>
        <v/>
      </c>
      <c r="AH19" s="32">
        <f>IFERROR(INDEX(tblDistribuciones[AYUDA],MATCH(tblRiesgos[[#This Row],[DIST_ING_CAMPO]],tblDistribuciones[DISTRIBUCION],0)),"")</f>
        <v/>
      </c>
      <c r="AI19" s="24"/>
      <c r="AJ19" s="33"/>
      <c r="AO19" s="30" t="s">
        <v>348</v>
      </c>
    </row>
    <row r="20" spans="2:41" ht="45" customHeight="1">
      <c r="B20" s="24" t="s">
        <v>361</v>
      </c>
      <c r="C20" s="30" t="s">
        <v>362</v>
      </c>
      <c r="D20" s="24" t="s">
        <v>344</v>
      </c>
      <c r="E20" s="24" t="s">
        <v>363</v>
      </c>
      <c r="F20" s="30" t="s">
        <v>364</v>
      </c>
      <c r="G20" s="23"/>
      <c r="H20" s="31" t="s">
        <v>347</v>
      </c>
      <c r="I20" s="24" t="s">
        <v>271</v>
      </c>
      <c r="J20" s="26">
        <v>0.45</v>
      </c>
      <c r="K20" s="24" t="s">
        <v>143</v>
      </c>
      <c r="L20" s="21">
        <v>200000</v>
      </c>
      <c r="M20" s="21">
        <v>500000</v>
      </c>
      <c r="N20" s="21">
        <v>1200000</v>
      </c>
      <c r="P20" s="32" t="str">
        <f>IFERROR(INDEX(tblDistribuciones[AYUDA],MATCH(tblRiesgos[[#This Row],[DIST_COSTO]],tblDistribuciones[DISTRIBUCION],0)),"")</f>
        <v>P1=Mínimo · P2=Moda (más probable) · P3=Máximo</v>
      </c>
      <c r="Q20" s="24" t="s">
        <v>130</v>
      </c>
      <c r="R20" s="22">
        <v>15</v>
      </c>
      <c r="S20" s="22">
        <v>30</v>
      </c>
      <c r="T20" s="22">
        <v>60</v>
      </c>
      <c r="V20" s="32" t="str">
        <f>IFERROR(INDEX(tblDistribuciones[AYUDA],MATCH(tblRiesgos[[#This Row],[DIST_PLAZO]],tblDistribuciones[DISTRIBUCION],0)),"")</f>
        <v>P1=Mínimo · P2=Moda (más probable) · P3=Máximo</v>
      </c>
      <c r="W20" s="24" t="s">
        <v>130</v>
      </c>
      <c r="X20" s="21">
        <v>120</v>
      </c>
      <c r="Y20" s="21">
        <v>300</v>
      </c>
      <c r="Z20" s="21">
        <v>600</v>
      </c>
      <c r="AB20" s="32" t="str">
        <f>IFERROR(INDEX(tblDistribuciones[AYUDA],MATCH(tblRiesgos[[#This Row],[DIST_ING_DISENO]],tblDistribuciones[DISTRIBUCION],0)),"")</f>
        <v>P1=Mínimo · P2=Moda (más probable) · P3=Máximo</v>
      </c>
      <c r="AH20" s="32">
        <f>IFERROR(INDEX(tblDistribuciones[AYUDA],MATCH(tblRiesgos[[#This Row],[DIST_ING_CAMPO]],tblDistribuciones[DISTRIBUCION],0)),"")</f>
        <v/>
      </c>
      <c r="AI20" s="24" t="s">
        <v>363</v>
      </c>
      <c r="AJ20" s="33">
        <v>0.5</v>
      </c>
      <c r="AO20" s="30" t="s">
        <v>348</v>
      </c>
    </row>
    <row r="21" spans="2:41" ht="45" customHeight="1">
      <c r="B21" s="24" t="s">
        <v>365</v>
      </c>
      <c r="C21" s="30" t="s">
        <v>366</v>
      </c>
      <c r="D21" s="24" t="s">
        <v>344</v>
      </c>
      <c r="E21" s="24" t="s">
        <v>367</v>
      </c>
      <c r="F21" s="30" t="s">
        <v>368</v>
      </c>
      <c r="G21" s="23"/>
      <c r="H21" s="31" t="s">
        <v>347</v>
      </c>
      <c r="I21" s="24" t="s">
        <v>271</v>
      </c>
      <c r="J21" s="26">
        <v>0.35</v>
      </c>
      <c r="K21" s="24" t="s">
        <v>143</v>
      </c>
      <c r="L21" s="21">
        <v>150000</v>
      </c>
      <c r="M21" s="21">
        <v>400000</v>
      </c>
      <c r="N21" s="21">
        <v>900000</v>
      </c>
      <c r="P21" s="32" t="str">
        <f>IFERROR(INDEX(tblDistribuciones[AYUDA],MATCH(tblRiesgos[[#This Row],[DIST_COSTO]],tblDistribuciones[DISTRIBUCION],0)),"")</f>
        <v>P1=Mínimo · P2=Moda (más probable) · P3=Máximo</v>
      </c>
      <c r="Q21" s="24" t="s">
        <v>130</v>
      </c>
      <c r="R21" s="22">
        <v>3</v>
      </c>
      <c r="S21" s="22">
        <v>7</v>
      </c>
      <c r="T21" s="22">
        <v>15</v>
      </c>
      <c r="V21" s="32" t="str">
        <f>IFERROR(INDEX(tblDistribuciones[AYUDA],MATCH(tblRiesgos[[#This Row],[DIST_PLAZO]],tblDistribuciones[DISTRIBUCION],0)),"")</f>
        <v>P1=Mínimo · P2=Moda (más probable) · P3=Máximo</v>
      </c>
      <c r="AB21" s="32">
        <f>IFERROR(INDEX(tblDistribuciones[AYUDA],MATCH(tblRiesgos[[#This Row],[DIST_ING_DISENO]],tblDistribuciones[DISTRIBUCION],0)),"")</f>
        <v/>
      </c>
      <c r="AC21" s="24" t="s">
        <v>130</v>
      </c>
      <c r="AD21" s="21">
        <v>200</v>
      </c>
      <c r="AE21" s="21">
        <v>500</v>
      </c>
      <c r="AF21" s="21">
        <v>1200</v>
      </c>
      <c r="AH21" s="32" t="str">
        <f>IFERROR(INDEX(tblDistribuciones[AYUDA],MATCH(tblRiesgos[[#This Row],[DIST_ING_CAMPO]],tblDistribuciones[DISTRIBUCION],0)),"")</f>
        <v>P1=Mínimo · P2=Moda (más probable) · P3=Máximo</v>
      </c>
      <c r="AI21" s="24" t="s">
        <v>367</v>
      </c>
      <c r="AJ21" s="33">
        <v>0.4</v>
      </c>
      <c r="AO21" s="30" t="s">
        <v>348</v>
      </c>
    </row>
    <row r="22" spans="2:41" ht="45" customHeight="1">
      <c r="B22" s="24" t="s">
        <v>369</v>
      </c>
      <c r="C22" s="30" t="s">
        <v>370</v>
      </c>
      <c r="D22" s="24" t="s">
        <v>344</v>
      </c>
      <c r="E22" s="24" t="s">
        <v>367</v>
      </c>
      <c r="F22" s="30" t="s">
        <v>371</v>
      </c>
      <c r="G22" s="23"/>
      <c r="H22" s="31" t="s">
        <v>347</v>
      </c>
      <c r="I22" s="24" t="s">
        <v>271</v>
      </c>
      <c r="J22" s="26">
        <v>0.3</v>
      </c>
      <c r="K22" s="24" t="s">
        <v>143</v>
      </c>
      <c r="L22" s="21">
        <v>100000</v>
      </c>
      <c r="M22" s="21">
        <v>300000</v>
      </c>
      <c r="N22" s="21">
        <v>700000</v>
      </c>
      <c r="P22" s="32" t="str">
        <f>IFERROR(INDEX(tblDistribuciones[AYUDA],MATCH(tblRiesgos[[#This Row],[DIST_COSTO]],tblDistribuciones[DISTRIBUCION],0)),"")</f>
        <v>P1=Mínimo · P2=Moda (más probable) · P3=Máximo</v>
      </c>
      <c r="Q22" s="24" t="s">
        <v>130</v>
      </c>
      <c r="R22" s="22">
        <v>2</v>
      </c>
      <c r="S22" s="22">
        <v>5</v>
      </c>
      <c r="T22" s="22">
        <v>12</v>
      </c>
      <c r="V22" s="32" t="str">
        <f>IFERROR(INDEX(tblDistribuciones[AYUDA],MATCH(tblRiesgos[[#This Row],[DIST_PLAZO]],tblDistribuciones[DISTRIBUCION],0)),"")</f>
        <v>P1=Mínimo · P2=Moda (más probable) · P3=Máximo</v>
      </c>
      <c r="AB22" s="32">
        <f>IFERROR(INDEX(tblDistribuciones[AYUDA],MATCH(tblRiesgos[[#This Row],[DIST_ING_DISENO]],tblDistribuciones[DISTRIBUCION],0)),"")</f>
        <v/>
      </c>
      <c r="AC22" s="24" t="s">
        <v>130</v>
      </c>
      <c r="AD22" s="21">
        <v>150</v>
      </c>
      <c r="AE22" s="21">
        <v>400</v>
      </c>
      <c r="AF22" s="21">
        <v>900</v>
      </c>
      <c r="AH22" s="32" t="str">
        <f>IFERROR(INDEX(tblDistribuciones[AYUDA],MATCH(tblRiesgos[[#This Row],[DIST_ING_CAMPO]],tblDistribuciones[DISTRIBUCION],0)),"")</f>
        <v>P1=Mínimo · P2=Moda (más probable) · P3=Máximo</v>
      </c>
      <c r="AI22" s="24" t="s">
        <v>367</v>
      </c>
      <c r="AJ22" s="33">
        <v>0.4</v>
      </c>
      <c r="AO22" s="30" t="s">
        <v>348</v>
      </c>
    </row>
    <row r="23" spans="2:41" ht="45" customHeight="1">
      <c r="B23" s="24" t="s">
        <v>372</v>
      </c>
      <c r="C23" s="30" t="s">
        <v>373</v>
      </c>
      <c r="D23" s="24" t="s">
        <v>344</v>
      </c>
      <c r="E23" s="24" t="s">
        <v>367</v>
      </c>
      <c r="F23" s="30" t="s">
        <v>374</v>
      </c>
      <c r="G23" s="23"/>
      <c r="H23" s="31" t="s">
        <v>347</v>
      </c>
      <c r="I23" s="24" t="s">
        <v>271</v>
      </c>
      <c r="J23" s="26">
        <v>0.3</v>
      </c>
      <c r="K23" s="24" t="s">
        <v>143</v>
      </c>
      <c r="L23" s="21">
        <v>100000</v>
      </c>
      <c r="M23" s="21">
        <v>350000</v>
      </c>
      <c r="N23" s="21">
        <v>800000</v>
      </c>
      <c r="P23" s="32" t="str">
        <f>IFERROR(INDEX(tblDistribuciones[AYUDA],MATCH(tblRiesgos[[#This Row],[DIST_COSTO]],tblDistribuciones[DISTRIBUCION],0)),"")</f>
        <v>P1=Mínimo · P2=Moda (más probable) · P3=Máximo</v>
      </c>
      <c r="V23" s="32">
        <f>IFERROR(INDEX(tblDistribuciones[AYUDA],MATCH(tblRiesgos[[#This Row],[DIST_PLAZO]],tblDistribuciones[DISTRIBUCION],0)),"")</f>
        <v/>
      </c>
      <c r="AB23" s="32">
        <f>IFERROR(INDEX(tblDistribuciones[AYUDA],MATCH(tblRiesgos[[#This Row],[DIST_ING_DISENO]],tblDistribuciones[DISTRIBUCION],0)),"")</f>
        <v/>
      </c>
      <c r="AC23" s="24" t="s">
        <v>130</v>
      </c>
      <c r="AD23" s="21">
        <v>150</v>
      </c>
      <c r="AE23" s="21">
        <v>350</v>
      </c>
      <c r="AF23" s="21">
        <v>800</v>
      </c>
      <c r="AH23" s="32" t="str">
        <f>IFERROR(INDEX(tblDistribuciones[AYUDA],MATCH(tblRiesgos[[#This Row],[DIST_ING_CAMPO]],tblDistribuciones[DISTRIBUCION],0)),"")</f>
        <v>P1=Mínimo · P2=Moda (más probable) · P3=Máximo</v>
      </c>
      <c r="AI23" s="24" t="s">
        <v>367</v>
      </c>
      <c r="AJ23" s="33">
        <v>0.4</v>
      </c>
      <c r="AO23" s="30" t="s">
        <v>348</v>
      </c>
    </row>
    <row r="24" spans="2:41" ht="45" customHeight="1">
      <c r="B24" s="24" t="s">
        <v>375</v>
      </c>
      <c r="C24" s="30" t="s">
        <v>376</v>
      </c>
      <c r="D24" s="24" t="s">
        <v>344</v>
      </c>
      <c r="E24" s="24" t="s">
        <v>377</v>
      </c>
      <c r="F24" s="30" t="s">
        <v>378</v>
      </c>
      <c r="G24" s="23"/>
      <c r="H24" s="31" t="s">
        <v>347</v>
      </c>
      <c r="I24" s="24" t="s">
        <v>271</v>
      </c>
      <c r="J24" s="26">
        <v>0.08</v>
      </c>
      <c r="K24" s="24" t="s">
        <v>143</v>
      </c>
      <c r="L24" s="21">
        <v>300000</v>
      </c>
      <c r="M24" s="21">
        <v>1200000</v>
      </c>
      <c r="N24" s="21">
        <v>4000000</v>
      </c>
      <c r="P24" s="32" t="str">
        <f>IFERROR(INDEX(tblDistribuciones[AYUDA],MATCH(tblRiesgos[[#This Row],[DIST_COSTO]],tblDistribuciones[DISTRIBUCION],0)),"")</f>
        <v>P1=Mínimo · P2=Moda (más probable) · P3=Máximo</v>
      </c>
      <c r="Q24" s="24" t="s">
        <v>130</v>
      </c>
      <c r="R24" s="22">
        <v>5</v>
      </c>
      <c r="S24" s="22">
        <v>15</v>
      </c>
      <c r="T24" s="22">
        <v>45</v>
      </c>
      <c r="V24" s="32" t="str">
        <f>IFERROR(INDEX(tblDistribuciones[AYUDA],MATCH(tblRiesgos[[#This Row],[DIST_PLAZO]],tblDistribuciones[DISTRIBUCION],0)),"")</f>
        <v>P1=Mínimo · P2=Moda (más probable) · P3=Máximo</v>
      </c>
      <c r="AB24" s="32">
        <f>IFERROR(INDEX(tblDistribuciones[AYUDA],MATCH(tblRiesgos[[#This Row],[DIST_ING_DISENO]],tblDistribuciones[DISTRIBUCION],0)),"")</f>
        <v/>
      </c>
      <c r="AH24" s="32">
        <f>IFERROR(INDEX(tblDistribuciones[AYUDA],MATCH(tblRiesgos[[#This Row],[DIST_ING_CAMPO]],tblDistribuciones[DISTRIBUCION],0)),"")</f>
        <v/>
      </c>
      <c r="AI24" s="24"/>
      <c r="AJ24" s="33"/>
      <c r="AO24" s="30" t="s">
        <v>379</v>
      </c>
    </row>
    <row r="25" spans="2:41" ht="45" customHeight="1">
      <c r="B25" s="24" t="s">
        <v>380</v>
      </c>
      <c r="C25" s="30" t="s">
        <v>381</v>
      </c>
      <c r="D25" s="24" t="s">
        <v>344</v>
      </c>
      <c r="E25" s="24" t="s">
        <v>345</v>
      </c>
      <c r="F25" s="30" t="s">
        <v>382</v>
      </c>
      <c r="G25" s="23"/>
      <c r="H25" s="31" t="s">
        <v>347</v>
      </c>
      <c r="I25" s="24" t="s">
        <v>271</v>
      </c>
      <c r="J25" s="26">
        <v>0.4</v>
      </c>
      <c r="K25" s="24" t="s">
        <v>143</v>
      </c>
      <c r="L25" s="21">
        <v>200000</v>
      </c>
      <c r="M25" s="21">
        <v>600000</v>
      </c>
      <c r="N25" s="21">
        <v>1500000</v>
      </c>
      <c r="P25" s="32" t="str">
        <f>IFERROR(INDEX(tblDistribuciones[AYUDA],MATCH(tblRiesgos[[#This Row],[DIST_COSTO]],tblDistribuciones[DISTRIBUCION],0)),"")</f>
        <v>P1=Mínimo · P2=Moda (más probable) · P3=Máximo</v>
      </c>
      <c r="V25" s="32">
        <f>IFERROR(INDEX(tblDistribuciones[AYUDA],MATCH(tblRiesgos[[#This Row],[DIST_PLAZO]],tblDistribuciones[DISTRIBUCION],0)),"")</f>
        <v/>
      </c>
      <c r="AB25" s="32">
        <f>IFERROR(INDEX(tblDistribuciones[AYUDA],MATCH(tblRiesgos[[#This Row],[DIST_ING_DISENO]],tblDistribuciones[DISTRIBUCION],0)),"")</f>
        <v/>
      </c>
      <c r="AH25" s="32">
        <f>IFERROR(INDEX(tblDistribuciones[AYUDA],MATCH(tblRiesgos[[#This Row],[DIST_ING_CAMPO]],tblDistribuciones[DISTRIBUCION],0)),"")</f>
        <v/>
      </c>
      <c r="AI25" s="24" t="s">
        <v>345</v>
      </c>
      <c r="AJ25" s="33">
        <v>0.5</v>
      </c>
      <c r="AO25" s="30" t="s">
        <v>348</v>
      </c>
    </row>
    <row r="26" spans="2:41" ht="45" customHeight="1">
      <c r="B26" s="24" t="s">
        <v>383</v>
      </c>
      <c r="C26" s="30" t="s">
        <v>384</v>
      </c>
      <c r="D26" s="24" t="s">
        <v>344</v>
      </c>
      <c r="E26" s="24" t="s">
        <v>363</v>
      </c>
      <c r="F26" s="30" t="s">
        <v>385</v>
      </c>
      <c r="G26" s="23"/>
      <c r="H26" s="31" t="s">
        <v>347</v>
      </c>
      <c r="I26" s="24" t="s">
        <v>271</v>
      </c>
      <c r="J26" s="26">
        <v>0.55</v>
      </c>
      <c r="K26" s="24" t="s">
        <v>143</v>
      </c>
      <c r="L26" s="21">
        <v>200000</v>
      </c>
      <c r="M26" s="21">
        <v>600000</v>
      </c>
      <c r="N26" s="21">
        <v>1400000</v>
      </c>
      <c r="P26" s="32" t="str">
        <f>IFERROR(INDEX(tblDistribuciones[AYUDA],MATCH(tblRiesgos[[#This Row],[DIST_COSTO]],tblDistribuciones[DISTRIBUCION],0)),"")</f>
        <v>P1=Mínimo · P2=Moda (más probable) · P3=Máximo</v>
      </c>
      <c r="Q26" s="24" t="s">
        <v>130</v>
      </c>
      <c r="R26" s="22">
        <v>10</v>
      </c>
      <c r="S26" s="22">
        <v>20</v>
      </c>
      <c r="T26" s="22">
        <v>45</v>
      </c>
      <c r="V26" s="32" t="str">
        <f>IFERROR(INDEX(tblDistribuciones[AYUDA],MATCH(tblRiesgos[[#This Row],[DIST_PLAZO]],tblDistribuciones[DISTRIBUCION],0)),"")</f>
        <v>P1=Mínimo · P2=Moda (más probable) · P3=Máximo</v>
      </c>
      <c r="AB26" s="32">
        <f>IFERROR(INDEX(tblDistribuciones[AYUDA],MATCH(tblRiesgos[[#This Row],[DIST_ING_DISENO]],tblDistribuciones[DISTRIBUCION],0)),"")</f>
        <v/>
      </c>
      <c r="AH26" s="32">
        <f>IFERROR(INDEX(tblDistribuciones[AYUDA],MATCH(tblRiesgos[[#This Row],[DIST_ING_CAMPO]],tblDistribuciones[DISTRIBUCION],0)),"")</f>
        <v/>
      </c>
      <c r="AI26" s="24" t="s">
        <v>363</v>
      </c>
      <c r="AJ26" s="33">
        <v>0.5</v>
      </c>
      <c r="AO26" s="30" t="s">
        <v>357</v>
      </c>
    </row>
    <row r="27" spans="2:41" ht="45" customHeight="1">
      <c r="B27" s="24" t="s">
        <v>386</v>
      </c>
      <c r="C27" s="30" t="s">
        <v>387</v>
      </c>
      <c r="D27" s="24" t="s">
        <v>344</v>
      </c>
      <c r="E27" s="24" t="s">
        <v>388</v>
      </c>
      <c r="F27" s="30" t="s">
        <v>389</v>
      </c>
      <c r="G27" s="23"/>
      <c r="H27" s="31" t="s">
        <v>347</v>
      </c>
      <c r="I27" s="24" t="s">
        <v>271</v>
      </c>
      <c r="J27" s="26">
        <v>0.25</v>
      </c>
      <c r="K27" s="24" t="s">
        <v>143</v>
      </c>
      <c r="L27" s="21">
        <v>300000</v>
      </c>
      <c r="M27" s="21">
        <v>1000000</v>
      </c>
      <c r="N27" s="21">
        <v>3500000</v>
      </c>
      <c r="P27" s="32" t="str">
        <f>IFERROR(INDEX(tblDistribuciones[AYUDA],MATCH(tblRiesgos[[#This Row],[DIST_COSTO]],tblDistribuciones[DISTRIBUCION],0)),"")</f>
        <v>P1=Mínimo · P2=Moda (más probable) · P3=Máximo</v>
      </c>
      <c r="Q27" s="24" t="s">
        <v>130</v>
      </c>
      <c r="R27" s="22">
        <v>0</v>
      </c>
      <c r="S27" s="22">
        <v>7</v>
      </c>
      <c r="T27" s="22">
        <v>30</v>
      </c>
      <c r="V27" s="32" t="str">
        <f>IFERROR(INDEX(tblDistribuciones[AYUDA],MATCH(tblRiesgos[[#This Row],[DIST_PLAZO]],tblDistribuciones[DISTRIBUCION],0)),"")</f>
        <v>P1=Mínimo · P2=Moda (más probable) · P3=Máximo</v>
      </c>
      <c r="AB27" s="32">
        <f>IFERROR(INDEX(tblDistribuciones[AYUDA],MATCH(tblRiesgos[[#This Row],[DIST_ING_DISENO]],tblDistribuciones[DISTRIBUCION],0)),"")</f>
        <v/>
      </c>
      <c r="AC27" s="24" t="s">
        <v>130</v>
      </c>
      <c r="AD27" s="21">
        <v>100</v>
      </c>
      <c r="AE27" s="21">
        <v>300</v>
      </c>
      <c r="AF27" s="21">
        <v>800</v>
      </c>
      <c r="AH27" s="32" t="str">
        <f>IFERROR(INDEX(tblDistribuciones[AYUDA],MATCH(tblRiesgos[[#This Row],[DIST_ING_CAMPO]],tblDistribuciones[DISTRIBUCION],0)),"")</f>
        <v>P1=Mínimo · P2=Moda (más probable) · P3=Máximo</v>
      </c>
      <c r="AI27" s="24"/>
      <c r="AJ27" s="33"/>
      <c r="AO27" s="30" t="s">
        <v>348</v>
      </c>
    </row>
    <row r="28" spans="2:41" ht="45" customHeight="1">
      <c r="B28" s="24" t="s">
        <v>390</v>
      </c>
      <c r="C28" s="30" t="s">
        <v>391</v>
      </c>
      <c r="D28" s="24" t="s">
        <v>344</v>
      </c>
      <c r="E28" s="24" t="s">
        <v>363</v>
      </c>
      <c r="F28" s="30" t="s">
        <v>392</v>
      </c>
      <c r="G28" s="23"/>
      <c r="H28" s="31" t="s">
        <v>347</v>
      </c>
      <c r="I28" s="24" t="s">
        <v>271</v>
      </c>
      <c r="J28" s="26">
        <v>0.5</v>
      </c>
      <c r="K28" s="24" t="s">
        <v>143</v>
      </c>
      <c r="L28" s="21">
        <v>100000</v>
      </c>
      <c r="M28" s="21">
        <v>400000</v>
      </c>
      <c r="N28" s="21">
        <v>1000000</v>
      </c>
      <c r="P28" s="32" t="str">
        <f>IFERROR(INDEX(tblDistribuciones[AYUDA],MATCH(tblRiesgos[[#This Row],[DIST_COSTO]],tblDistribuciones[DISTRIBUCION],0)),"")</f>
        <v>P1=Mínimo · P2=Moda (más probable) · P3=Máximo</v>
      </c>
      <c r="Q28" s="24" t="s">
        <v>130</v>
      </c>
      <c r="R28" s="22">
        <v>5</v>
      </c>
      <c r="S28" s="22">
        <v>15</v>
      </c>
      <c r="T28" s="22">
        <v>35</v>
      </c>
      <c r="V28" s="32" t="str">
        <f>IFERROR(INDEX(tblDistribuciones[AYUDA],MATCH(tblRiesgos[[#This Row],[DIST_PLAZO]],tblDistribuciones[DISTRIBUCION],0)),"")</f>
        <v>P1=Mínimo · P2=Moda (más probable) · P3=Máximo</v>
      </c>
      <c r="AB28" s="32">
        <f>IFERROR(INDEX(tblDistribuciones[AYUDA],MATCH(tblRiesgos[[#This Row],[DIST_ING_DISENO]],tblDistribuciones[DISTRIBUCION],0)),"")</f>
        <v/>
      </c>
      <c r="AH28" s="32">
        <f>IFERROR(INDEX(tblDistribuciones[AYUDA],MATCH(tblRiesgos[[#This Row],[DIST_ING_CAMPO]],tblDistribuciones[DISTRIBUCION],0)),"")</f>
        <v/>
      </c>
      <c r="AI28" s="24" t="s">
        <v>363</v>
      </c>
      <c r="AJ28" s="33">
        <v>0.5</v>
      </c>
      <c r="AO28" s="30" t="s">
        <v>348</v>
      </c>
    </row>
    <row r="29" spans="2:41" ht="45" customHeight="1">
      <c r="B29" s="24" t="s">
        <v>393</v>
      </c>
      <c r="C29" s="30" t="s">
        <v>394</v>
      </c>
      <c r="D29" s="24" t="s">
        <v>344</v>
      </c>
      <c r="E29" s="24" t="s">
        <v>395</v>
      </c>
      <c r="F29" s="30" t="s">
        <v>396</v>
      </c>
      <c r="G29" s="23"/>
      <c r="H29" s="31" t="s">
        <v>347</v>
      </c>
      <c r="I29" s="24" t="s">
        <v>271</v>
      </c>
      <c r="J29" s="26">
        <v>0.65</v>
      </c>
      <c r="K29" s="24" t="s">
        <v>143</v>
      </c>
      <c r="L29" s="21">
        <v>800000</v>
      </c>
      <c r="M29" s="21">
        <v>2500000</v>
      </c>
      <c r="N29" s="21">
        <v>6000000</v>
      </c>
      <c r="P29" s="32" t="str">
        <f>IFERROR(INDEX(tblDistribuciones[AYUDA],MATCH(tblRiesgos[[#This Row],[DIST_COSTO]],tblDistribuciones[DISTRIBUCION],0)),"")</f>
        <v>P1=Mínimo · P2=Moda (más probable) · P3=Máximo</v>
      </c>
      <c r="Q29" s="24" t="s">
        <v>130</v>
      </c>
      <c r="R29" s="22">
        <v>10</v>
      </c>
      <c r="S29" s="22">
        <v>25</v>
      </c>
      <c r="T29" s="22">
        <v>60</v>
      </c>
      <c r="V29" s="32" t="str">
        <f>IFERROR(INDEX(tblDistribuciones[AYUDA],MATCH(tblRiesgos[[#This Row],[DIST_PLAZO]],tblDistribuciones[DISTRIBUCION],0)),"")</f>
        <v>P1=Mínimo · P2=Moda (más probable) · P3=Máximo</v>
      </c>
      <c r="W29" s="24" t="s">
        <v>143</v>
      </c>
      <c r="X29" s="21">
        <v>500</v>
      </c>
      <c r="Y29" s="21">
        <v>1500</v>
      </c>
      <c r="Z29" s="21">
        <v>4000</v>
      </c>
      <c r="AB29" s="32" t="str">
        <f>IFERROR(INDEX(tblDistribuciones[AYUDA],MATCH(tblRiesgos[[#This Row],[DIST_ING_DISENO]],tblDistribuciones[DISTRIBUCION],0)),"")</f>
        <v>P1=Mínimo · P2=Moda (más probable) · P3=Máximo</v>
      </c>
      <c r="AC29" s="24" t="s">
        <v>143</v>
      </c>
      <c r="AD29" s="21">
        <v>300</v>
      </c>
      <c r="AE29" s="21">
        <v>900</v>
      </c>
      <c r="AF29" s="21">
        <v>2500</v>
      </c>
      <c r="AH29" s="32" t="str">
        <f>IFERROR(INDEX(tblDistribuciones[AYUDA],MATCH(tblRiesgos[[#This Row],[DIST_ING_CAMPO]],tblDistribuciones[DISTRIBUCION],0)),"")</f>
        <v>P1=Mínimo · P2=Moda (más probable) · P3=Máximo</v>
      </c>
      <c r="AI29" s="24" t="s">
        <v>395</v>
      </c>
      <c r="AJ29" s="33">
        <v>0.5</v>
      </c>
      <c r="AO29" s="30" t="s">
        <v>357</v>
      </c>
    </row>
    <row r="30" spans="2:41" ht="45" customHeight="1">
      <c r="B30" s="24" t="s">
        <v>397</v>
      </c>
      <c r="C30" s="30" t="s">
        <v>398</v>
      </c>
      <c r="D30" s="24" t="s">
        <v>344</v>
      </c>
      <c r="E30" s="24" t="s">
        <v>388</v>
      </c>
      <c r="F30" s="30" t="s">
        <v>399</v>
      </c>
      <c r="G30" s="23"/>
      <c r="H30" s="31" t="s">
        <v>347</v>
      </c>
      <c r="I30" s="24" t="s">
        <v>271</v>
      </c>
      <c r="J30" s="26">
        <v>0.3</v>
      </c>
      <c r="K30" s="24" t="s">
        <v>143</v>
      </c>
      <c r="L30" s="21">
        <v>150000</v>
      </c>
      <c r="M30" s="21">
        <v>400000</v>
      </c>
      <c r="N30" s="21">
        <v>900000</v>
      </c>
      <c r="P30" s="32" t="str">
        <f>IFERROR(INDEX(tblDistribuciones[AYUDA],MATCH(tblRiesgos[[#This Row],[DIST_COSTO]],tblDistribuciones[DISTRIBUCION],0)),"")</f>
        <v>P1=Mínimo · P2=Moda (más probable) · P3=Máximo</v>
      </c>
      <c r="V30" s="32">
        <f>IFERROR(INDEX(tblDistribuciones[AYUDA],MATCH(tblRiesgos[[#This Row],[DIST_PLAZO]],tblDistribuciones[DISTRIBUCION],0)),"")</f>
        <v/>
      </c>
      <c r="AB30" s="32">
        <f>IFERROR(INDEX(tblDistribuciones[AYUDA],MATCH(tblRiesgos[[#This Row],[DIST_ING_DISENO]],tblDistribuciones[DISTRIBUCION],0)),"")</f>
        <v/>
      </c>
      <c r="AH30" s="32">
        <f>IFERROR(INDEX(tblDistribuciones[AYUDA],MATCH(tblRiesgos[[#This Row],[DIST_ING_CAMPO]],tblDistribuciones[DISTRIBUCION],0)),"")</f>
        <v/>
      </c>
      <c r="AI30" s="24"/>
      <c r="AJ30" s="33"/>
      <c r="AO30" s="30" t="s">
        <v>348</v>
      </c>
    </row>
    <row r="31" spans="2:41" ht="45" customHeight="1">
      <c r="B31" s="24" t="s">
        <v>400</v>
      </c>
      <c r="C31" s="30" t="s">
        <v>401</v>
      </c>
      <c r="D31" s="24" t="s">
        <v>344</v>
      </c>
      <c r="E31" s="24" t="s">
        <v>402</v>
      </c>
      <c r="F31" s="30" t="s">
        <v>403</v>
      </c>
      <c r="G31" s="23"/>
      <c r="H31" s="31" t="s">
        <v>347</v>
      </c>
      <c r="I31" s="24" t="s">
        <v>271</v>
      </c>
      <c r="J31" s="26">
        <v>0.12</v>
      </c>
      <c r="K31" s="24" t="s">
        <v>143</v>
      </c>
      <c r="L31" s="21">
        <v>500000</v>
      </c>
      <c r="M31" s="21">
        <v>1800000</v>
      </c>
      <c r="N31" s="21">
        <v>5000000</v>
      </c>
      <c r="P31" s="32" t="str">
        <f>IFERROR(INDEX(tblDistribuciones[AYUDA],MATCH(tblRiesgos[[#This Row],[DIST_COSTO]],tblDistribuciones[DISTRIBUCION],0)),"")</f>
        <v>P1=Mínimo · P2=Moda (más probable) · P3=Máximo</v>
      </c>
      <c r="Q31" s="24" t="s">
        <v>130</v>
      </c>
      <c r="R31" s="22">
        <v>15</v>
      </c>
      <c r="S31" s="22">
        <v>45</v>
      </c>
      <c r="T31" s="22">
        <v>120</v>
      </c>
      <c r="V31" s="32" t="str">
        <f>IFERROR(INDEX(tblDistribuciones[AYUDA],MATCH(tblRiesgos[[#This Row],[DIST_PLAZO]],tblDistribuciones[DISTRIBUCION],0)),"")</f>
        <v>P1=Mínimo · P2=Moda (más probable) · P3=Máximo</v>
      </c>
      <c r="W31" s="24" t="s">
        <v>130</v>
      </c>
      <c r="X31" s="21">
        <v>200</v>
      </c>
      <c r="Y31" s="21">
        <v>500</v>
      </c>
      <c r="Z31" s="21">
        <v>1200</v>
      </c>
      <c r="AB31" s="32" t="str">
        <f>IFERROR(INDEX(tblDistribuciones[AYUDA],MATCH(tblRiesgos[[#This Row],[DIST_ING_DISENO]],tblDistribuciones[DISTRIBUCION],0)),"")</f>
        <v>P1=Mínimo · P2=Moda (más probable) · P3=Máximo</v>
      </c>
      <c r="AH31" s="32">
        <f>IFERROR(INDEX(tblDistribuciones[AYUDA],MATCH(tblRiesgos[[#This Row],[DIST_ING_CAMPO]],tblDistribuciones[DISTRIBUCION],0)),"")</f>
        <v/>
      </c>
      <c r="AI31" s="24"/>
      <c r="AJ31" s="33"/>
      <c r="AO31" s="30" t="s">
        <v>379</v>
      </c>
    </row>
    <row r="32" spans="2:41" ht="45" customHeight="1">
      <c r="B32" s="24" t="s">
        <v>404</v>
      </c>
      <c r="C32" s="30" t="s">
        <v>405</v>
      </c>
      <c r="D32" s="24" t="s">
        <v>344</v>
      </c>
      <c r="E32" s="24" t="s">
        <v>345</v>
      </c>
      <c r="F32" s="30"/>
      <c r="G32" s="23"/>
      <c r="H32" s="31" t="s">
        <v>347</v>
      </c>
      <c r="I32" s="24" t="s">
        <v>271</v>
      </c>
      <c r="J32" s="26">
        <v>0.4</v>
      </c>
      <c r="K32" s="24" t="s">
        <v>143</v>
      </c>
      <c r="L32" s="21">
        <v>300000</v>
      </c>
      <c r="M32" s="21">
        <v>900000</v>
      </c>
      <c r="N32" s="21">
        <v>2000000</v>
      </c>
      <c r="P32" s="32" t="str">
        <f>IFERROR(INDEX(tblDistribuciones[AYUDA],MATCH(tblRiesgos[[#This Row],[DIST_COSTO]],tblDistribuciones[DISTRIBUCION],0)),"")</f>
        <v>P1=Mínimo · P2=Moda (más probable) · P3=Máximo</v>
      </c>
      <c r="V32" s="32">
        <f>IFERROR(INDEX(tblDistribuciones[AYUDA],MATCH(tblRiesgos[[#This Row],[DIST_PLAZO]],tblDistribuciones[DISTRIBUCION],0)),"")</f>
        <v/>
      </c>
      <c r="AB32" s="32">
        <f>IFERROR(INDEX(tblDistribuciones[AYUDA],MATCH(tblRiesgos[[#This Row],[DIST_ING_DISENO]],tblDistribuciones[DISTRIBUCION],0)),"")</f>
        <v/>
      </c>
      <c r="AH32" s="32">
        <f>IFERROR(INDEX(tblDistribuciones[AYUDA],MATCH(tblRiesgos[[#This Row],[DIST_ING_CAMPO]],tblDistribuciones[DISTRIBUCION],0)),"")</f>
        <v/>
      </c>
      <c r="AI32" s="24" t="s">
        <v>345</v>
      </c>
      <c r="AJ32" s="33">
        <v>0.5</v>
      </c>
      <c r="AO32" s="30" t="s">
        <v>406</v>
      </c>
    </row>
    <row r="33" spans="2:41" ht="45" customHeight="1">
      <c r="B33" s="24" t="s">
        <v>407</v>
      </c>
      <c r="C33" s="30" t="s">
        <v>408</v>
      </c>
      <c r="D33" s="24" t="s">
        <v>344</v>
      </c>
      <c r="E33" s="24" t="s">
        <v>345</v>
      </c>
      <c r="F33" s="30"/>
      <c r="G33" s="23"/>
      <c r="H33" s="31" t="s">
        <v>347</v>
      </c>
      <c r="I33" s="24" t="s">
        <v>271</v>
      </c>
      <c r="J33" s="26">
        <v>0.45</v>
      </c>
      <c r="K33" s="24" t="s">
        <v>143</v>
      </c>
      <c r="L33" s="21">
        <v>400000</v>
      </c>
      <c r="M33" s="21">
        <v>1200000</v>
      </c>
      <c r="N33" s="21">
        <v>2800000</v>
      </c>
      <c r="P33" s="32" t="str">
        <f>IFERROR(INDEX(tblDistribuciones[AYUDA],MATCH(tblRiesgos[[#This Row],[DIST_COSTO]],tblDistribuciones[DISTRIBUCION],0)),"")</f>
        <v>P1=Mínimo · P2=Moda (más probable) · P3=Máximo</v>
      </c>
      <c r="V33" s="32">
        <f>IFERROR(INDEX(tblDistribuciones[AYUDA],MATCH(tblRiesgos[[#This Row],[DIST_PLAZO]],tblDistribuciones[DISTRIBUCION],0)),"")</f>
        <v/>
      </c>
      <c r="AB33" s="32">
        <f>IFERROR(INDEX(tblDistribuciones[AYUDA],MATCH(tblRiesgos[[#This Row],[DIST_ING_DISENO]],tblDistribuciones[DISTRIBUCION],0)),"")</f>
        <v/>
      </c>
      <c r="AH33" s="32">
        <f>IFERROR(INDEX(tblDistribuciones[AYUDA],MATCH(tblRiesgos[[#This Row],[DIST_ING_CAMPO]],tblDistribuciones[DISTRIBUCION],0)),"")</f>
        <v/>
      </c>
      <c r="AI33" s="24" t="s">
        <v>345</v>
      </c>
      <c r="AJ33" s="33">
        <v>0.5</v>
      </c>
      <c r="AO33" s="30" t="s">
        <v>406</v>
      </c>
    </row>
    <row r="34" spans="2:41" ht="45" customHeight="1">
      <c r="B34" s="24" t="s">
        <v>409</v>
      </c>
      <c r="C34" s="30" t="s">
        <v>410</v>
      </c>
      <c r="D34" s="24" t="s">
        <v>344</v>
      </c>
      <c r="E34" s="24" t="s">
        <v>345</v>
      </c>
      <c r="F34" s="30"/>
      <c r="G34" s="23"/>
      <c r="H34" s="31" t="s">
        <v>347</v>
      </c>
      <c r="I34" s="24" t="s">
        <v>271</v>
      </c>
      <c r="J34" s="26">
        <v>0.4</v>
      </c>
      <c r="K34" s="24" t="s">
        <v>143</v>
      </c>
      <c r="L34" s="21">
        <v>200000</v>
      </c>
      <c r="M34" s="21">
        <v>500000</v>
      </c>
      <c r="N34" s="21">
        <v>1200000</v>
      </c>
      <c r="P34" s="32" t="str">
        <f>IFERROR(INDEX(tblDistribuciones[AYUDA],MATCH(tblRiesgos[[#This Row],[DIST_COSTO]],tblDistribuciones[DISTRIBUCION],0)),"")</f>
        <v>P1=Mínimo · P2=Moda (más probable) · P3=Máximo</v>
      </c>
      <c r="V34" s="32">
        <f>IFERROR(INDEX(tblDistribuciones[AYUDA],MATCH(tblRiesgos[[#This Row],[DIST_PLAZO]],tblDistribuciones[DISTRIBUCION],0)),"")</f>
        <v/>
      </c>
      <c r="AB34" s="32">
        <f>IFERROR(INDEX(tblDistribuciones[AYUDA],MATCH(tblRiesgos[[#This Row],[DIST_ING_DISENO]],tblDistribuciones[DISTRIBUCION],0)),"")</f>
        <v/>
      </c>
      <c r="AH34" s="32">
        <f>IFERROR(INDEX(tblDistribuciones[AYUDA],MATCH(tblRiesgos[[#This Row],[DIST_ING_CAMPO]],tblDistribuciones[DISTRIBUCION],0)),"")</f>
        <v/>
      </c>
      <c r="AI34" s="24" t="s">
        <v>345</v>
      </c>
      <c r="AJ34" s="33">
        <v>0.5</v>
      </c>
      <c r="AO34" s="30" t="s">
        <v>406</v>
      </c>
    </row>
    <row r="35" spans="2:41" ht="45" customHeight="1">
      <c r="B35" s="24" t="s">
        <v>411</v>
      </c>
      <c r="C35" s="30" t="s">
        <v>412</v>
      </c>
      <c r="D35" s="24" t="s">
        <v>344</v>
      </c>
      <c r="E35" s="24" t="s">
        <v>345</v>
      </c>
      <c r="F35" s="30"/>
      <c r="G35" s="23"/>
      <c r="H35" s="31" t="s">
        <v>347</v>
      </c>
      <c r="I35" s="24" t="s">
        <v>271</v>
      </c>
      <c r="J35" s="26">
        <v>0.35</v>
      </c>
      <c r="K35" s="24" t="s">
        <v>143</v>
      </c>
      <c r="L35" s="21">
        <v>800000</v>
      </c>
      <c r="M35" s="21">
        <v>2500000</v>
      </c>
      <c r="N35" s="21">
        <v>6000000</v>
      </c>
      <c r="P35" s="32" t="str">
        <f>IFERROR(INDEX(tblDistribuciones[AYUDA],MATCH(tblRiesgos[[#This Row],[DIST_COSTO]],tblDistribuciones[DISTRIBUCION],0)),"")</f>
        <v>P1=Mínimo · P2=Moda (más probable) · P3=Máximo</v>
      </c>
      <c r="V35" s="32">
        <f>IFERROR(INDEX(tblDistribuciones[AYUDA],MATCH(tblRiesgos[[#This Row],[DIST_PLAZO]],tblDistribuciones[DISTRIBUCION],0)),"")</f>
        <v/>
      </c>
      <c r="AB35" s="32">
        <f>IFERROR(INDEX(tblDistribuciones[AYUDA],MATCH(tblRiesgos[[#This Row],[DIST_ING_DISENO]],tblDistribuciones[DISTRIBUCION],0)),"")</f>
        <v/>
      </c>
      <c r="AH35" s="32">
        <f>IFERROR(INDEX(tblDistribuciones[AYUDA],MATCH(tblRiesgos[[#This Row],[DIST_ING_CAMPO]],tblDistribuciones[DISTRIBUCION],0)),"")</f>
        <v/>
      </c>
      <c r="AI35" s="24" t="s">
        <v>413</v>
      </c>
      <c r="AJ35" s="33">
        <v>0.6</v>
      </c>
      <c r="AO35" s="30" t="s">
        <v>406</v>
      </c>
    </row>
    <row r="36" spans="2:41" ht="45" customHeight="1">
      <c r="B36" s="24" t="s">
        <v>414</v>
      </c>
      <c r="C36" s="30" t="s">
        <v>415</v>
      </c>
      <c r="D36" s="24" t="s">
        <v>344</v>
      </c>
      <c r="E36" s="24" t="s">
        <v>395</v>
      </c>
      <c r="F36" s="30"/>
      <c r="G36" s="23"/>
      <c r="H36" s="31" t="s">
        <v>347</v>
      </c>
      <c r="I36" s="24" t="s">
        <v>271</v>
      </c>
      <c r="J36" s="26">
        <v>0.55</v>
      </c>
      <c r="K36" s="24" t="s">
        <v>143</v>
      </c>
      <c r="L36" s="21">
        <v>500000</v>
      </c>
      <c r="M36" s="21">
        <v>1500000</v>
      </c>
      <c r="N36" s="21">
        <v>3500000</v>
      </c>
      <c r="P36" s="32" t="str">
        <f>IFERROR(INDEX(tblDistribuciones[AYUDA],MATCH(tblRiesgos[[#This Row],[DIST_COSTO]],tblDistribuciones[DISTRIBUCION],0)),"")</f>
        <v>P1=Mínimo · P2=Moda (más probable) · P3=Máximo</v>
      </c>
      <c r="Q36" s="24" t="s">
        <v>130</v>
      </c>
      <c r="R36" s="22">
        <v>5</v>
      </c>
      <c r="S36" s="22">
        <v>12</v>
      </c>
      <c r="T36" s="22">
        <v>30</v>
      </c>
      <c r="V36" s="32" t="str">
        <f>IFERROR(INDEX(tblDistribuciones[AYUDA],MATCH(tblRiesgos[[#This Row],[DIST_PLAZO]],tblDistribuciones[DISTRIBUCION],0)),"")</f>
        <v>P1=Mínimo · P2=Moda (más probable) · P3=Máximo</v>
      </c>
      <c r="W36" s="24" t="s">
        <v>143</v>
      </c>
      <c r="X36" s="21">
        <v>400</v>
      </c>
      <c r="Y36" s="21">
        <v>1000</v>
      </c>
      <c r="Z36" s="21">
        <v>2500</v>
      </c>
      <c r="AB36" s="32" t="str">
        <f>IFERROR(INDEX(tblDistribuciones[AYUDA],MATCH(tblRiesgos[[#This Row],[DIST_ING_DISENO]],tblDistribuciones[DISTRIBUCION],0)),"")</f>
        <v>P1=Mínimo · P2=Moda (más probable) · P3=Máximo</v>
      </c>
      <c r="AH36" s="32">
        <f>IFERROR(INDEX(tblDistribuciones[AYUDA],MATCH(tblRiesgos[[#This Row],[DIST_ING_CAMPO]],tblDistribuciones[DISTRIBUCION],0)),"")</f>
        <v/>
      </c>
      <c r="AI36" s="24" t="s">
        <v>395</v>
      </c>
      <c r="AJ36" s="33">
        <v>0.5</v>
      </c>
      <c r="AO36" s="30" t="s">
        <v>357</v>
      </c>
    </row>
    <row r="37" spans="2:41" ht="45" customHeight="1">
      <c r="B37" s="24" t="s">
        <v>416</v>
      </c>
      <c r="C37" s="30" t="s">
        <v>417</v>
      </c>
      <c r="D37" s="24" t="s">
        <v>344</v>
      </c>
      <c r="E37" s="24" t="s">
        <v>395</v>
      </c>
      <c r="F37" s="30"/>
      <c r="G37" s="23"/>
      <c r="H37" s="31" t="s">
        <v>347</v>
      </c>
      <c r="I37" s="24" t="s">
        <v>271</v>
      </c>
      <c r="J37" s="26">
        <v>0.45</v>
      </c>
      <c r="K37" s="24" t="s">
        <v>143</v>
      </c>
      <c r="L37" s="21">
        <v>300000</v>
      </c>
      <c r="M37" s="21">
        <v>900000</v>
      </c>
      <c r="N37" s="21">
        <v>2200000</v>
      </c>
      <c r="P37" s="32" t="str">
        <f>IFERROR(INDEX(tblDistribuciones[AYUDA],MATCH(tblRiesgos[[#This Row],[DIST_COSTO]],tblDistribuciones[DISTRIBUCION],0)),"")</f>
        <v>P1=Mínimo · P2=Moda (más probable) · P3=Máximo</v>
      </c>
      <c r="V37" s="32">
        <f>IFERROR(INDEX(tblDistribuciones[AYUDA],MATCH(tblRiesgos[[#This Row],[DIST_PLAZO]],tblDistribuciones[DISTRIBUCION],0)),"")</f>
        <v/>
      </c>
      <c r="W37" s="24" t="s">
        <v>143</v>
      </c>
      <c r="X37" s="21">
        <v>300</v>
      </c>
      <c r="Y37" s="21">
        <v>700</v>
      </c>
      <c r="Z37" s="21">
        <v>1800</v>
      </c>
      <c r="AB37" s="32" t="str">
        <f>IFERROR(INDEX(tblDistribuciones[AYUDA],MATCH(tblRiesgos[[#This Row],[DIST_ING_DISENO]],tblDistribuciones[DISTRIBUCION],0)),"")</f>
        <v>P1=Mínimo · P2=Moda (más probable) · P3=Máximo</v>
      </c>
      <c r="AH37" s="32">
        <f>IFERROR(INDEX(tblDistribuciones[AYUDA],MATCH(tblRiesgos[[#This Row],[DIST_ING_CAMPO]],tblDistribuciones[DISTRIBUCION],0)),"")</f>
        <v/>
      </c>
      <c r="AI37" s="24" t="s">
        <v>395</v>
      </c>
      <c r="AJ37" s="33">
        <v>0.5</v>
      </c>
      <c r="AO37" s="30" t="s">
        <v>348</v>
      </c>
    </row>
    <row r="38" spans="2:41" ht="45" customHeight="1">
      <c r="B38" s="24" t="s">
        <v>418</v>
      </c>
      <c r="C38" s="30" t="s">
        <v>419</v>
      </c>
      <c r="D38" s="24" t="s">
        <v>344</v>
      </c>
      <c r="E38" s="24" t="s">
        <v>395</v>
      </c>
      <c r="F38" s="30"/>
      <c r="G38" s="23"/>
      <c r="H38" s="31" t="s">
        <v>347</v>
      </c>
      <c r="I38" s="24" t="s">
        <v>271</v>
      </c>
      <c r="J38" s="26">
        <v>0.4</v>
      </c>
      <c r="K38" s="24" t="s">
        <v>143</v>
      </c>
      <c r="L38" s="21">
        <v>200000</v>
      </c>
      <c r="M38" s="21">
        <v>600000</v>
      </c>
      <c r="N38" s="21">
        <v>1500000</v>
      </c>
      <c r="P38" s="32" t="str">
        <f>IFERROR(INDEX(tblDistribuciones[AYUDA],MATCH(tblRiesgos[[#This Row],[DIST_COSTO]],tblDistribuciones[DISTRIBUCION],0)),"")</f>
        <v>P1=Mínimo · P2=Moda (más probable) · P3=Máximo</v>
      </c>
      <c r="V38" s="32">
        <f>IFERROR(INDEX(tblDistribuciones[AYUDA],MATCH(tblRiesgos[[#This Row],[DIST_PLAZO]],tblDistribuciones[DISTRIBUCION],0)),"")</f>
        <v/>
      </c>
      <c r="W38" s="24" t="s">
        <v>143</v>
      </c>
      <c r="X38" s="21">
        <v>200</v>
      </c>
      <c r="Y38" s="21">
        <v>500</v>
      </c>
      <c r="Z38" s="21">
        <v>1200</v>
      </c>
      <c r="AB38" s="32" t="str">
        <f>IFERROR(INDEX(tblDistribuciones[AYUDA],MATCH(tblRiesgos[[#This Row],[DIST_ING_DISENO]],tblDistribuciones[DISTRIBUCION],0)),"")</f>
        <v>P1=Mínimo · P2=Moda (más probable) · P3=Máximo</v>
      </c>
      <c r="AH38" s="32">
        <f>IFERROR(INDEX(tblDistribuciones[AYUDA],MATCH(tblRiesgos[[#This Row],[DIST_ING_CAMPO]],tblDistribuciones[DISTRIBUCION],0)),"")</f>
        <v/>
      </c>
      <c r="AI38" s="24" t="s">
        <v>395</v>
      </c>
      <c r="AJ38" s="33">
        <v>0.5</v>
      </c>
      <c r="AO38" s="30" t="s">
        <v>348</v>
      </c>
    </row>
    <row r="39" spans="2:41" ht="45" customHeight="1">
      <c r="B39" s="24" t="s">
        <v>420</v>
      </c>
      <c r="C39" s="30" t="s">
        <v>421</v>
      </c>
      <c r="D39" s="24" t="s">
        <v>344</v>
      </c>
      <c r="E39" s="24" t="s">
        <v>360</v>
      </c>
      <c r="F39" s="30"/>
      <c r="G39" s="23"/>
      <c r="H39" s="31" t="s">
        <v>347</v>
      </c>
      <c r="I39" s="24" t="s">
        <v>271</v>
      </c>
      <c r="J39" s="26">
        <v>0.9</v>
      </c>
      <c r="K39" s="24" t="s">
        <v>130</v>
      </c>
      <c r="L39" s="21">
        <v>300000</v>
      </c>
      <c r="M39" s="21">
        <v>500000</v>
      </c>
      <c r="N39" s="21">
        <v>800000</v>
      </c>
      <c r="P39" s="32" t="str">
        <f>IFERROR(INDEX(tblDistribuciones[AYUDA],MATCH(tblRiesgos[[#This Row],[DIST_COSTO]],tblDistribuciones[DISTRIBUCION],0)),"")</f>
        <v>P1=Mínimo · P2=Moda (más probable) · P3=Máximo</v>
      </c>
      <c r="V39" s="32">
        <f>IFERROR(INDEX(tblDistribuciones[AYUDA],MATCH(tblRiesgos[[#This Row],[DIST_PLAZO]],tblDistribuciones[DISTRIBUCION],0)),"")</f>
        <v/>
      </c>
      <c r="AB39" s="32">
        <f>IFERROR(INDEX(tblDistribuciones[AYUDA],MATCH(tblRiesgos[[#This Row],[DIST_ING_DISENO]],tblDistribuciones[DISTRIBUCION],0)),"")</f>
        <v/>
      </c>
      <c r="AH39" s="32">
        <f>IFERROR(INDEX(tblDistribuciones[AYUDA],MATCH(tblRiesgos[[#This Row],[DIST_ING_CAMPO]],tblDistribuciones[DISTRIBUCION],0)),"")</f>
        <v/>
      </c>
      <c r="AI39" s="24"/>
      <c r="AJ39" s="33"/>
      <c r="AO39" s="30" t="s">
        <v>422</v>
      </c>
    </row>
    <row r="40" spans="2:41" ht="45" customHeight="1">
      <c r="B40" s="24" t="s">
        <v>423</v>
      </c>
      <c r="C40" s="30" t="s">
        <v>424</v>
      </c>
      <c r="D40" s="24" t="s">
        <v>344</v>
      </c>
      <c r="E40" s="24" t="s">
        <v>360</v>
      </c>
      <c r="F40" s="30"/>
      <c r="G40" s="23"/>
      <c r="H40" s="31" t="s">
        <v>347</v>
      </c>
      <c r="I40" s="24" t="s">
        <v>271</v>
      </c>
      <c r="J40" s="26">
        <v>0.5</v>
      </c>
      <c r="K40" s="24" t="s">
        <v>143</v>
      </c>
      <c r="L40" s="21">
        <v>200000</v>
      </c>
      <c r="M40" s="21">
        <v>600000</v>
      </c>
      <c r="N40" s="21">
        <v>1400000</v>
      </c>
      <c r="P40" s="32" t="str">
        <f>IFERROR(INDEX(tblDistribuciones[AYUDA],MATCH(tblRiesgos[[#This Row],[DIST_COSTO]],tblDistribuciones[DISTRIBUCION],0)),"")</f>
        <v>P1=Mínimo · P2=Moda (más probable) · P3=Máximo</v>
      </c>
      <c r="V40" s="32">
        <f>IFERROR(INDEX(tblDistribuciones[AYUDA],MATCH(tblRiesgos[[#This Row],[DIST_PLAZO]],tblDistribuciones[DISTRIBUCION],0)),"")</f>
        <v/>
      </c>
      <c r="AB40" s="32">
        <f>IFERROR(INDEX(tblDistribuciones[AYUDA],MATCH(tblRiesgos[[#This Row],[DIST_ING_DISENO]],tblDistribuciones[DISTRIBUCION],0)),"")</f>
        <v/>
      </c>
      <c r="AH40" s="32">
        <f>IFERROR(INDEX(tblDistribuciones[AYUDA],MATCH(tblRiesgos[[#This Row],[DIST_ING_CAMPO]],tblDistribuciones[DISTRIBUCION],0)),"")</f>
        <v/>
      </c>
      <c r="AI40" s="24"/>
      <c r="AJ40" s="33"/>
      <c r="AO40" s="30" t="s">
        <v>348</v>
      </c>
    </row>
    <row r="41" spans="2:41" ht="45" customHeight="1">
      <c r="B41" s="24" t="s">
        <v>425</v>
      </c>
      <c r="C41" s="30" t="s">
        <v>426</v>
      </c>
      <c r="D41" s="24" t="s">
        <v>344</v>
      </c>
      <c r="E41" s="24" t="s">
        <v>360</v>
      </c>
      <c r="F41" s="30"/>
      <c r="G41" s="23"/>
      <c r="H41" s="31" t="s">
        <v>347</v>
      </c>
      <c r="I41" s="24" t="s">
        <v>271</v>
      </c>
      <c r="J41" s="26">
        <v>0.4</v>
      </c>
      <c r="K41" s="24" t="s">
        <v>143</v>
      </c>
      <c r="L41" s="21">
        <v>1000000</v>
      </c>
      <c r="M41" s="21">
        <v>3000000</v>
      </c>
      <c r="N41" s="21">
        <v>7000000</v>
      </c>
      <c r="P41" s="32" t="str">
        <f>IFERROR(INDEX(tblDistribuciones[AYUDA],MATCH(tblRiesgos[[#This Row],[DIST_COSTO]],tblDistribuciones[DISTRIBUCION],0)),"")</f>
        <v>P1=Mínimo · P2=Moda (más probable) · P3=Máximo</v>
      </c>
      <c r="V41" s="32">
        <f>IFERROR(INDEX(tblDistribuciones[AYUDA],MATCH(tblRiesgos[[#This Row],[DIST_PLAZO]],tblDistribuciones[DISTRIBUCION],0)),"")</f>
        <v/>
      </c>
      <c r="AB41" s="32">
        <f>IFERROR(INDEX(tblDistribuciones[AYUDA],MATCH(tblRiesgos[[#This Row],[DIST_ING_DISENO]],tblDistribuciones[DISTRIBUCION],0)),"")</f>
        <v/>
      </c>
      <c r="AH41" s="32">
        <f>IFERROR(INDEX(tblDistribuciones[AYUDA],MATCH(tblRiesgos[[#This Row],[DIST_ING_CAMPO]],tblDistribuciones[DISTRIBUCION],0)),"")</f>
        <v/>
      </c>
      <c r="AI41" s="24" t="s">
        <v>413</v>
      </c>
      <c r="AJ41" s="33">
        <v>0.6</v>
      </c>
      <c r="AO41" s="30" t="s">
        <v>348</v>
      </c>
    </row>
    <row r="42" spans="2:41" ht="45" customHeight="1">
      <c r="B42" s="24" t="s">
        <v>427</v>
      </c>
      <c r="C42" s="30" t="s">
        <v>428</v>
      </c>
      <c r="D42" s="24" t="s">
        <v>344</v>
      </c>
      <c r="E42" s="24" t="s">
        <v>360</v>
      </c>
      <c r="F42" s="30"/>
      <c r="G42" s="23"/>
      <c r="H42" s="31" t="s">
        <v>347</v>
      </c>
      <c r="I42" s="24" t="s">
        <v>271</v>
      </c>
      <c r="J42" s="26">
        <v>0.4</v>
      </c>
      <c r="K42" s="24" t="s">
        <v>143</v>
      </c>
      <c r="L42" s="21">
        <v>400000</v>
      </c>
      <c r="M42" s="21">
        <v>1200000</v>
      </c>
      <c r="N42" s="21">
        <v>3000000</v>
      </c>
      <c r="P42" s="32" t="str">
        <f>IFERROR(INDEX(tblDistribuciones[AYUDA],MATCH(tblRiesgos[[#This Row],[DIST_COSTO]],tblDistribuciones[DISTRIBUCION],0)),"")</f>
        <v>P1=Mínimo · P2=Moda (más probable) · P3=Máximo</v>
      </c>
      <c r="V42" s="32">
        <f>IFERROR(INDEX(tblDistribuciones[AYUDA],MATCH(tblRiesgos[[#This Row],[DIST_PLAZO]],tblDistribuciones[DISTRIBUCION],0)),"")</f>
        <v/>
      </c>
      <c r="AB42" s="32">
        <f>IFERROR(INDEX(tblDistribuciones[AYUDA],MATCH(tblRiesgos[[#This Row],[DIST_ING_DISENO]],tblDistribuciones[DISTRIBUCION],0)),"")</f>
        <v/>
      </c>
      <c r="AH42" s="32">
        <f>IFERROR(INDEX(tblDistribuciones[AYUDA],MATCH(tblRiesgos[[#This Row],[DIST_ING_CAMPO]],tblDistribuciones[DISTRIBUCION],0)),"")</f>
        <v/>
      </c>
      <c r="AI42" s="24" t="s">
        <v>413</v>
      </c>
      <c r="AJ42" s="33">
        <v>0.6</v>
      </c>
      <c r="AO42" s="30" t="s">
        <v>348</v>
      </c>
    </row>
    <row r="43" spans="2:41" ht="45" customHeight="1">
      <c r="B43" s="24" t="s">
        <v>429</v>
      </c>
      <c r="C43" s="30" t="s">
        <v>430</v>
      </c>
      <c r="D43" s="24" t="s">
        <v>344</v>
      </c>
      <c r="E43" s="24" t="s">
        <v>354</v>
      </c>
      <c r="F43" s="30"/>
      <c r="G43" s="23"/>
      <c r="H43" s="31" t="s">
        <v>347</v>
      </c>
      <c r="I43" s="24" t="s">
        <v>271</v>
      </c>
      <c r="J43" s="26">
        <v>0.5</v>
      </c>
      <c r="K43" s="24" t="s">
        <v>143</v>
      </c>
      <c r="L43" s="21">
        <v>300000</v>
      </c>
      <c r="M43" s="21">
        <v>800000</v>
      </c>
      <c r="N43" s="21">
        <v>1800000</v>
      </c>
      <c r="P43" s="32" t="str">
        <f>IFERROR(INDEX(tblDistribuciones[AYUDA],MATCH(tblRiesgos[[#This Row],[DIST_COSTO]],tblDistribuciones[DISTRIBUCION],0)),"")</f>
        <v>P1=Mínimo · P2=Moda (más probable) · P3=Máximo</v>
      </c>
      <c r="V43" s="32">
        <f>IFERROR(INDEX(tblDistribuciones[AYUDA],MATCH(tblRiesgos[[#This Row],[DIST_PLAZO]],tblDistribuciones[DISTRIBUCION],0)),"")</f>
        <v/>
      </c>
      <c r="AB43" s="32">
        <f>IFERROR(INDEX(tblDistribuciones[AYUDA],MATCH(tblRiesgos[[#This Row],[DIST_ING_DISENO]],tblDistribuciones[DISTRIBUCION],0)),"")</f>
        <v/>
      </c>
      <c r="AH43" s="32">
        <f>IFERROR(INDEX(tblDistribuciones[AYUDA],MATCH(tblRiesgos[[#This Row],[DIST_ING_CAMPO]],tblDistribuciones[DISTRIBUCION],0)),"")</f>
        <v/>
      </c>
      <c r="AI43" s="24" t="s">
        <v>356</v>
      </c>
      <c r="AJ43" s="33">
        <v>0.4</v>
      </c>
      <c r="AO43" s="30" t="s">
        <v>348</v>
      </c>
    </row>
    <row r="44" spans="2:41" ht="45" customHeight="1">
      <c r="B44" s="24" t="s">
        <v>431</v>
      </c>
      <c r="C44" s="30" t="s">
        <v>432</v>
      </c>
      <c r="D44" s="24" t="s">
        <v>344</v>
      </c>
      <c r="E44" s="24" t="s">
        <v>354</v>
      </c>
      <c r="F44" s="30"/>
      <c r="G44" s="23"/>
      <c r="H44" s="31" t="s">
        <v>347</v>
      </c>
      <c r="I44" s="24" t="s">
        <v>271</v>
      </c>
      <c r="J44" s="26">
        <v>0.45</v>
      </c>
      <c r="K44" s="24" t="s">
        <v>143</v>
      </c>
      <c r="L44" s="21">
        <v>200000</v>
      </c>
      <c r="M44" s="21">
        <v>500000</v>
      </c>
      <c r="N44" s="21">
        <v>1200000</v>
      </c>
      <c r="P44" s="32" t="str">
        <f>IFERROR(INDEX(tblDistribuciones[AYUDA],MATCH(tblRiesgos[[#This Row],[DIST_COSTO]],tblDistribuciones[DISTRIBUCION],0)),"")</f>
        <v>P1=Mínimo · P2=Moda (más probable) · P3=Máximo</v>
      </c>
      <c r="V44" s="32">
        <f>IFERROR(INDEX(tblDistribuciones[AYUDA],MATCH(tblRiesgos[[#This Row],[DIST_PLAZO]],tblDistribuciones[DISTRIBUCION],0)),"")</f>
        <v/>
      </c>
      <c r="AB44" s="32">
        <f>IFERROR(INDEX(tblDistribuciones[AYUDA],MATCH(tblRiesgos[[#This Row],[DIST_ING_DISENO]],tblDistribuciones[DISTRIBUCION],0)),"")</f>
        <v/>
      </c>
      <c r="AH44" s="32">
        <f>IFERROR(INDEX(tblDistribuciones[AYUDA],MATCH(tblRiesgos[[#This Row],[DIST_ING_CAMPO]],tblDistribuciones[DISTRIBUCION],0)),"")</f>
        <v/>
      </c>
      <c r="AI44" s="24" t="s">
        <v>356</v>
      </c>
      <c r="AJ44" s="33">
        <v>0.4</v>
      </c>
      <c r="AO44" s="30" t="s">
        <v>348</v>
      </c>
    </row>
    <row r="45" spans="2:41" ht="45" customHeight="1">
      <c r="B45" s="24" t="s">
        <v>433</v>
      </c>
      <c r="C45" s="30" t="s">
        <v>434</v>
      </c>
      <c r="D45" s="24" t="s">
        <v>344</v>
      </c>
      <c r="E45" s="24" t="s">
        <v>354</v>
      </c>
      <c r="F45" s="30"/>
      <c r="G45" s="23"/>
      <c r="H45" s="31" t="s">
        <v>347</v>
      </c>
      <c r="I45" s="24" t="s">
        <v>271</v>
      </c>
      <c r="J45" s="26">
        <v>0.4</v>
      </c>
      <c r="K45" s="24" t="s">
        <v>143</v>
      </c>
      <c r="L45" s="21">
        <v>100000</v>
      </c>
      <c r="M45" s="21">
        <v>300000</v>
      </c>
      <c r="N45" s="21">
        <v>700000</v>
      </c>
      <c r="P45" s="32" t="str">
        <f>IFERROR(INDEX(tblDistribuciones[AYUDA],MATCH(tblRiesgos[[#This Row],[DIST_COSTO]],tblDistribuciones[DISTRIBUCION],0)),"")</f>
        <v>P1=Mínimo · P2=Moda (más probable) · P3=Máximo</v>
      </c>
      <c r="V45" s="32">
        <f>IFERROR(INDEX(tblDistribuciones[AYUDA],MATCH(tblRiesgos[[#This Row],[DIST_PLAZO]],tblDistribuciones[DISTRIBUCION],0)),"")</f>
        <v/>
      </c>
      <c r="AB45" s="32">
        <f>IFERROR(INDEX(tblDistribuciones[AYUDA],MATCH(tblRiesgos[[#This Row],[DIST_ING_DISENO]],tblDistribuciones[DISTRIBUCION],0)),"")</f>
        <v/>
      </c>
      <c r="AH45" s="32">
        <f>IFERROR(INDEX(tblDistribuciones[AYUDA],MATCH(tblRiesgos[[#This Row],[DIST_ING_CAMPO]],tblDistribuciones[DISTRIBUCION],0)),"")</f>
        <v/>
      </c>
      <c r="AI45" s="24" t="s">
        <v>356</v>
      </c>
      <c r="AJ45" s="33">
        <v>0.4</v>
      </c>
      <c r="AO45" s="30" t="s">
        <v>348</v>
      </c>
    </row>
    <row r="46" spans="2:41" ht="45" customHeight="1">
      <c r="B46" s="24" t="s">
        <v>435</v>
      </c>
      <c r="C46" s="30" t="s">
        <v>436</v>
      </c>
      <c r="D46" s="24" t="s">
        <v>344</v>
      </c>
      <c r="E46" s="24" t="s">
        <v>354</v>
      </c>
      <c r="F46" s="30"/>
      <c r="G46" s="23"/>
      <c r="H46" s="31" t="s">
        <v>347</v>
      </c>
      <c r="I46" s="24" t="s">
        <v>271</v>
      </c>
      <c r="J46" s="26">
        <v>0.5</v>
      </c>
      <c r="K46" s="24" t="s">
        <v>143</v>
      </c>
      <c r="L46" s="21">
        <v>300000</v>
      </c>
      <c r="M46" s="21">
        <v>900000</v>
      </c>
      <c r="N46" s="21">
        <v>2000000</v>
      </c>
      <c r="P46" s="32" t="str">
        <f>IFERROR(INDEX(tblDistribuciones[AYUDA],MATCH(tblRiesgos[[#This Row],[DIST_COSTO]],tblDistribuciones[DISTRIBUCION],0)),"")</f>
        <v>P1=Mínimo · P2=Moda (más probable) · P3=Máximo</v>
      </c>
      <c r="V46" s="32">
        <f>IFERROR(INDEX(tblDistribuciones[AYUDA],MATCH(tblRiesgos[[#This Row],[DIST_PLAZO]],tblDistribuciones[DISTRIBUCION],0)),"")</f>
        <v/>
      </c>
      <c r="AB46" s="32">
        <f>IFERROR(INDEX(tblDistribuciones[AYUDA],MATCH(tblRiesgos[[#This Row],[DIST_ING_DISENO]],tblDistribuciones[DISTRIBUCION],0)),"")</f>
        <v/>
      </c>
      <c r="AH46" s="32">
        <f>IFERROR(INDEX(tblDistribuciones[AYUDA],MATCH(tblRiesgos[[#This Row],[DIST_ING_CAMPO]],tblDistribuciones[DISTRIBUCION],0)),"")</f>
        <v/>
      </c>
      <c r="AI46" s="24" t="s">
        <v>356</v>
      </c>
      <c r="AJ46" s="33">
        <v>0.4</v>
      </c>
      <c r="AO46" s="30" t="s">
        <v>348</v>
      </c>
    </row>
    <row r="47" spans="2:41" ht="45" customHeight="1">
      <c r="B47" s="24" t="s">
        <v>437</v>
      </c>
      <c r="C47" s="30" t="s">
        <v>438</v>
      </c>
      <c r="D47" s="24" t="s">
        <v>344</v>
      </c>
      <c r="E47" s="24" t="s">
        <v>354</v>
      </c>
      <c r="F47" s="30"/>
      <c r="G47" s="23"/>
      <c r="H47" s="31" t="s">
        <v>347</v>
      </c>
      <c r="I47" s="24" t="s">
        <v>271</v>
      </c>
      <c r="J47" s="26">
        <v>0.5</v>
      </c>
      <c r="K47" s="24" t="s">
        <v>143</v>
      </c>
      <c r="L47" s="21">
        <v>200000</v>
      </c>
      <c r="M47" s="21">
        <v>600000</v>
      </c>
      <c r="N47" s="21">
        <v>1500000</v>
      </c>
      <c r="P47" s="32" t="str">
        <f>IFERROR(INDEX(tblDistribuciones[AYUDA],MATCH(tblRiesgos[[#This Row],[DIST_COSTO]],tblDistribuciones[DISTRIBUCION],0)),"")</f>
        <v>P1=Mínimo · P2=Moda (más probable) · P3=Máximo</v>
      </c>
      <c r="V47" s="32">
        <f>IFERROR(INDEX(tblDistribuciones[AYUDA],MATCH(tblRiesgos[[#This Row],[DIST_PLAZO]],tblDistribuciones[DISTRIBUCION],0)),"")</f>
        <v/>
      </c>
      <c r="AB47" s="32">
        <f>IFERROR(INDEX(tblDistribuciones[AYUDA],MATCH(tblRiesgos[[#This Row],[DIST_ING_DISENO]],tblDistribuciones[DISTRIBUCION],0)),"")</f>
        <v/>
      </c>
      <c r="AH47" s="32">
        <f>IFERROR(INDEX(tblDistribuciones[AYUDA],MATCH(tblRiesgos[[#This Row],[DIST_ING_CAMPO]],tblDistribuciones[DISTRIBUCION],0)),"")</f>
        <v/>
      </c>
      <c r="AI47" s="24" t="s">
        <v>356</v>
      </c>
      <c r="AJ47" s="33">
        <v>0.4</v>
      </c>
      <c r="AO47" s="30" t="s">
        <v>348</v>
      </c>
    </row>
    <row r="48" spans="2:41" ht="45" customHeight="1">
      <c r="B48" s="24" t="s">
        <v>439</v>
      </c>
      <c r="C48" s="30" t="s">
        <v>440</v>
      </c>
      <c r="D48" s="24" t="s">
        <v>344</v>
      </c>
      <c r="E48" s="24" t="s">
        <v>120</v>
      </c>
      <c r="F48" s="30"/>
      <c r="G48" s="23"/>
      <c r="H48" s="24" t="s">
        <v>120</v>
      </c>
      <c r="I48" s="24" t="s">
        <v>277</v>
      </c>
      <c r="J48" s="26">
        <v>1</v>
      </c>
      <c r="P48" s="32">
        <f>IFERROR(INDEX(tblDistribuciones[AYUDA],MATCH(tblRiesgos[[#This Row],[DIST_COSTO]],tblDistribuciones[DISTRIBUCION],0)),"")</f>
        <v/>
      </c>
      <c r="Q48" s="24" t="s">
        <v>130</v>
      </c>
      <c r="R48" s="22">
        <v>7</v>
      </c>
      <c r="S48" s="22">
        <v>14</v>
      </c>
      <c r="T48" s="22">
        <v>28</v>
      </c>
      <c r="V48" s="32" t="str">
        <f>IFERROR(INDEX(tblDistribuciones[AYUDA],MATCH(tblRiesgos[[#This Row],[DIST_PLAZO]],tblDistribuciones[DISTRIBUCION],0)),"")</f>
        <v>P1=Mínimo · P2=Moda (más probable) · P3=Máximo</v>
      </c>
      <c r="AB48" s="32">
        <f>IFERROR(INDEX(tblDistribuciones[AYUDA],MATCH(tblRiesgos[[#This Row],[DIST_ING_DISENO]],tblDistribuciones[DISTRIBUCION],0)),"")</f>
        <v/>
      </c>
      <c r="AH48" s="32">
        <f>IFERROR(INDEX(tblDistribuciones[AYUDA],MATCH(tblRiesgos[[#This Row],[DIST_ING_CAMPO]],tblDistribuciones[DISTRIBUCION],0)),"")</f>
        <v/>
      </c>
      <c r="AI48" s="24"/>
      <c r="AJ48" s="33"/>
      <c r="AO48" s="30" t="s">
        <v>441</v>
      </c>
    </row>
    <row r="49" spans="2:41" ht="45" customHeight="1">
      <c r="B49" s="24" t="s">
        <v>442</v>
      </c>
      <c r="C49" s="30" t="s">
        <v>443</v>
      </c>
      <c r="D49" s="24" t="s">
        <v>344</v>
      </c>
      <c r="E49" s="24" t="s">
        <v>120</v>
      </c>
      <c r="F49" s="30"/>
      <c r="G49" s="23"/>
      <c r="H49" s="24" t="s">
        <v>120</v>
      </c>
      <c r="I49" s="24" t="s">
        <v>277</v>
      </c>
      <c r="J49" s="26">
        <v>1</v>
      </c>
      <c r="K49" s="24" t="s">
        <v>157</v>
      </c>
      <c r="L49" s="21">
        <v>50000</v>
      </c>
      <c r="M49" s="21">
        <v>25000</v>
      </c>
      <c r="P49" s="32" t="str">
        <f>IFERROR(INDEX(tblDistribuciones[AYUDA],MATCH(tblRiesgos[[#This Row],[DIST_COSTO]],tblDistribuciones[DISTRIBUCION],0)),"")</f>
        <v>P1=Media · P2=Desviación estándar</v>
      </c>
      <c r="V49" s="32">
        <f>IFERROR(INDEX(tblDistribuciones[AYUDA],MATCH(tblRiesgos[[#This Row],[DIST_PLAZO]],tblDistribuciones[DISTRIBUCION],0)),"")</f>
        <v/>
      </c>
      <c r="AB49" s="32">
        <f>IFERROR(INDEX(tblDistribuciones[AYUDA],MATCH(tblRiesgos[[#This Row],[DIST_ING_DISENO]],tblDistribuciones[DISTRIBUCION],0)),"")</f>
        <v/>
      </c>
      <c r="AH49" s="32">
        <f>IFERROR(INDEX(tblDistribuciones[AYUDA],MATCH(tblRiesgos[[#This Row],[DIST_ING_CAMPO]],tblDistribuciones[DISTRIBUCION],0)),"")</f>
        <v/>
      </c>
      <c r="AI49" s="24"/>
      <c r="AJ49" s="33"/>
      <c r="AO49" s="30" t="s">
        <v>441</v>
      </c>
    </row>
    <row r="50" spans="2:41" ht="45" customHeight="1">
      <c r="B50" s="24" t="s">
        <v>444</v>
      </c>
      <c r="C50" s="30" t="s">
        <v>445</v>
      </c>
      <c r="D50" s="24" t="s">
        <v>344</v>
      </c>
      <c r="E50" s="24" t="s">
        <v>120</v>
      </c>
      <c r="F50" s="30"/>
      <c r="G50" s="23"/>
      <c r="H50" s="24" t="s">
        <v>120</v>
      </c>
      <c r="I50" s="24" t="s">
        <v>277</v>
      </c>
      <c r="J50" s="26">
        <v>0.35</v>
      </c>
      <c r="K50" s="24" t="s">
        <v>143</v>
      </c>
      <c r="L50" s="21">
        <v>30000</v>
      </c>
      <c r="M50" s="21">
        <v>80000</v>
      </c>
      <c r="N50" s="21">
        <v>200000</v>
      </c>
      <c r="P50" s="32" t="str">
        <f>IFERROR(INDEX(tblDistribuciones[AYUDA],MATCH(tblRiesgos[[#This Row],[DIST_COSTO]],tblDistribuciones[DISTRIBUCION],0)),"")</f>
        <v>P1=Mínimo · P2=Moda (más probable) · P3=Máximo</v>
      </c>
      <c r="Q50" s="24" t="s">
        <v>143</v>
      </c>
      <c r="R50" s="22">
        <v>10</v>
      </c>
      <c r="S50" s="22">
        <v>25</v>
      </c>
      <c r="T50" s="22">
        <v>60</v>
      </c>
      <c r="V50" s="32" t="str">
        <f>IFERROR(INDEX(tblDistribuciones[AYUDA],MATCH(tblRiesgos[[#This Row],[DIST_PLAZO]],tblDistribuciones[DISTRIBUCION],0)),"")</f>
        <v>P1=Mínimo · P2=Moda (más probable) · P3=Máximo</v>
      </c>
      <c r="AB50" s="32">
        <f>IFERROR(INDEX(tblDistribuciones[AYUDA],MATCH(tblRiesgos[[#This Row],[DIST_ING_DISENO]],tblDistribuciones[DISTRIBUCION],0)),"")</f>
        <v/>
      </c>
      <c r="AH50" s="32">
        <f>IFERROR(INDEX(tblDistribuciones[AYUDA],MATCH(tblRiesgos[[#This Row],[DIST_ING_CAMPO]],tblDistribuciones[DISTRIBUCION],0)),"")</f>
        <v/>
      </c>
      <c r="AI50" s="24"/>
      <c r="AJ50" s="33"/>
      <c r="AO50" s="30" t="s">
        <v>441</v>
      </c>
    </row>
    <row r="51" spans="2:41" ht="45" customHeight="1">
      <c r="B51" s="24" t="s">
        <v>446</v>
      </c>
      <c r="C51" s="30" t="s">
        <v>447</v>
      </c>
      <c r="D51" s="24" t="s">
        <v>344</v>
      </c>
      <c r="E51" s="24" t="s">
        <v>120</v>
      </c>
      <c r="F51" s="30"/>
      <c r="G51" s="23"/>
      <c r="H51" s="24" t="s">
        <v>120</v>
      </c>
      <c r="I51" s="24" t="s">
        <v>277</v>
      </c>
      <c r="J51" s="26">
        <v>0.2</v>
      </c>
      <c r="P51" s="32">
        <f>IFERROR(INDEX(tblDistribuciones[AYUDA],MATCH(tblRiesgos[[#This Row],[DIST_COSTO]],tblDistribuciones[DISTRIBUCION],0)),"")</f>
        <v/>
      </c>
      <c r="Q51" s="24" t="s">
        <v>130</v>
      </c>
      <c r="R51" s="22">
        <v>5</v>
      </c>
      <c r="S51" s="22">
        <v>15</v>
      </c>
      <c r="T51" s="22">
        <v>45</v>
      </c>
      <c r="V51" s="32" t="str">
        <f>IFERROR(INDEX(tblDistribuciones[AYUDA],MATCH(tblRiesgos[[#This Row],[DIST_PLAZO]],tblDistribuciones[DISTRIBUCION],0)),"")</f>
        <v>P1=Mínimo · P2=Moda (más probable) · P3=Máximo</v>
      </c>
      <c r="AB51" s="32">
        <f>IFERROR(INDEX(tblDistribuciones[AYUDA],MATCH(tblRiesgos[[#This Row],[DIST_ING_DISENO]],tblDistribuciones[DISTRIBUCION],0)),"")</f>
        <v/>
      </c>
      <c r="AH51" s="32">
        <f>IFERROR(INDEX(tblDistribuciones[AYUDA],MATCH(tblRiesgos[[#This Row],[DIST_ING_CAMPO]],tblDistribuciones[DISTRIBUCION],0)),"")</f>
        <v/>
      </c>
      <c r="AI51" s="24"/>
      <c r="AJ51" s="33"/>
      <c r="AO51" s="30" t="s">
        <v>441</v>
      </c>
    </row>
    <row r="52" spans="2:41" ht="45" customHeight="1">
      <c r="B52" s="24" t="s">
        <v>448</v>
      </c>
      <c r="C52" s="30" t="s">
        <v>449</v>
      </c>
      <c r="D52" s="24" t="s">
        <v>344</v>
      </c>
      <c r="E52" s="24" t="s">
        <v>120</v>
      </c>
      <c r="F52" s="30"/>
      <c r="G52" s="23"/>
      <c r="H52" s="24" t="s">
        <v>120</v>
      </c>
      <c r="I52" s="24" t="s">
        <v>277</v>
      </c>
      <c r="J52" s="26">
        <v>1</v>
      </c>
      <c r="P52" s="32">
        <f>IFERROR(INDEX(tblDistribuciones[AYUDA],MATCH(tblRiesgos[[#This Row],[DIST_COSTO]],tblDistribuciones[DISTRIBUCION],0)),"")</f>
        <v/>
      </c>
      <c r="Q52" s="24" t="s">
        <v>90</v>
      </c>
      <c r="R52" s="22">
        <v>10</v>
      </c>
      <c r="S52" s="22">
        <v>40</v>
      </c>
      <c r="V52" s="32" t="str">
        <f>IFERROR(INDEX(tblDistribuciones[AYUDA],MATCH(tblRiesgos[[#This Row],[DIST_PLAZO]],tblDistribuciones[DISTRIBUCION],0)),"")</f>
        <v>P1=Mínimo · P2=Máximo</v>
      </c>
      <c r="AB52" s="32">
        <f>IFERROR(INDEX(tblDistribuciones[AYUDA],MATCH(tblRiesgos[[#This Row],[DIST_ING_DISENO]],tblDistribuciones[DISTRIBUCION],0)),"")</f>
        <v/>
      </c>
      <c r="AH52" s="32">
        <f>IFERROR(INDEX(tblDistribuciones[AYUDA],MATCH(tblRiesgos[[#This Row],[DIST_ING_CAMPO]],tblDistribuciones[DISTRIBUCION],0)),"")</f>
        <v/>
      </c>
      <c r="AI52" s="24"/>
      <c r="AJ52" s="33"/>
      <c r="AO52" s="30" t="s">
        <v>441</v>
      </c>
    </row>
    <row r="53" spans="2:41">
      <c r="P53" s="32">
        <f>IFERROR(INDEX(tblDistribuciones[AYUDA],MATCH([[#This Row],[DIST_COSTO]],tblDistribuciones[DISTRIBUCION],0)),"")</f>
        <v>0</v>
      </c>
      <c r="V53" s="32">
        <f>IFERROR(INDEX(tblDistribuciones[AYUDA],MATCH([[#This Row],[DIST_PLAZO]],tblDistribuciones[DISTRIBUCION],0)),"")</f>
        <v>0</v>
      </c>
      <c r="AB53" s="32">
        <f>IFERROR(INDEX(tblDistribuciones[AYUDA],MATCH([[#This Row],[DIST_ING_DISENO]],tblDistribuciones[DISTRIBUCION],0)),"")</f>
        <v>0</v>
      </c>
      <c r="AH53" s="32">
        <f>IFERROR(INDEX(tblDistribuciones[AYUDA],MATCH([[#This Row],[DIST_ING_CAMPO]],tblDistribuciones[DISTRIBUCION],0)),"")</f>
        <v>0</v>
      </c>
    </row>
    <row r="54" spans="2:41">
      <c r="P54" s="32">
        <f>IFERROR(INDEX(tblDistribuciones[AYUDA],MATCH([[#This Row],[DIST_COSTO]],tblDistribuciones[DISTRIBUCION],0)),"")</f>
        <v>0</v>
      </c>
      <c r="V54" s="32">
        <f>IFERROR(INDEX(tblDistribuciones[AYUDA],MATCH([[#This Row],[DIST_PLAZO]],tblDistribuciones[DISTRIBUCION],0)),"")</f>
        <v>0</v>
      </c>
      <c r="AB54" s="32">
        <f>IFERROR(INDEX(tblDistribuciones[AYUDA],MATCH([[#This Row],[DIST_ING_DISENO]],tblDistribuciones[DISTRIBUCION],0)),"")</f>
        <v>0</v>
      </c>
      <c r="AH54" s="32">
        <f>IFERROR(INDEX(tblDistribuciones[AYUDA],MATCH([[#This Row],[DIST_ING_CAMPO]],tblDistribuciones[DISTRIBUCION],0)),"")</f>
        <v>0</v>
      </c>
    </row>
    <row r="55" spans="2:41">
      <c r="P55" s="32">
        <f>IFERROR(INDEX(tblDistribuciones[AYUDA],MATCH([[#This Row],[DIST_COSTO]],tblDistribuciones[DISTRIBUCION],0)),"")</f>
        <v>0</v>
      </c>
      <c r="V55" s="32">
        <f>IFERROR(INDEX(tblDistribuciones[AYUDA],MATCH([[#This Row],[DIST_PLAZO]],tblDistribuciones[DISTRIBUCION],0)),"")</f>
        <v>0</v>
      </c>
      <c r="AB55" s="32">
        <f>IFERROR(INDEX(tblDistribuciones[AYUDA],MATCH([[#This Row],[DIST_ING_DISENO]],tblDistribuciones[DISTRIBUCION],0)),"")</f>
        <v>0</v>
      </c>
      <c r="AH55" s="32">
        <f>IFERROR(INDEX(tblDistribuciones[AYUDA],MATCH([[#This Row],[DIST_ING_CAMPO]],tblDistribuciones[DISTRIBUCION],0)),"")</f>
        <v>0</v>
      </c>
    </row>
    <row r="56" spans="2:41">
      <c r="P56" s="32">
        <f>IFERROR(INDEX(tblDistribuciones[AYUDA],MATCH([[#This Row],[DIST_COSTO]],tblDistribuciones[DISTRIBUCION],0)),"")</f>
        <v>0</v>
      </c>
      <c r="V56" s="32">
        <f>IFERROR(INDEX(tblDistribuciones[AYUDA],MATCH([[#This Row],[DIST_PLAZO]],tblDistribuciones[DISTRIBUCION],0)),"")</f>
        <v>0</v>
      </c>
      <c r="AB56" s="32">
        <f>IFERROR(INDEX(tblDistribuciones[AYUDA],MATCH([[#This Row],[DIST_ING_DISENO]],tblDistribuciones[DISTRIBUCION],0)),"")</f>
        <v>0</v>
      </c>
      <c r="AH56" s="32">
        <f>IFERROR(INDEX(tblDistribuciones[AYUDA],MATCH([[#This Row],[DIST_ING_CAMPO]],tblDistribuciones[DISTRIBUCION],0)),"")</f>
        <v>0</v>
      </c>
    </row>
    <row r="57" spans="2:41">
      <c r="P57" s="32">
        <f>IFERROR(INDEX(tblDistribuciones[AYUDA],MATCH([[#This Row],[DIST_COSTO]],tblDistribuciones[DISTRIBUCION],0)),"")</f>
        <v>0</v>
      </c>
      <c r="V57" s="32">
        <f>IFERROR(INDEX(tblDistribuciones[AYUDA],MATCH([[#This Row],[DIST_PLAZO]],tblDistribuciones[DISTRIBUCION],0)),"")</f>
        <v>0</v>
      </c>
      <c r="AB57" s="32">
        <f>IFERROR(INDEX(tblDistribuciones[AYUDA],MATCH([[#This Row],[DIST_ING_DISENO]],tblDistribuciones[DISTRIBUCION],0)),"")</f>
        <v>0</v>
      </c>
      <c r="AH57" s="32">
        <f>IFERROR(INDEX(tblDistribuciones[AYUDA],MATCH([[#This Row],[DIST_ING_CAMPO]],tblDistribuciones[DISTRIBUCION],0)),"")</f>
        <v>0</v>
      </c>
    </row>
    <row r="58" spans="2:41">
      <c r="P58" s="32">
        <f>IFERROR(INDEX(tblDistribuciones[AYUDA],MATCH([[#This Row],[DIST_COSTO]],tblDistribuciones[DISTRIBUCION],0)),"")</f>
        <v>0</v>
      </c>
      <c r="V58" s="32">
        <f>IFERROR(INDEX(tblDistribuciones[AYUDA],MATCH([[#This Row],[DIST_PLAZO]],tblDistribuciones[DISTRIBUCION],0)),"")</f>
        <v>0</v>
      </c>
      <c r="AB58" s="32">
        <f>IFERROR(INDEX(tblDistribuciones[AYUDA],MATCH([[#This Row],[DIST_ING_DISENO]],tblDistribuciones[DISTRIBUCION],0)),"")</f>
        <v>0</v>
      </c>
      <c r="AH58" s="32">
        <f>IFERROR(INDEX(tblDistribuciones[AYUDA],MATCH([[#This Row],[DIST_ING_CAMPO]],tblDistribuciones[DISTRIBUCION],0)),"")</f>
        <v>0</v>
      </c>
    </row>
    <row r="59" spans="2:41">
      <c r="P59" s="32">
        <f>IFERROR(INDEX(tblDistribuciones[AYUDA],MATCH([[#This Row],[DIST_COSTO]],tblDistribuciones[DISTRIBUCION],0)),"")</f>
        <v>0</v>
      </c>
      <c r="V59" s="32">
        <f>IFERROR(INDEX(tblDistribuciones[AYUDA],MATCH([[#This Row],[DIST_PLAZO]],tblDistribuciones[DISTRIBUCION],0)),"")</f>
        <v>0</v>
      </c>
      <c r="AB59" s="32">
        <f>IFERROR(INDEX(tblDistribuciones[AYUDA],MATCH([[#This Row],[DIST_ING_DISENO]],tblDistribuciones[DISTRIBUCION],0)),"")</f>
        <v>0</v>
      </c>
      <c r="AH59" s="32">
        <f>IFERROR(INDEX(tblDistribuciones[AYUDA],MATCH([[#This Row],[DIST_ING_CAMPO]],tblDistribuciones[DISTRIBUCION],0)),"")</f>
        <v>0</v>
      </c>
    </row>
    <row r="60" spans="2:41">
      <c r="P60" s="32">
        <f>IFERROR(INDEX(tblDistribuciones[AYUDA],MATCH([[#This Row],[DIST_COSTO]],tblDistribuciones[DISTRIBUCION],0)),"")</f>
        <v>0</v>
      </c>
      <c r="V60" s="32">
        <f>IFERROR(INDEX(tblDistribuciones[AYUDA],MATCH([[#This Row],[DIST_PLAZO]],tblDistribuciones[DISTRIBUCION],0)),"")</f>
        <v>0</v>
      </c>
      <c r="AB60" s="32">
        <f>IFERROR(INDEX(tblDistribuciones[AYUDA],MATCH([[#This Row],[DIST_ING_DISENO]],tblDistribuciones[DISTRIBUCION],0)),"")</f>
        <v>0</v>
      </c>
      <c r="AH60" s="32">
        <f>IFERROR(INDEX(tblDistribuciones[AYUDA],MATCH([[#This Row],[DIST_ING_CAMPO]],tblDistribuciones[DISTRIBUCION],0)),"")</f>
        <v>0</v>
      </c>
    </row>
    <row r="61" spans="2:41">
      <c r="P61" s="32">
        <f>IFERROR(INDEX(tblDistribuciones[AYUDA],MATCH([[#This Row],[DIST_COSTO]],tblDistribuciones[DISTRIBUCION],0)),"")</f>
        <v>0</v>
      </c>
      <c r="V61" s="32">
        <f>IFERROR(INDEX(tblDistribuciones[AYUDA],MATCH([[#This Row],[DIST_PLAZO]],tblDistribuciones[DISTRIBUCION],0)),"")</f>
        <v>0</v>
      </c>
      <c r="AB61" s="32">
        <f>IFERROR(INDEX(tblDistribuciones[AYUDA],MATCH([[#This Row],[DIST_ING_DISENO]],tblDistribuciones[DISTRIBUCION],0)),"")</f>
        <v>0</v>
      </c>
      <c r="AH61" s="32">
        <f>IFERROR(INDEX(tblDistribuciones[AYUDA],MATCH([[#This Row],[DIST_ING_CAMPO]],tblDistribuciones[DISTRIBUCION],0)),"")</f>
        <v>0</v>
      </c>
    </row>
    <row r="62" spans="2:41">
      <c r="P62" s="32">
        <f>IFERROR(INDEX(tblDistribuciones[AYUDA],MATCH([[#This Row],[DIST_COSTO]],tblDistribuciones[DISTRIBUCION],0)),"")</f>
        <v>0</v>
      </c>
      <c r="V62" s="32">
        <f>IFERROR(INDEX(tblDistribuciones[AYUDA],MATCH([[#This Row],[DIST_PLAZO]],tblDistribuciones[DISTRIBUCION],0)),"")</f>
        <v>0</v>
      </c>
      <c r="AB62" s="32">
        <f>IFERROR(INDEX(tblDistribuciones[AYUDA],MATCH([[#This Row],[DIST_ING_DISENO]],tblDistribuciones[DISTRIBUCION],0)),"")</f>
        <v>0</v>
      </c>
      <c r="AH62" s="32">
        <f>IFERROR(INDEX(tblDistribuciones[AYUDA],MATCH([[#This Row],[DIST_ING_CAMPO]],tblDistribuciones[DISTRIBUCION],0)),"")</f>
        <v>0</v>
      </c>
    </row>
    <row r="63" spans="2:41">
      <c r="P63" s="32">
        <f>IFERROR(INDEX(tblDistribuciones[AYUDA],MATCH([[#This Row],[DIST_COSTO]],tblDistribuciones[DISTRIBUCION],0)),"")</f>
        <v>0</v>
      </c>
      <c r="V63" s="32">
        <f>IFERROR(INDEX(tblDistribuciones[AYUDA],MATCH([[#This Row],[DIST_PLAZO]],tblDistribuciones[DISTRIBUCION],0)),"")</f>
        <v>0</v>
      </c>
      <c r="AB63" s="32">
        <f>IFERROR(INDEX(tblDistribuciones[AYUDA],MATCH([[#This Row],[DIST_ING_DISENO]],tblDistribuciones[DISTRIBUCION],0)),"")</f>
        <v>0</v>
      </c>
      <c r="AH63" s="32">
        <f>IFERROR(INDEX(tblDistribuciones[AYUDA],MATCH([[#This Row],[DIST_ING_CAMPO]],tblDistribuciones[DISTRIBUCION],0)),"")</f>
        <v>0</v>
      </c>
    </row>
    <row r="64" spans="2:41">
      <c r="P64" s="32">
        <f>IFERROR(INDEX(tblDistribuciones[AYUDA],MATCH([[#This Row],[DIST_COSTO]],tblDistribuciones[DISTRIBUCION],0)),"")</f>
        <v>0</v>
      </c>
      <c r="V64" s="32">
        <f>IFERROR(INDEX(tblDistribuciones[AYUDA],MATCH([[#This Row],[DIST_PLAZO]],tblDistribuciones[DISTRIBUCION],0)),"")</f>
        <v>0</v>
      </c>
      <c r="AB64" s="32">
        <f>IFERROR(INDEX(tblDistribuciones[AYUDA],MATCH([[#This Row],[DIST_ING_DISENO]],tblDistribuciones[DISTRIBUCION],0)),"")</f>
        <v>0</v>
      </c>
      <c r="AH64" s="32">
        <f>IFERROR(INDEX(tblDistribuciones[AYUDA],MATCH([[#This Row],[DIST_ING_CAMPO]],tblDistribuciones[DISTRIBUCION],0)),"")</f>
        <v>0</v>
      </c>
    </row>
    <row r="65" spans="2:34">
      <c r="P65" s="32">
        <f>IFERROR(INDEX(tblDistribuciones[AYUDA],MATCH([[#This Row],[DIST_COSTO]],tblDistribuciones[DISTRIBUCION],0)),"")</f>
        <v>0</v>
      </c>
      <c r="V65" s="32">
        <f>IFERROR(INDEX(tblDistribuciones[AYUDA],MATCH([[#This Row],[DIST_PLAZO]],tblDistribuciones[DISTRIBUCION],0)),"")</f>
        <v>0</v>
      </c>
      <c r="AB65" s="32">
        <f>IFERROR(INDEX(tblDistribuciones[AYUDA],MATCH([[#This Row],[DIST_ING_DISENO]],tblDistribuciones[DISTRIBUCION],0)),"")</f>
        <v>0</v>
      </c>
      <c r="AH65" s="32">
        <f>IFERROR(INDEX(tblDistribuciones[AYUDA],MATCH([[#This Row],[DIST_ING_CAMPO]],tblDistribuciones[DISTRIBUCION],0)),"")</f>
        <v>0</v>
      </c>
    </row>
    <row r="66" spans="2:34">
      <c r="P66" s="32">
        <f>IFERROR(INDEX(tblDistribuciones[AYUDA],MATCH([[#This Row],[DIST_COSTO]],tblDistribuciones[DISTRIBUCION],0)),"")</f>
        <v>0</v>
      </c>
      <c r="V66" s="32">
        <f>IFERROR(INDEX(tblDistribuciones[AYUDA],MATCH([[#This Row],[DIST_PLAZO]],tblDistribuciones[DISTRIBUCION],0)),"")</f>
        <v>0</v>
      </c>
      <c r="AB66" s="32">
        <f>IFERROR(INDEX(tblDistribuciones[AYUDA],MATCH([[#This Row],[DIST_ING_DISENO]],tblDistribuciones[DISTRIBUCION],0)),"")</f>
        <v>0</v>
      </c>
      <c r="AH66" s="32">
        <f>IFERROR(INDEX(tblDistribuciones[AYUDA],MATCH([[#This Row],[DIST_ING_CAMPO]],tblDistribuciones[DISTRIBUCION],0)),"")</f>
        <v>0</v>
      </c>
    </row>
    <row r="67" spans="2:34">
      <c r="P67" s="32">
        <f>IFERROR(INDEX(tblDistribuciones[AYUDA],MATCH([[#This Row],[DIST_COSTO]],tblDistribuciones[DISTRIBUCION],0)),"")</f>
        <v>0</v>
      </c>
      <c r="V67" s="32">
        <f>IFERROR(INDEX(tblDistribuciones[AYUDA],MATCH([[#This Row],[DIST_PLAZO]],tblDistribuciones[DISTRIBUCION],0)),"")</f>
        <v>0</v>
      </c>
      <c r="AB67" s="32">
        <f>IFERROR(INDEX(tblDistribuciones[AYUDA],MATCH([[#This Row],[DIST_ING_DISENO]],tblDistribuciones[DISTRIBUCION],0)),"")</f>
        <v>0</v>
      </c>
      <c r="AH67" s="32">
        <f>IFERROR(INDEX(tblDistribuciones[AYUDA],MATCH([[#This Row],[DIST_ING_CAMPO]],tblDistribuciones[DISTRIBUCION],0)),"")</f>
        <v>0</v>
      </c>
    </row>
    <row r="68" spans="2:34">
      <c r="P68" s="32">
        <f>IFERROR(INDEX(tblDistribuciones[AYUDA],MATCH([[#This Row],[DIST_COSTO]],tblDistribuciones[DISTRIBUCION],0)),"")</f>
        <v>0</v>
      </c>
      <c r="V68" s="32">
        <f>IFERROR(INDEX(tblDistribuciones[AYUDA],MATCH([[#This Row],[DIST_PLAZO]],tblDistribuciones[DISTRIBUCION],0)),"")</f>
        <v>0</v>
      </c>
      <c r="AB68" s="32">
        <f>IFERROR(INDEX(tblDistribuciones[AYUDA],MATCH([[#This Row],[DIST_ING_DISENO]],tblDistribuciones[DISTRIBUCION],0)),"")</f>
        <v>0</v>
      </c>
      <c r="AH68" s="32">
        <f>IFERROR(INDEX(tblDistribuciones[AYUDA],MATCH([[#This Row],[DIST_ING_CAMPO]],tblDistribuciones[DISTRIBUCION],0)),"")</f>
        <v>0</v>
      </c>
    </row>
    <row r="69" spans="2:34">
      <c r="P69" s="32">
        <f>IFERROR(INDEX(tblDistribuciones[AYUDA],MATCH([[#This Row],[DIST_COSTO]],tblDistribuciones[DISTRIBUCION],0)),"")</f>
        <v>0</v>
      </c>
      <c r="V69" s="32">
        <f>IFERROR(INDEX(tblDistribuciones[AYUDA],MATCH([[#This Row],[DIST_PLAZO]],tblDistribuciones[DISTRIBUCION],0)),"")</f>
        <v>0</v>
      </c>
      <c r="AB69" s="32">
        <f>IFERROR(INDEX(tblDistribuciones[AYUDA],MATCH([[#This Row],[DIST_ING_DISENO]],tblDistribuciones[DISTRIBUCION],0)),"")</f>
        <v>0</v>
      </c>
      <c r="AH69" s="32">
        <f>IFERROR(INDEX(tblDistribuciones[AYUDA],MATCH([[#This Row],[DIST_ING_CAMPO]],tblDistribuciones[DISTRIBUCION],0)),"")</f>
        <v>0</v>
      </c>
    </row>
    <row r="70" spans="2:34">
      <c r="P70" s="32">
        <f>IFERROR(INDEX(tblDistribuciones[AYUDA],MATCH([[#This Row],[DIST_COSTO]],tblDistribuciones[DISTRIBUCION],0)),"")</f>
        <v>0</v>
      </c>
      <c r="V70" s="32">
        <f>IFERROR(INDEX(tblDistribuciones[AYUDA],MATCH([[#This Row],[DIST_PLAZO]],tblDistribuciones[DISTRIBUCION],0)),"")</f>
        <v>0</v>
      </c>
      <c r="AB70" s="32">
        <f>IFERROR(INDEX(tblDistribuciones[AYUDA],MATCH([[#This Row],[DIST_ING_DISENO]],tblDistribuciones[DISTRIBUCION],0)),"")</f>
        <v>0</v>
      </c>
      <c r="AH70" s="32">
        <f>IFERROR(INDEX(tblDistribuciones[AYUDA],MATCH([[#This Row],[DIST_ING_CAMPO]],tblDistribuciones[DISTRIBUCION],0)),"")</f>
        <v>0</v>
      </c>
    </row>
    <row r="71" spans="2:34">
      <c r="P71" s="32">
        <f>IFERROR(INDEX(tblDistribuciones[AYUDA],MATCH([[#This Row],[DIST_COSTO]],tblDistribuciones[DISTRIBUCION],0)),"")</f>
        <v>0</v>
      </c>
      <c r="V71" s="32">
        <f>IFERROR(INDEX(tblDistribuciones[AYUDA],MATCH([[#This Row],[DIST_PLAZO]],tblDistribuciones[DISTRIBUCION],0)),"")</f>
        <v>0</v>
      </c>
      <c r="AB71" s="32">
        <f>IFERROR(INDEX(tblDistribuciones[AYUDA],MATCH([[#This Row],[DIST_ING_DISENO]],tblDistribuciones[DISTRIBUCION],0)),"")</f>
        <v>0</v>
      </c>
      <c r="AH71" s="32">
        <f>IFERROR(INDEX(tblDistribuciones[AYUDA],MATCH([[#This Row],[DIST_ING_CAMPO]],tblDistribuciones[DISTRIBUCION],0)),"")</f>
        <v>0</v>
      </c>
    </row>
    <row r="72" spans="2:34">
      <c r="P72" s="32">
        <f>IFERROR(INDEX(tblDistribuciones[AYUDA],MATCH([[#This Row],[DIST_COSTO]],tblDistribuciones[DISTRIBUCION],0)),"")</f>
        <v>0</v>
      </c>
      <c r="V72" s="32">
        <f>IFERROR(INDEX(tblDistribuciones[AYUDA],MATCH([[#This Row],[DIST_PLAZO]],tblDistribuciones[DISTRIBUCION],0)),"")</f>
        <v>0</v>
      </c>
      <c r="AB72" s="32">
        <f>IFERROR(INDEX(tblDistribuciones[AYUDA],MATCH([[#This Row],[DIST_ING_DISENO]],tblDistribuciones[DISTRIBUCION],0)),"")</f>
        <v>0</v>
      </c>
      <c r="AH72" s="32">
        <f>IFERROR(INDEX(tblDistribuciones[AYUDA],MATCH([[#This Row],[DIST_ING_CAMPO]],tblDistribuciones[DISTRIBUCION],0)),"")</f>
        <v>0</v>
      </c>
    </row>
    <row r="73" spans="2:34">
      <c r="P73" s="32">
        <f>IFERROR(INDEX(tblDistribuciones[AYUDA],MATCH([[#This Row],[DIST_COSTO]],tblDistribuciones[DISTRIBUCION],0)),"")</f>
        <v>0</v>
      </c>
      <c r="V73" s="32">
        <f>IFERROR(INDEX(tblDistribuciones[AYUDA],MATCH([[#This Row],[DIST_PLAZO]],tblDistribuciones[DISTRIBUCION],0)),"")</f>
        <v>0</v>
      </c>
      <c r="AB73" s="32">
        <f>IFERROR(INDEX(tblDistribuciones[AYUDA],MATCH([[#This Row],[DIST_ING_DISENO]],tblDistribuciones[DISTRIBUCION],0)),"")</f>
        <v>0</v>
      </c>
      <c r="AH73" s="32">
        <f>IFERROR(INDEX(tblDistribuciones[AYUDA],MATCH([[#This Row],[DIST_ING_CAMPO]],tblDistribuciones[DISTRIBUCION],0)),"")</f>
        <v>0</v>
      </c>
    </row>
    <row r="74" spans="2:34">
      <c r="P74" s="32">
        <f>IFERROR(INDEX(tblDistribuciones[AYUDA],MATCH([[#This Row],[DIST_COSTO]],tblDistribuciones[DISTRIBUCION],0)),"")</f>
        <v>0</v>
      </c>
      <c r="V74" s="32">
        <f>IFERROR(INDEX(tblDistribuciones[AYUDA],MATCH([[#This Row],[DIST_PLAZO]],tblDistribuciones[DISTRIBUCION],0)),"")</f>
        <v>0</v>
      </c>
      <c r="AB74" s="32">
        <f>IFERROR(INDEX(tblDistribuciones[AYUDA],MATCH([[#This Row],[DIST_ING_DISENO]],tblDistribuciones[DISTRIBUCION],0)),"")</f>
        <v>0</v>
      </c>
      <c r="AH74" s="32">
        <f>IFERROR(INDEX(tblDistribuciones[AYUDA],MATCH([[#This Row],[DIST_ING_CAMPO]],tblDistribuciones[DISTRIBUCION],0)),"")</f>
        <v>0</v>
      </c>
    </row>
    <row r="75" spans="2:34">
      <c r="P75" s="32">
        <f>IFERROR(INDEX(tblDistribuciones[AYUDA],MATCH([[#This Row],[DIST_COSTO]],tblDistribuciones[DISTRIBUCION],0)),"")</f>
        <v>0</v>
      </c>
      <c r="V75" s="32">
        <f>IFERROR(INDEX(tblDistribuciones[AYUDA],MATCH([[#This Row],[DIST_PLAZO]],tblDistribuciones[DISTRIBUCION],0)),"")</f>
        <v>0</v>
      </c>
      <c r="AB75" s="32">
        <f>IFERROR(INDEX(tblDistribuciones[AYUDA],MATCH([[#This Row],[DIST_ING_DISENO]],tblDistribuciones[DISTRIBUCION],0)),"")</f>
        <v>0</v>
      </c>
      <c r="AH75" s="32">
        <f>IFERROR(INDEX(tblDistribuciones[AYUDA],MATCH([[#This Row],[DIST_ING_CAMPO]],tblDistribuciones[DISTRIBUCION],0)),"")</f>
        <v>0</v>
      </c>
    </row>
    <row r="78" spans="2:34">
      <c r="B78" s="5" t="s">
        <v>450</v>
      </c>
    </row>
    <row r="79" spans="2:34">
      <c r="B79" s="11"/>
      <c r="C79" s="11" t="s">
        <v>451</v>
      </c>
      <c r="D79" s="11" t="s">
        <v>114</v>
      </c>
      <c r="E79" s="11" t="s">
        <v>115</v>
      </c>
      <c r="F79" s="11" t="s">
        <v>116</v>
      </c>
      <c r="G79" s="11" t="s">
        <v>117</v>
      </c>
    </row>
    <row r="80" spans="2:34">
      <c r="B80" s="7"/>
      <c r="C80" s="7" t="s">
        <v>104</v>
      </c>
      <c r="D80" s="7" t="s">
        <v>121</v>
      </c>
      <c r="E80" s="7"/>
      <c r="F80" s="7"/>
      <c r="G80" s="7"/>
    </row>
    <row r="81" spans="2:7">
      <c r="B81" s="8"/>
      <c r="C81" s="8" t="s">
        <v>90</v>
      </c>
      <c r="D81" s="8" t="s">
        <v>125</v>
      </c>
      <c r="E81" s="8" t="s">
        <v>126</v>
      </c>
      <c r="F81" s="8"/>
      <c r="G81" s="8"/>
    </row>
    <row r="82" spans="2:7">
      <c r="B82" s="7"/>
      <c r="C82" s="7" t="s">
        <v>130</v>
      </c>
      <c r="D82" s="7" t="s">
        <v>125</v>
      </c>
      <c r="E82" s="7" t="s">
        <v>131</v>
      </c>
      <c r="F82" s="7" t="s">
        <v>126</v>
      </c>
      <c r="G82" s="7"/>
    </row>
    <row r="83" spans="2:7">
      <c r="B83" s="8"/>
      <c r="C83" s="8" t="s">
        <v>135</v>
      </c>
      <c r="D83" s="8" t="s">
        <v>136</v>
      </c>
      <c r="E83" s="8" t="s">
        <v>137</v>
      </c>
      <c r="F83" s="8" t="s">
        <v>138</v>
      </c>
      <c r="G83" s="8" t="s">
        <v>139</v>
      </c>
    </row>
    <row r="84" spans="2:7">
      <c r="B84" s="7"/>
      <c r="C84" s="7" t="s">
        <v>143</v>
      </c>
      <c r="D84" s="7" t="s">
        <v>125</v>
      </c>
      <c r="E84" s="7" t="s">
        <v>131</v>
      </c>
      <c r="F84" s="7" t="s">
        <v>126</v>
      </c>
      <c r="G84" s="7"/>
    </row>
    <row r="85" spans="2:7">
      <c r="B85" s="8"/>
      <c r="C85" s="8" t="s">
        <v>146</v>
      </c>
      <c r="D85" s="8" t="s">
        <v>125</v>
      </c>
      <c r="E85" s="8" t="s">
        <v>137</v>
      </c>
      <c r="F85" s="8" t="s">
        <v>126</v>
      </c>
      <c r="G85" s="8" t="s">
        <v>147</v>
      </c>
    </row>
    <row r="86" spans="2:7">
      <c r="B86" s="7"/>
      <c r="C86" s="7" t="s">
        <v>151</v>
      </c>
      <c r="D86" s="7" t="s">
        <v>152</v>
      </c>
      <c r="E86" s="7" t="s">
        <v>153</v>
      </c>
      <c r="F86" s="7" t="s">
        <v>125</v>
      </c>
      <c r="G86" s="7" t="s">
        <v>126</v>
      </c>
    </row>
    <row r="87" spans="2:7">
      <c r="B87" s="8"/>
      <c r="C87" s="8" t="s">
        <v>157</v>
      </c>
      <c r="D87" s="8" t="s">
        <v>158</v>
      </c>
      <c r="E87" s="8" t="s">
        <v>159</v>
      </c>
      <c r="F87" s="8"/>
      <c r="G87" s="8"/>
    </row>
    <row r="88" spans="2:7">
      <c r="B88" s="7"/>
      <c r="C88" s="7" t="s">
        <v>163</v>
      </c>
      <c r="D88" s="7" t="s">
        <v>158</v>
      </c>
      <c r="E88" s="7" t="s">
        <v>159</v>
      </c>
      <c r="F88" s="7" t="s">
        <v>125</v>
      </c>
      <c r="G88" s="7" t="s">
        <v>126</v>
      </c>
    </row>
    <row r="89" spans="2:7">
      <c r="B89" s="8"/>
      <c r="C89" s="8" t="s">
        <v>167</v>
      </c>
      <c r="D89" s="8" t="s">
        <v>158</v>
      </c>
      <c r="E89" s="8" t="s">
        <v>159</v>
      </c>
      <c r="F89" s="8"/>
      <c r="G89" s="8"/>
    </row>
    <row r="90" spans="2:7">
      <c r="B90" s="7"/>
      <c r="C90" s="7" t="s">
        <v>170</v>
      </c>
      <c r="D90" s="7" t="s">
        <v>171</v>
      </c>
      <c r="E90" s="7" t="s">
        <v>172</v>
      </c>
      <c r="F90" s="7"/>
      <c r="G90" s="7"/>
    </row>
    <row r="91" spans="2:7">
      <c r="B91" s="8"/>
      <c r="C91" s="8" t="s">
        <v>176</v>
      </c>
      <c r="D91" s="8" t="s">
        <v>158</v>
      </c>
      <c r="E91" s="8"/>
      <c r="F91" s="8"/>
      <c r="G91" s="8"/>
    </row>
    <row r="92" spans="2:7">
      <c r="B92" s="7"/>
      <c r="C92" s="7" t="s">
        <v>180</v>
      </c>
      <c r="D92" s="7" t="s">
        <v>181</v>
      </c>
      <c r="E92" s="7" t="s">
        <v>182</v>
      </c>
      <c r="F92" s="7"/>
      <c r="G92" s="7"/>
    </row>
    <row r="93" spans="2:7">
      <c r="B93" s="8"/>
      <c r="C93" s="8" t="s">
        <v>186</v>
      </c>
      <c r="D93" s="8" t="s">
        <v>187</v>
      </c>
      <c r="E93" s="8" t="s">
        <v>172</v>
      </c>
      <c r="F93" s="8"/>
      <c r="G93" s="8"/>
    </row>
    <row r="94" spans="2:7">
      <c r="B94" s="7"/>
      <c r="C94" s="7" t="s">
        <v>191</v>
      </c>
      <c r="D94" s="7" t="s">
        <v>158</v>
      </c>
      <c r="E94" s="7" t="s">
        <v>172</v>
      </c>
      <c r="F94" s="7"/>
      <c r="G94" s="7"/>
    </row>
    <row r="95" spans="2:7">
      <c r="B95" s="8"/>
      <c r="C95" s="8" t="s">
        <v>195</v>
      </c>
      <c r="D95" s="8" t="s">
        <v>196</v>
      </c>
      <c r="E95" s="8" t="s">
        <v>125</v>
      </c>
      <c r="F95" s="8"/>
      <c r="G95" s="8"/>
    </row>
    <row r="96" spans="2:7">
      <c r="B96" s="7"/>
      <c r="C96" s="7" t="s">
        <v>200</v>
      </c>
      <c r="D96" s="7" t="s">
        <v>201</v>
      </c>
      <c r="E96" s="7"/>
      <c r="F96" s="7"/>
      <c r="G96" s="7"/>
    </row>
    <row r="97" spans="2:7">
      <c r="B97" s="8"/>
      <c r="C97" s="8" t="s">
        <v>205</v>
      </c>
      <c r="D97" s="8" t="s">
        <v>206</v>
      </c>
      <c r="E97" s="8" t="s">
        <v>207</v>
      </c>
      <c r="F97" s="8"/>
      <c r="G97" s="8"/>
    </row>
    <row r="98" spans="2:7">
      <c r="B98" s="7"/>
      <c r="C98" s="7" t="s">
        <v>211</v>
      </c>
      <c r="D98" s="7" t="s">
        <v>212</v>
      </c>
      <c r="E98" s="7" t="s">
        <v>213</v>
      </c>
      <c r="F98" s="7"/>
      <c r="G98" s="7"/>
    </row>
    <row r="99" spans="2:7">
      <c r="B99" s="8"/>
      <c r="C99" s="8" t="s">
        <v>102</v>
      </c>
      <c r="D99" s="8" t="s">
        <v>217</v>
      </c>
      <c r="E99" s="8" t="s">
        <v>218</v>
      </c>
      <c r="F99" s="8"/>
      <c r="G99" s="8"/>
    </row>
  </sheetData>
  <mergeCells count="6">
    <mergeCell ref="B5:C5"/>
    <mergeCell ref="B6:C6"/>
    <mergeCell ref="B7:C7"/>
    <mergeCell ref="B8:C8"/>
    <mergeCell ref="B9:C9"/>
    <mergeCell ref="B10:C10"/>
  </mergeCells>
  <dataValidations count="19">
    <dataValidation type="decimal" operator="greaterThanOrEqual" allowBlank="1" showInputMessage="1" showErrorMessage="1" errorTitle="Valor no válido" error="Ingrese un número mayor o igual a 0 o deje la celda vacía." sqref="D5:D6">
      <formula1>0</formula1>
    </dataValidation>
    <dataValidation type="whole" allowBlank="1" showInputMessage="1" showErrorMessage="1" errorTitle="Iteraciones" error="Entero entre 1,000 y 100,000." sqref="D7">
      <formula1>1000</formula1>
      <formula2>100000</formula2>
    </dataValidation>
    <dataValidation type="decimal" allowBlank="1" showInputMessage="1" showErrorMessage="1" errorTitle="Nivel de confianza" error="Entre 50 % y 95 %." sqref="D9">
      <formula1>0.5</formula1>
      <formula2>0.95</formula2>
    </dataValidation>
    <dataValidation type="decimal" allowBlank="1" showInputMessage="1" showErrorMessage="1" errorTitle="Reserva de gestión" error="Entre 0 % y 100 %." sqref="D10">
      <formula1>0</formula1>
      <formula2>1</formula2>
    </dataValidation>
    <dataValidation type="list" allowBlank="1" showInputMessage="1" showErrorMessage="1" sqref="M6:M11">
      <formula1>"SI,NO"</formula1>
    </dataValidation>
    <dataValidation type="list" allowBlank="1" showInputMessage="1" showErrorMessage="1" sqref="N6:N11">
      <formula1>"SI,NO"</formula1>
    </dataValidation>
    <dataValidation type="list" allowBlank="1" showInputMessage="1" showErrorMessage="1" errorTitle="Tipo" error="Elija un valor de la lista." promptTitle="Tipo" prompt="AMENAZA (perjudica) u OPORTUNIDAD (favorece)." sqref="D16:D75">
      <formula1>"AMENAZA,OPORTUNIDAD"</formula1>
    </dataValidation>
    <dataValidation type="list" allowBlank="1" showInputMessage="1" showErrorMessage="1" errorTitle="Activo" error="Elija un valor de la lista." promptTitle="Activo" prompt="SI = se simula; NO = se ignora." sqref="I16:I75">
      <formula1>"SI,NO"</formula1>
    </dataValidation>
    <dataValidation type="list" allowBlank="1" showInputMessage="1" showErrorMessage="1" errorTitle="Estado" error="Elija un valor de la lista." promptTitle="Estado" prompt="Estado del riesgo en el registro." sqref="H16:H75">
      <formula1>"EJEMPLO,ESTIMADO – VALIDAR,CUANTIFICADO,PENDIENTE DE CUANTIFICAR,CERRADO"</formula1>
    </dataValidation>
    <dataValidation type="list" allowBlank="1" showInputMessage="1" showErrorMessage="1" errorTitle="Estrategia (PMI)" error="Elija un valor de la lista." promptTitle="Estrategia (PMI)" prompt="Amenazas: escalar, evitar, transferir, mitigar, aceptar. Oportunidades: escalar, explotar, compartir, mejorar, aceptar." sqref="AK16:AK75">
      <formula1>"ESCALAR,EVITAR,TRANSFERIR,MITIGAR,ACEPTAR,EXPLOTAR,COMPARTIR,MEJORAR"</formula1>
    </dataValidation>
    <dataValidation type="list" allowBlank="1" showInputMessage="1" showErrorMessage="1" errorTitle="Distribución" error="Elija una distribución de la lista." promptTitle="Distribución" prompt="Elija la distribución (vacío = no afecta). Vea la hoja GUIA." sqref="K16:K75">
      <formula1>ListaDistribuciones</formula1>
    </dataValidation>
    <dataValidation type="list" allowBlank="1" showInputMessage="1" showErrorMessage="1" errorTitle="Distribución" error="Elija una distribución de la lista." promptTitle="Distribución" prompt="Elija la distribución (vacío = no afecta). Vea la hoja GUIA." sqref="Q16:Q75">
      <formula1>ListaDistribuciones</formula1>
    </dataValidation>
    <dataValidation type="list" allowBlank="1" showInputMessage="1" showErrorMessage="1" errorTitle="Distribución" error="Elija una distribución de la lista." promptTitle="Distribución" prompt="Elija la distribución (vacío = no afecta). Vea la hoja GUIA." sqref="W16:W75">
      <formula1>ListaDistribuciones</formula1>
    </dataValidation>
    <dataValidation type="list" allowBlank="1" showInputMessage="1" showErrorMessage="1" errorTitle="Distribución" error="Elija una distribución de la lista." promptTitle="Distribución" prompt="Elija la distribución (vacío = no afecta). Vea la hoja GUIA." sqref="AC16:AC75">
      <formula1>ListaDistribuciones</formula1>
    </dataValidation>
    <dataValidation type="decimal" allowBlank="1" showInputMessage="1" showErrorMessage="1" errorTitle="PROBABILIDAD" error="Ingrese un valor entre 0 y 1." sqref="J16:J75">
      <formula1>0</formula1>
      <formula2>1</formula2>
    </dataValidation>
    <dataValidation type="decimal" allowBlank="1" showInputMessage="1" showErrorMessage="1" errorTitle="PROB_RESIDUAL" error="Ingrese un valor entre 0 y 1." sqref="AL16:AL75">
      <formula1>0</formula1>
      <formula2>1</formula2>
    </dataValidation>
    <dataValidation type="decimal" allowBlank="1" showInputMessage="1" showErrorMessage="1" errorTitle="FACTOR_IMPACTO_RESIDUAL" error="Ingrese un valor entre 0 y 1." sqref="AM16:AM75">
      <formula1>0</formula1>
      <formula2>1</formula2>
    </dataValidation>
    <dataValidation type="decimal" allowBlank="1" showInputMessage="1" showErrorMessage="1" errorTitle="RHO_GRUPO" error="Ingrese un valor entre 0 y 0.95." sqref="AJ16:AJ75">
      <formula1>0</formula1>
      <formula2>0.95</formula2>
    </dataValidation>
    <dataValidation type="decimal" operator="greaterThanOrEqual" allowBlank="1" showInputMessage="1" showErrorMessage="1" errorTitle="Costo de respuesta" error="Ingrese un número ≥ 0." sqref="AN16:AN75">
      <formula1>0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hjResultados">
    <tabColor rgb="FF00C805"/>
  </sheetPr>
  <dimension ref="A2:M2"/>
  <sheetViews>
    <sheetView showGridLines="0" workbookViewId="0"/>
  </sheetViews>
  <sheetFormatPr defaultRowHeight="15"/>
  <cols>
    <col min="1" max="1" width="2.7109375" customWidth="1"/>
  </cols>
  <sheetData>
    <row r="2" spans="2:13" ht="26" customHeight="1">
      <c r="B2" s="34" t="s">
        <v>452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jCurvaS">
    <tabColor rgb="FF0068FF"/>
  </sheetPr>
  <dimension ref="A2:M2"/>
  <sheetViews>
    <sheetView showGridLines="0" workbookViewId="0"/>
  </sheetViews>
  <sheetFormatPr defaultRowHeight="15"/>
  <cols>
    <col min="1" max="1" width="2.7109375" customWidth="1"/>
  </cols>
  <sheetData>
    <row r="2" spans="2:13" ht="26" customHeight="1">
      <c r="B2" s="34" t="s">
        <v>453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jTornado">
    <tabColor rgb="FFFF433D"/>
  </sheetPr>
  <dimension ref="A2:M2"/>
  <sheetViews>
    <sheetView showGridLines="0" workbookViewId="0"/>
  </sheetViews>
  <sheetFormatPr defaultRowHeight="15"/>
  <cols>
    <col min="1" max="1" width="2.7109375" customWidth="1"/>
  </cols>
  <sheetData>
    <row r="2" spans="2:13" ht="26" customHeight="1">
      <c r="B2" s="34" t="s">
        <v>454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hjRangos">
    <tabColor rgb="FFFB8B1E"/>
  </sheetPr>
  <dimension ref="A2:M2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2.7109375" customWidth="1"/>
  </cols>
  <sheetData>
    <row r="2" spans="2:13" ht="26" customHeight="1">
      <c r="B2" s="34" t="s">
        <v>455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jMatriz">
    <tabColor rgb="FFFFB020"/>
  </sheetPr>
  <dimension ref="A2:M2"/>
  <sheetViews>
    <sheetView showGridLines="0" workbookViewId="0"/>
  </sheetViews>
  <sheetFormatPr defaultRowHeight="15"/>
  <cols>
    <col min="1" max="1" width="2.7109375" customWidth="1"/>
  </cols>
  <sheetData>
    <row r="2" spans="2:13" ht="26" customHeight="1">
      <c r="B2" s="34" t="s">
        <v>456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jComparacion">
    <tabColor rgb="FF4AF6C3"/>
  </sheetPr>
  <dimension ref="A2:M2"/>
  <sheetViews>
    <sheetView showGridLines="0" workbookViewId="0"/>
  </sheetViews>
  <sheetFormatPr defaultRowHeight="15"/>
  <cols>
    <col min="1" max="1" width="2.7109375" customWidth="1"/>
  </cols>
  <sheetData>
    <row r="2" spans="2:13" ht="26" customHeight="1">
      <c r="B2" s="34" t="s">
        <v>457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jSimulacion">
    <tabColor rgb="FF2A2A2A"/>
  </sheetPr>
  <dimension ref="A2:M2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2.7109375" customWidth="1"/>
  </cols>
  <sheetData>
    <row r="2" spans="2:13" ht="26" customHeight="1">
      <c r="B2" s="34" t="s">
        <v>458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jTeoria">
    <tabColor rgb="FF000000"/>
  </sheetPr>
  <dimension ref="A2:B88"/>
  <sheetViews>
    <sheetView showGridLines="0" workbookViewId="0"/>
  </sheetViews>
  <sheetFormatPr defaultRowHeight="15"/>
  <cols>
    <col min="1" max="1" width="2.7109375" customWidth="1"/>
    <col min="2" max="2" width="150.7109375" customWidth="1"/>
  </cols>
  <sheetData>
    <row r="2" spans="2:2" ht="30" customHeight="1">
      <c r="B2" s="1" t="s">
        <v>459</v>
      </c>
    </row>
    <row r="3" spans="2:2">
      <c r="B3" s="3" t="s">
        <v>460</v>
      </c>
    </row>
    <row r="5" spans="2:2">
      <c r="B5" s="5" t="s">
        <v>461</v>
      </c>
    </row>
    <row r="6" spans="2:2" ht="30" customHeight="1">
      <c r="B6" s="16" t="s">
        <v>462</v>
      </c>
    </row>
    <row r="7" spans="2:2" ht="30" customHeight="1">
      <c r="B7" s="16" t="s">
        <v>463</v>
      </c>
    </row>
    <row r="8" spans="2:2" ht="30" customHeight="1">
      <c r="B8" s="16" t="s">
        <v>464</v>
      </c>
    </row>
    <row r="9" spans="2:2">
      <c r="B9" s="16" t="s">
        <v>465</v>
      </c>
    </row>
    <row r="10" spans="2:2" ht="30" customHeight="1">
      <c r="B10" s="16" t="s">
        <v>466</v>
      </c>
    </row>
    <row r="11" spans="2:2">
      <c r="B11" s="16" t="s">
        <v>467</v>
      </c>
    </row>
    <row r="12" spans="2:2">
      <c r="B12" s="16" t="s">
        <v>468</v>
      </c>
    </row>
    <row r="14" spans="2:2">
      <c r="B14" s="5" t="s">
        <v>469</v>
      </c>
    </row>
    <row r="15" spans="2:2" ht="30" customHeight="1">
      <c r="B15" s="16" t="s">
        <v>470</v>
      </c>
    </row>
    <row r="16" spans="2:2" ht="30" customHeight="1">
      <c r="B16" s="16" t="s">
        <v>471</v>
      </c>
    </row>
    <row r="17" spans="2:2">
      <c r="B17" s="16" t="s">
        <v>472</v>
      </c>
    </row>
    <row r="18" spans="2:2">
      <c r="B18" s="16" t="s">
        <v>473</v>
      </c>
    </row>
    <row r="20" spans="2:2">
      <c r="B20" s="5" t="s">
        <v>474</v>
      </c>
    </row>
    <row r="21" spans="2:2" ht="30" customHeight="1">
      <c r="B21" s="16" t="s">
        <v>475</v>
      </c>
    </row>
    <row r="22" spans="2:2" ht="30" customHeight="1">
      <c r="B22" s="16" t="s">
        <v>476</v>
      </c>
    </row>
    <row r="23" spans="2:2" ht="45" customHeight="1">
      <c r="B23" s="16" t="s">
        <v>477</v>
      </c>
    </row>
    <row r="24" spans="2:2">
      <c r="B24" s="16" t="s">
        <v>478</v>
      </c>
    </row>
    <row r="26" spans="2:2">
      <c r="B26" s="5" t="s">
        <v>479</v>
      </c>
    </row>
    <row r="27" spans="2:2" ht="30" customHeight="1">
      <c r="B27" s="16" t="s">
        <v>480</v>
      </c>
    </row>
    <row r="28" spans="2:2">
      <c r="B28" s="16" t="s">
        <v>481</v>
      </c>
    </row>
    <row r="29" spans="2:2">
      <c r="B29" s="16" t="s">
        <v>482</v>
      </c>
    </row>
    <row r="30" spans="2:2" ht="30" customHeight="1">
      <c r="B30" s="16" t="s">
        <v>483</v>
      </c>
    </row>
    <row r="31" spans="2:2" ht="45" customHeight="1">
      <c r="B31" s="16" t="s">
        <v>484</v>
      </c>
    </row>
    <row r="32" spans="2:2" ht="30" customHeight="1">
      <c r="B32" s="16" t="s">
        <v>485</v>
      </c>
    </row>
    <row r="33" spans="2:2" ht="30" customHeight="1">
      <c r="B33" s="16" t="s">
        <v>486</v>
      </c>
    </row>
    <row r="35" spans="2:2">
      <c r="B35" s="5" t="s">
        <v>487</v>
      </c>
    </row>
    <row r="36" spans="2:2" ht="30" customHeight="1">
      <c r="B36" s="16" t="s">
        <v>488</v>
      </c>
    </row>
    <row r="37" spans="2:2" ht="30" customHeight="1">
      <c r="B37" s="16" t="s">
        <v>489</v>
      </c>
    </row>
    <row r="38" spans="2:2">
      <c r="B38" s="16" t="s">
        <v>490</v>
      </c>
    </row>
    <row r="40" spans="2:2">
      <c r="B40" s="5" t="s">
        <v>491</v>
      </c>
    </row>
    <row r="41" spans="2:2">
      <c r="B41" s="16" t="s">
        <v>492</v>
      </c>
    </row>
    <row r="42" spans="2:2" ht="30" customHeight="1">
      <c r="B42" s="16" t="s">
        <v>493</v>
      </c>
    </row>
    <row r="43" spans="2:2" ht="30" customHeight="1">
      <c r="B43" s="16" t="s">
        <v>494</v>
      </c>
    </row>
    <row r="44" spans="2:2">
      <c r="B44" s="16" t="s">
        <v>495</v>
      </c>
    </row>
    <row r="46" spans="2:2">
      <c r="B46" s="5" t="s">
        <v>496</v>
      </c>
    </row>
    <row r="47" spans="2:2">
      <c r="B47" s="16" t="s">
        <v>497</v>
      </c>
    </row>
    <row r="48" spans="2:2">
      <c r="B48" s="16" t="s">
        <v>498</v>
      </c>
    </row>
    <row r="49" spans="2:2" ht="30" customHeight="1">
      <c r="B49" s="16" t="s">
        <v>499</v>
      </c>
    </row>
    <row r="51" spans="2:2">
      <c r="B51" s="5" t="s">
        <v>500</v>
      </c>
    </row>
    <row r="52" spans="2:2">
      <c r="B52" s="16" t="s">
        <v>501</v>
      </c>
    </row>
    <row r="53" spans="2:2">
      <c r="B53" s="16" t="s">
        <v>502</v>
      </c>
    </row>
    <row r="54" spans="2:2">
      <c r="B54" s="16" t="s">
        <v>503</v>
      </c>
    </row>
    <row r="55" spans="2:2">
      <c r="B55" s="16" t="s">
        <v>504</v>
      </c>
    </row>
    <row r="57" spans="2:2">
      <c r="B57" s="5" t="s">
        <v>505</v>
      </c>
    </row>
    <row r="58" spans="2:2" ht="30" customHeight="1">
      <c r="B58" s="16" t="s">
        <v>506</v>
      </c>
    </row>
    <row r="59" spans="2:2">
      <c r="B59" s="16" t="s">
        <v>507</v>
      </c>
    </row>
    <row r="61" spans="2:2">
      <c r="B61" s="5" t="s">
        <v>508</v>
      </c>
    </row>
    <row r="62" spans="2:2">
      <c r="B62" s="16" t="s">
        <v>509</v>
      </c>
    </row>
    <row r="63" spans="2:2">
      <c r="B63" s="16" t="s">
        <v>510</v>
      </c>
    </row>
    <row r="65" spans="2:2">
      <c r="B65" s="5" t="s">
        <v>511</v>
      </c>
    </row>
    <row r="66" spans="2:2" ht="30" customHeight="1">
      <c r="B66" s="16" t="s">
        <v>512</v>
      </c>
    </row>
    <row r="67" spans="2:2" ht="30" customHeight="1">
      <c r="B67" s="16" t="s">
        <v>513</v>
      </c>
    </row>
    <row r="69" spans="2:2">
      <c r="B69" s="5" t="s">
        <v>514</v>
      </c>
    </row>
    <row r="70" spans="2:2">
      <c r="B70" s="16" t="s">
        <v>515</v>
      </c>
    </row>
    <row r="71" spans="2:2">
      <c r="B71" s="16" t="s">
        <v>516</v>
      </c>
    </row>
    <row r="72" spans="2:2">
      <c r="B72" s="16" t="s">
        <v>517</v>
      </c>
    </row>
    <row r="73" spans="2:2">
      <c r="B73" s="16" t="s">
        <v>518</v>
      </c>
    </row>
    <row r="74" spans="2:2">
      <c r="B74" s="16" t="s">
        <v>519</v>
      </c>
    </row>
    <row r="75" spans="2:2">
      <c r="B75" s="16" t="s">
        <v>520</v>
      </c>
    </row>
    <row r="76" spans="2:2">
      <c r="B76" s="16" t="s">
        <v>521</v>
      </c>
    </row>
    <row r="78" spans="2:2">
      <c r="B78" s="5" t="s">
        <v>522</v>
      </c>
    </row>
    <row r="79" spans="2:2">
      <c r="B79" s="16" t="s">
        <v>523</v>
      </c>
    </row>
    <row r="80" spans="2:2">
      <c r="B80" s="16" t="s">
        <v>524</v>
      </c>
    </row>
    <row r="81" spans="2:2">
      <c r="B81" s="16" t="s">
        <v>525</v>
      </c>
    </row>
    <row r="82" spans="2:2">
      <c r="B82" s="16" t="s">
        <v>526</v>
      </c>
    </row>
    <row r="83" spans="2:2">
      <c r="B83" s="16" t="s">
        <v>527</v>
      </c>
    </row>
    <row r="84" spans="2:2">
      <c r="B84" s="16" t="s">
        <v>528</v>
      </c>
    </row>
    <row r="85" spans="2:2">
      <c r="B85" s="16" t="s">
        <v>529</v>
      </c>
    </row>
    <row r="86" spans="2:2">
      <c r="B86" s="16" t="s">
        <v>530</v>
      </c>
    </row>
    <row r="87" spans="2:2">
      <c r="B87" s="16" t="s">
        <v>531</v>
      </c>
    </row>
    <row r="88" spans="2:2">
      <c r="B88" s="16" t="s">
        <v>532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INICIO</vt:lpstr>
      <vt:lpstr>GUIA</vt:lpstr>
      <vt:lpstr>PARAMETROS</vt:lpstr>
      <vt:lpstr>RESULTADOS</vt:lpstr>
      <vt:lpstr>CURVA_S</vt:lpstr>
      <vt:lpstr>TORNADO</vt:lpstr>
      <vt:lpstr>RANGOS</vt:lpstr>
      <vt:lpstr>MATRIZ_PI</vt:lpstr>
      <vt:lpstr>COMPARACION</vt:lpstr>
      <vt:lpstr>SIMULACION</vt:lpstr>
      <vt:lpstr>TEORIA</vt:lpstr>
      <vt:lpstr>CostoBase</vt:lpstr>
      <vt:lpstr>Iteraciones</vt:lpstr>
      <vt:lpstr>ListaDistribuciones</vt:lpstr>
      <vt:lpstr>NivelConfianza</vt:lpstr>
      <vt:lpstr>PlazoBase</vt:lpstr>
      <vt:lpstr>ReservaGestionPct</vt:lpstr>
      <vt:lpstr>Semilla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Análisis cuantitativo de riesgos - Simulación Montecarlo</dc:title>
  <dc:subject>Riesgos de costo, plazo e ingeniería en obras de construcción</dc:subject>
  <dc:creator/>
  <cp:keywords>riesgos, Montecarlo, contingencia, construcción</cp:keywords>
  <dc:description>Macro VBA incluida y abierta (módulo MonteCarlo). Idioma: español (Perú).</dc:description>
  <cp:lastModifiedBy/>
  <dcterms:created xsi:type="dcterms:W3CDTF">2026-09-26T13:39:07Z</dcterms:created>
  <dcterms:modified xsi:type="dcterms:W3CDTF">2026-09-26T13:39:07Z</dcterms:modified>
  <cp:category>Gestión de riesgos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ioma">
    <vt:lpwstr>es-PE</vt:lpwstr>
  </property>
</Properties>
</file>